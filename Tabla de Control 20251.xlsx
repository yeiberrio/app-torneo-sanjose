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D:\Usuario\Documents\WILSON HERRERA\JAC\Fútbol 7\Clasificaciones\2025\"/>
    </mc:Choice>
  </mc:AlternateContent>
  <xr:revisionPtr revIDLastSave="0" documentId="13_ncr:1_{6E998151-C0C6-4605-8EED-5BD2275DD9C3}" xr6:coauthVersionLast="47" xr6:coauthVersionMax="47" xr10:uidLastSave="{00000000-0000-0000-0000-000000000000}"/>
  <bookViews>
    <workbookView xWindow="-120" yWindow="-120" windowWidth="20730" windowHeight="11760" tabRatio="848" activeTab="6" xr2:uid="{00000000-000D-0000-FFFF-FFFF00000000}"/>
  </bookViews>
  <sheets>
    <sheet name="Equipos" sheetId="1" r:id="rId1"/>
    <sheet name="Fixture" sheetId="72" r:id="rId2"/>
    <sheet name="Tablas" sheetId="26" r:id="rId3"/>
    <sheet name="Los Amigos" sheetId="68" r:id="rId4"/>
    <sheet name="La Nueva Era" sheetId="64" r:id="rId5"/>
    <sheet name="La Amistad" sheetId="66" r:id="rId6"/>
    <sheet name="Konami" sheetId="61" r:id="rId7"/>
    <sheet name="Villanueva" sheetId="75" r:id="rId8"/>
    <sheet name="Ron Star" sheetId="69" r:id="rId9"/>
    <sheet name="Amenadim" sheetId="65" r:id="rId10"/>
    <sheet name="Hojas Anchas" sheetId="60" r:id="rId11"/>
    <sheet name="Valentín FC" sheetId="22" r:id="rId12"/>
    <sheet name="Boca Juniors" sheetId="58" r:id="rId13"/>
    <sheet name="Deportivo Fénix" sheetId="71" r:id="rId14"/>
    <sheet name="Rayos FC" sheetId="63" r:id="rId15"/>
    <sheet name="La Unión FC" sheetId="59" r:id="rId16"/>
    <sheet name="Los Aliados" sheetId="62" r:id="rId17"/>
    <sheet name="Atalanta" sheetId="70" r:id="rId18"/>
    <sheet name="CD El Corozo" sheetId="67" r:id="rId19"/>
    <sheet name="Resultados" sheetId="28" r:id="rId20"/>
    <sheet name="Clasificación" sheetId="78" r:id="rId21"/>
    <sheet name="Orden" sheetId="21" r:id="rId22"/>
    <sheet name="Resumen" sheetId="74" r:id="rId23"/>
    <sheet name="Jugadores" sheetId="25" r:id="rId24"/>
    <sheet name="Equıpo 17" sheetId="77" r:id="rId25"/>
    <sheet name="Hoja1" sheetId="73" r:id="rId26"/>
    <sheet name="El Milán" sheetId="8" state="hidden" r:id="rId27"/>
    <sheet name="Bellavista" sheetId="6" state="hidden" r:id="rId28"/>
  </sheets>
  <definedNames>
    <definedName name="_GoBack" localSheetId="21">Orden!$A$2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61" l="1"/>
  <c r="G5" i="61"/>
  <c r="G6" i="61"/>
  <c r="G7" i="61"/>
  <c r="G8" i="61"/>
  <c r="G9" i="61"/>
  <c r="G10" i="61"/>
  <c r="G11" i="61"/>
  <c r="G12" i="61"/>
  <c r="G13" i="61"/>
  <c r="G14" i="61"/>
  <c r="G15" i="61"/>
  <c r="G16" i="61"/>
  <c r="G17" i="61"/>
  <c r="G18" i="61"/>
  <c r="G4" i="61"/>
  <c r="F5" i="61"/>
  <c r="F6" i="61"/>
  <c r="F7" i="61"/>
  <c r="F8" i="61"/>
  <c r="F9" i="61"/>
  <c r="F10" i="61"/>
  <c r="F11" i="61"/>
  <c r="F12" i="61"/>
  <c r="F13" i="61"/>
  <c r="F14" i="61"/>
  <c r="F15" i="61"/>
  <c r="F16" i="61"/>
  <c r="F17" i="61"/>
  <c r="F18" i="61"/>
  <c r="F4" i="61"/>
  <c r="E5" i="61"/>
  <c r="E6" i="61"/>
  <c r="E7" i="61"/>
  <c r="E8" i="61"/>
  <c r="E9" i="61"/>
  <c r="E10" i="61"/>
  <c r="E11" i="61"/>
  <c r="E12" i="61"/>
  <c r="E13" i="61"/>
  <c r="E14" i="61"/>
  <c r="E15" i="61"/>
  <c r="E16" i="61"/>
  <c r="E17" i="61"/>
  <c r="E18" i="61"/>
  <c r="E4" i="64"/>
  <c r="E5" i="64"/>
  <c r="E6" i="64"/>
  <c r="E7" i="64"/>
  <c r="E8" i="64"/>
  <c r="E9" i="64"/>
  <c r="E10" i="64"/>
  <c r="E11" i="64"/>
  <c r="E12" i="64"/>
  <c r="E13" i="64"/>
  <c r="E14" i="64"/>
  <c r="E15" i="64"/>
  <c r="E16" i="64"/>
  <c r="E17" i="64"/>
  <c r="E18" i="64"/>
  <c r="F4" i="64"/>
  <c r="F5" i="64"/>
  <c r="F6" i="64"/>
  <c r="F7" i="64"/>
  <c r="F8" i="64"/>
  <c r="F9" i="64"/>
  <c r="F10" i="64"/>
  <c r="F11" i="64"/>
  <c r="F12" i="64"/>
  <c r="F13" i="64"/>
  <c r="F14" i="64"/>
  <c r="F15" i="64"/>
  <c r="F16" i="64"/>
  <c r="F17" i="64"/>
  <c r="F18" i="64"/>
  <c r="G4" i="64"/>
  <c r="G5" i="64"/>
  <c r="G6" i="64"/>
  <c r="G7" i="64"/>
  <c r="G8" i="64"/>
  <c r="G9" i="64"/>
  <c r="G10" i="64"/>
  <c r="G11" i="64"/>
  <c r="G12" i="64"/>
  <c r="G13" i="64"/>
  <c r="G14" i="64"/>
  <c r="G15" i="64"/>
  <c r="G16" i="64"/>
  <c r="G17" i="64"/>
  <c r="G18" i="64"/>
  <c r="AP89" i="28"/>
  <c r="B177" i="28"/>
  <c r="F176" i="28"/>
  <c r="G176" i="28" s="1"/>
  <c r="F177" i="28"/>
  <c r="G177" i="28" s="1"/>
  <c r="P176" i="28" l="1"/>
  <c r="P177" i="28"/>
  <c r="AC78" i="28" l="1"/>
  <c r="G166" i="28" l="1"/>
  <c r="G167" i="28"/>
  <c r="G168" i="28"/>
  <c r="G169" i="28"/>
  <c r="G170" i="28"/>
  <c r="G171" i="28"/>
  <c r="G172" i="28"/>
  <c r="G173" i="28"/>
  <c r="G174" i="28"/>
  <c r="G165" i="28"/>
  <c r="P173" i="28"/>
  <c r="P174" i="28"/>
  <c r="F173" i="28"/>
  <c r="F174" i="28"/>
  <c r="F175" i="28"/>
  <c r="G175" i="28" s="1"/>
  <c r="F178" i="28"/>
  <c r="F179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83" i="28"/>
  <c r="G84" i="28"/>
  <c r="G85" i="28"/>
  <c r="G86" i="28"/>
  <c r="G87" i="28"/>
  <c r="G88" i="28"/>
  <c r="G89" i="28"/>
  <c r="G90" i="28"/>
  <c r="G91" i="28"/>
  <c r="G92" i="28"/>
  <c r="G93" i="28"/>
  <c r="G94" i="28"/>
  <c r="G95" i="28"/>
  <c r="G96" i="28"/>
  <c r="G97" i="28"/>
  <c r="G98" i="28"/>
  <c r="G99" i="28"/>
  <c r="G100" i="28"/>
  <c r="G101" i="28"/>
  <c r="G102" i="28"/>
  <c r="G103" i="28"/>
  <c r="G104" i="28"/>
  <c r="G105" i="28"/>
  <c r="G106" i="28"/>
  <c r="G107" i="28"/>
  <c r="G108" i="28"/>
  <c r="G109" i="28"/>
  <c r="G110" i="28"/>
  <c r="G111" i="28"/>
  <c r="G112" i="28"/>
  <c r="G113" i="28"/>
  <c r="G114" i="28"/>
  <c r="G115" i="28"/>
  <c r="G116" i="28"/>
  <c r="G117" i="28"/>
  <c r="G118" i="28"/>
  <c r="G119" i="28"/>
  <c r="G120" i="28"/>
  <c r="G121" i="28"/>
  <c r="G122" i="28"/>
  <c r="G123" i="28"/>
  <c r="G124" i="28"/>
  <c r="G125" i="28"/>
  <c r="G126" i="28"/>
  <c r="G127" i="28"/>
  <c r="G128" i="28"/>
  <c r="G129" i="28"/>
  <c r="G130" i="28"/>
  <c r="G131" i="28"/>
  <c r="G132" i="28"/>
  <c r="G133" i="28"/>
  <c r="G134" i="28"/>
  <c r="G135" i="28"/>
  <c r="G136" i="28"/>
  <c r="G137" i="28"/>
  <c r="G138" i="28"/>
  <c r="G139" i="28"/>
  <c r="G140" i="28"/>
  <c r="G141" i="28"/>
  <c r="G142" i="28"/>
  <c r="G143" i="28"/>
  <c r="G144" i="28"/>
  <c r="G145" i="28"/>
  <c r="G146" i="28"/>
  <c r="G147" i="28"/>
  <c r="G148" i="28"/>
  <c r="G149" i="28"/>
  <c r="G150" i="28"/>
  <c r="G151" i="28"/>
  <c r="G152" i="28"/>
  <c r="G153" i="28"/>
  <c r="G154" i="28"/>
  <c r="G155" i="28"/>
  <c r="G156" i="28"/>
  <c r="G157" i="28"/>
  <c r="G158" i="28"/>
  <c r="G159" i="28"/>
  <c r="G160" i="28"/>
  <c r="G161" i="28"/>
  <c r="G162" i="28"/>
  <c r="G163" i="28"/>
  <c r="G164" i="28"/>
  <c r="P4" i="28"/>
  <c r="P5" i="28"/>
  <c r="P6" i="28"/>
  <c r="P7" i="28"/>
  <c r="P8" i="28"/>
  <c r="P9" i="28"/>
  <c r="P10" i="28"/>
  <c r="P11" i="28"/>
  <c r="P12" i="28"/>
  <c r="P13" i="28"/>
  <c r="P14" i="28"/>
  <c r="P15" i="28"/>
  <c r="P16" i="28"/>
  <c r="P17" i="28"/>
  <c r="P18" i="28"/>
  <c r="P19" i="28"/>
  <c r="P20" i="28"/>
  <c r="P21" i="28"/>
  <c r="P22" i="28"/>
  <c r="P23" i="28"/>
  <c r="P24" i="28"/>
  <c r="P25" i="28"/>
  <c r="P26" i="28"/>
  <c r="P27" i="28"/>
  <c r="P28" i="28"/>
  <c r="P29" i="28"/>
  <c r="P30" i="28"/>
  <c r="P31" i="28"/>
  <c r="P32" i="28"/>
  <c r="P33" i="28"/>
  <c r="P34" i="28"/>
  <c r="P35" i="28"/>
  <c r="P36" i="28"/>
  <c r="P37" i="28"/>
  <c r="P38" i="28"/>
  <c r="P39" i="28"/>
  <c r="P40" i="28"/>
  <c r="P41" i="28"/>
  <c r="P42" i="28"/>
  <c r="P43" i="28"/>
  <c r="P44" i="28"/>
  <c r="P45" i="28"/>
  <c r="P46" i="28"/>
  <c r="P47" i="28"/>
  <c r="P48" i="28"/>
  <c r="P49" i="28"/>
  <c r="P50" i="28"/>
  <c r="P51" i="28"/>
  <c r="P52" i="28"/>
  <c r="P53" i="28"/>
  <c r="P54" i="28"/>
  <c r="P55" i="28"/>
  <c r="P56" i="28"/>
  <c r="P57" i="28"/>
  <c r="P58" i="28"/>
  <c r="P59" i="28"/>
  <c r="P60" i="28"/>
  <c r="P61" i="28"/>
  <c r="P62" i="28"/>
  <c r="P63" i="28"/>
  <c r="P64" i="28"/>
  <c r="P65" i="28"/>
  <c r="P66" i="28"/>
  <c r="P67" i="28"/>
  <c r="P68" i="28"/>
  <c r="P69" i="28"/>
  <c r="P70" i="28"/>
  <c r="P71" i="28"/>
  <c r="P72" i="28"/>
  <c r="P73" i="28"/>
  <c r="P74" i="28"/>
  <c r="P75" i="28"/>
  <c r="P76" i="28"/>
  <c r="P77" i="28"/>
  <c r="P78" i="28"/>
  <c r="P79" i="28"/>
  <c r="P80" i="28"/>
  <c r="P81" i="28"/>
  <c r="P82" i="28"/>
  <c r="P83" i="28"/>
  <c r="P84" i="28"/>
  <c r="P85" i="28"/>
  <c r="P86" i="28"/>
  <c r="P87" i="28"/>
  <c r="P88" i="28"/>
  <c r="P89" i="28"/>
  <c r="P90" i="28"/>
  <c r="P91" i="28"/>
  <c r="P92" i="28"/>
  <c r="P93" i="28"/>
  <c r="P94" i="28"/>
  <c r="P95" i="28"/>
  <c r="P96" i="28"/>
  <c r="P97" i="28"/>
  <c r="P98" i="28"/>
  <c r="P99" i="28"/>
  <c r="P100" i="28"/>
  <c r="P101" i="28"/>
  <c r="P102" i="28"/>
  <c r="P103" i="28"/>
  <c r="P104" i="28"/>
  <c r="P105" i="28"/>
  <c r="P106" i="28"/>
  <c r="P107" i="28"/>
  <c r="P108" i="28"/>
  <c r="P109" i="28"/>
  <c r="P110" i="28"/>
  <c r="P111" i="28"/>
  <c r="P112" i="28"/>
  <c r="P113" i="28"/>
  <c r="P114" i="28"/>
  <c r="P115" i="28"/>
  <c r="P116" i="28"/>
  <c r="P117" i="28"/>
  <c r="P118" i="28"/>
  <c r="P119" i="28"/>
  <c r="P120" i="28"/>
  <c r="P121" i="28"/>
  <c r="P122" i="28"/>
  <c r="P123" i="28"/>
  <c r="P124" i="28"/>
  <c r="P125" i="28"/>
  <c r="P126" i="28"/>
  <c r="P127" i="28"/>
  <c r="P128" i="28"/>
  <c r="P129" i="28"/>
  <c r="P130" i="28"/>
  <c r="P131" i="28"/>
  <c r="P132" i="28"/>
  <c r="P133" i="28"/>
  <c r="P134" i="28"/>
  <c r="P135" i="28"/>
  <c r="P136" i="28"/>
  <c r="P137" i="28"/>
  <c r="P138" i="28"/>
  <c r="P139" i="28"/>
  <c r="P140" i="28"/>
  <c r="P141" i="28"/>
  <c r="P142" i="28"/>
  <c r="P143" i="28"/>
  <c r="P144" i="28"/>
  <c r="P145" i="28"/>
  <c r="P146" i="28"/>
  <c r="P147" i="28"/>
  <c r="P148" i="28"/>
  <c r="P149" i="28"/>
  <c r="P150" i="28"/>
  <c r="P151" i="28"/>
  <c r="P152" i="28"/>
  <c r="P153" i="28"/>
  <c r="P154" i="28"/>
  <c r="P155" i="28"/>
  <c r="P156" i="28"/>
  <c r="P157" i="28"/>
  <c r="P158" i="28"/>
  <c r="P159" i="28"/>
  <c r="P160" i="28"/>
  <c r="P161" i="28"/>
  <c r="P162" i="28"/>
  <c r="P163" i="28"/>
  <c r="P164" i="28"/>
  <c r="P165" i="28"/>
  <c r="P166" i="28"/>
  <c r="P167" i="28"/>
  <c r="P168" i="28"/>
  <c r="P169" i="28"/>
  <c r="P170" i="28"/>
  <c r="P171" i="28"/>
  <c r="P172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64" i="28"/>
  <c r="F65" i="28"/>
  <c r="F66" i="28"/>
  <c r="F67" i="28"/>
  <c r="F68" i="28"/>
  <c r="F69" i="28"/>
  <c r="F70" i="28"/>
  <c r="F71" i="28"/>
  <c r="F72" i="28"/>
  <c r="F73" i="28"/>
  <c r="F74" i="28"/>
  <c r="F75" i="28"/>
  <c r="F76" i="28"/>
  <c r="F77" i="28"/>
  <c r="F78" i="28"/>
  <c r="F79" i="28"/>
  <c r="F80" i="28"/>
  <c r="F81" i="28"/>
  <c r="F82" i="28"/>
  <c r="F83" i="28"/>
  <c r="F84" i="28"/>
  <c r="F85" i="28"/>
  <c r="F86" i="28"/>
  <c r="F87" i="28"/>
  <c r="F88" i="28"/>
  <c r="F89" i="28"/>
  <c r="F90" i="28"/>
  <c r="F91" i="28"/>
  <c r="F92" i="28"/>
  <c r="F93" i="28"/>
  <c r="F94" i="28"/>
  <c r="F95" i="28"/>
  <c r="F96" i="28"/>
  <c r="F97" i="28"/>
  <c r="F98" i="28"/>
  <c r="F99" i="28"/>
  <c r="F100" i="28"/>
  <c r="F101" i="28"/>
  <c r="F102" i="28"/>
  <c r="F103" i="28"/>
  <c r="F104" i="28"/>
  <c r="F105" i="28"/>
  <c r="F106" i="28"/>
  <c r="F107" i="28"/>
  <c r="F108" i="28"/>
  <c r="F109" i="28"/>
  <c r="F110" i="28"/>
  <c r="F111" i="28"/>
  <c r="F112" i="28"/>
  <c r="F113" i="28"/>
  <c r="F114" i="28"/>
  <c r="F115" i="28"/>
  <c r="F116" i="28"/>
  <c r="F117" i="28"/>
  <c r="F118" i="28"/>
  <c r="F119" i="28"/>
  <c r="F120" i="28"/>
  <c r="F121" i="28"/>
  <c r="F122" i="28"/>
  <c r="F123" i="28"/>
  <c r="F124" i="28"/>
  <c r="F125" i="28"/>
  <c r="F126" i="28"/>
  <c r="F127" i="28"/>
  <c r="F128" i="28"/>
  <c r="F129" i="28"/>
  <c r="F130" i="28"/>
  <c r="F131" i="28"/>
  <c r="F132" i="28"/>
  <c r="F133" i="28"/>
  <c r="F134" i="28"/>
  <c r="F135" i="28"/>
  <c r="F136" i="28"/>
  <c r="F137" i="28"/>
  <c r="F138" i="28"/>
  <c r="F139" i="28"/>
  <c r="F140" i="28"/>
  <c r="F141" i="28"/>
  <c r="F142" i="28"/>
  <c r="F143" i="28"/>
  <c r="F144" i="28"/>
  <c r="F145" i="28"/>
  <c r="F146" i="28"/>
  <c r="F147" i="28"/>
  <c r="F148" i="28"/>
  <c r="F149" i="28"/>
  <c r="F150" i="28"/>
  <c r="F151" i="28"/>
  <c r="F152" i="28"/>
  <c r="F153" i="28"/>
  <c r="F154" i="28"/>
  <c r="F155" i="28"/>
  <c r="F156" i="28"/>
  <c r="F157" i="28"/>
  <c r="F158" i="28"/>
  <c r="F159" i="28"/>
  <c r="F160" i="28"/>
  <c r="F161" i="28"/>
  <c r="F162" i="28"/>
  <c r="F163" i="28"/>
  <c r="F164" i="28"/>
  <c r="F165" i="28"/>
  <c r="F166" i="28"/>
  <c r="F167" i="28"/>
  <c r="F168" i="28"/>
  <c r="F169" i="28"/>
  <c r="F170" i="28"/>
  <c r="F171" i="28"/>
  <c r="F172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37" i="28"/>
  <c r="B38" i="28"/>
  <c r="B39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B52" i="28"/>
  <c r="B53" i="28"/>
  <c r="B54" i="28"/>
  <c r="B55" i="28"/>
  <c r="B56" i="28"/>
  <c r="B57" i="28"/>
  <c r="B58" i="28"/>
  <c r="B59" i="28"/>
  <c r="B60" i="28"/>
  <c r="B61" i="28"/>
  <c r="B62" i="28"/>
  <c r="B63" i="28"/>
  <c r="B64" i="28"/>
  <c r="B65" i="28"/>
  <c r="B66" i="28"/>
  <c r="B67" i="28"/>
  <c r="B68" i="28"/>
  <c r="B69" i="28"/>
  <c r="B70" i="28"/>
  <c r="B71" i="28"/>
  <c r="B72" i="28"/>
  <c r="B73" i="28"/>
  <c r="B74" i="28"/>
  <c r="B75" i="28"/>
  <c r="B76" i="28"/>
  <c r="B77" i="28"/>
  <c r="B78" i="28"/>
  <c r="B79" i="28"/>
  <c r="B80" i="28"/>
  <c r="B81" i="28"/>
  <c r="B82" i="28"/>
  <c r="B83" i="28"/>
  <c r="B84" i="28"/>
  <c r="B85" i="28"/>
  <c r="B86" i="28"/>
  <c r="B87" i="28"/>
  <c r="B88" i="28"/>
  <c r="B89" i="28"/>
  <c r="B90" i="28"/>
  <c r="B91" i="28"/>
  <c r="B92" i="28"/>
  <c r="B93" i="28"/>
  <c r="B94" i="28"/>
  <c r="B95" i="28"/>
  <c r="B96" i="28"/>
  <c r="B97" i="28"/>
  <c r="B98" i="28"/>
  <c r="B99" i="28"/>
  <c r="B100" i="28"/>
  <c r="B101" i="28"/>
  <c r="B102" i="28"/>
  <c r="B103" i="28"/>
  <c r="B104" i="28"/>
  <c r="B105" i="28"/>
  <c r="B106" i="28"/>
  <c r="B107" i="28"/>
  <c r="B108" i="28"/>
  <c r="B109" i="28"/>
  <c r="B110" i="28"/>
  <c r="B111" i="28"/>
  <c r="B112" i="28"/>
  <c r="B113" i="28"/>
  <c r="B114" i="28"/>
  <c r="B115" i="28"/>
  <c r="B116" i="28"/>
  <c r="B117" i="28"/>
  <c r="B118" i="28"/>
  <c r="B119" i="28"/>
  <c r="B120" i="28"/>
  <c r="B121" i="28"/>
  <c r="B122" i="28"/>
  <c r="B123" i="28"/>
  <c r="B124" i="28"/>
  <c r="B125" i="28"/>
  <c r="B126" i="28"/>
  <c r="B127" i="28"/>
  <c r="B128" i="28"/>
  <c r="B129" i="28"/>
  <c r="B130" i="28"/>
  <c r="B131" i="28"/>
  <c r="B132" i="28"/>
  <c r="B133" i="28"/>
  <c r="B134" i="28"/>
  <c r="B135" i="28"/>
  <c r="B136" i="28"/>
  <c r="B137" i="28"/>
  <c r="B138" i="28"/>
  <c r="B139" i="28"/>
  <c r="B140" i="28"/>
  <c r="B141" i="28"/>
  <c r="B142" i="28"/>
  <c r="B143" i="28"/>
  <c r="B144" i="28"/>
  <c r="B145" i="28"/>
  <c r="B146" i="28"/>
  <c r="B147" i="28"/>
  <c r="B148" i="28"/>
  <c r="B149" i="28"/>
  <c r="B150" i="28"/>
  <c r="B151" i="28"/>
  <c r="B152" i="28"/>
  <c r="B153" i="28"/>
  <c r="B154" i="28"/>
  <c r="B155" i="28"/>
  <c r="B156" i="28"/>
  <c r="B157" i="28"/>
  <c r="B158" i="28"/>
  <c r="B159" i="28"/>
  <c r="B160" i="28"/>
  <c r="B161" i="28"/>
  <c r="B162" i="28"/>
  <c r="B163" i="28"/>
  <c r="B164" i="28"/>
  <c r="B165" i="28"/>
  <c r="B166" i="28"/>
  <c r="B167" i="28"/>
  <c r="B168" i="28"/>
  <c r="B169" i="28"/>
  <c r="B170" i="28"/>
  <c r="B171" i="28"/>
  <c r="B172" i="28"/>
  <c r="B173" i="28"/>
  <c r="B174" i="28"/>
  <c r="B175" i="28"/>
  <c r="B176" i="28"/>
  <c r="P175" i="28" l="1"/>
  <c r="A1" i="28"/>
  <c r="D13" i="22"/>
  <c r="D4" i="28" l="1"/>
  <c r="D8" i="28"/>
  <c r="D12" i="28"/>
  <c r="D16" i="28"/>
  <c r="D20" i="28"/>
  <c r="D24" i="28"/>
  <c r="D28" i="28"/>
  <c r="D32" i="28"/>
  <c r="D36" i="28"/>
  <c r="D40" i="28"/>
  <c r="D44" i="28"/>
  <c r="D48" i="28"/>
  <c r="D52" i="28"/>
  <c r="D56" i="28"/>
  <c r="D60" i="28"/>
  <c r="D64" i="28"/>
  <c r="D68" i="28"/>
  <c r="D72" i="28"/>
  <c r="D76" i="28"/>
  <c r="D80" i="28"/>
  <c r="D84" i="28"/>
  <c r="D88" i="28"/>
  <c r="D92" i="28"/>
  <c r="D96" i="28"/>
  <c r="D100" i="28"/>
  <c r="D104" i="28"/>
  <c r="D108" i="28"/>
  <c r="D112" i="28"/>
  <c r="D116" i="28"/>
  <c r="D120" i="28"/>
  <c r="D124" i="28"/>
  <c r="D128" i="28"/>
  <c r="D132" i="28"/>
  <c r="D136" i="28"/>
  <c r="D140" i="28"/>
  <c r="D144" i="28"/>
  <c r="D148" i="28"/>
  <c r="D152" i="28"/>
  <c r="D156" i="28"/>
  <c r="D160" i="28"/>
  <c r="D164" i="28"/>
  <c r="D168" i="28"/>
  <c r="D11" i="28"/>
  <c r="D19" i="28"/>
  <c r="D31" i="28"/>
  <c r="D43" i="28"/>
  <c r="D55" i="28"/>
  <c r="D67" i="28"/>
  <c r="D75" i="28"/>
  <c r="D87" i="28"/>
  <c r="D99" i="28"/>
  <c r="D111" i="28"/>
  <c r="D119" i="28"/>
  <c r="D131" i="28"/>
  <c r="D143" i="28"/>
  <c r="D151" i="28"/>
  <c r="D163" i="28"/>
  <c r="D5" i="28"/>
  <c r="D9" i="28"/>
  <c r="D13" i="28"/>
  <c r="D17" i="28"/>
  <c r="D21" i="28"/>
  <c r="D25" i="28"/>
  <c r="D29" i="28"/>
  <c r="D33" i="28"/>
  <c r="D37" i="28"/>
  <c r="D41" i="28"/>
  <c r="D45" i="28"/>
  <c r="D49" i="28"/>
  <c r="D53" i="28"/>
  <c r="D57" i="28"/>
  <c r="D61" i="28"/>
  <c r="D65" i="28"/>
  <c r="D69" i="28"/>
  <c r="D73" i="28"/>
  <c r="D77" i="28"/>
  <c r="D81" i="28"/>
  <c r="D85" i="28"/>
  <c r="D89" i="28"/>
  <c r="D93" i="28"/>
  <c r="D97" i="28"/>
  <c r="D101" i="28"/>
  <c r="D105" i="28"/>
  <c r="D109" i="28"/>
  <c r="D113" i="28"/>
  <c r="D117" i="28"/>
  <c r="D121" i="28"/>
  <c r="D125" i="28"/>
  <c r="D129" i="28"/>
  <c r="D133" i="28"/>
  <c r="D137" i="28"/>
  <c r="D141" i="28"/>
  <c r="D145" i="28"/>
  <c r="D149" i="28"/>
  <c r="D153" i="28"/>
  <c r="D157" i="28"/>
  <c r="D161" i="28"/>
  <c r="D165" i="28"/>
  <c r="D169" i="28"/>
  <c r="D15" i="28"/>
  <c r="D27" i="28"/>
  <c r="D39" i="28"/>
  <c r="D51" i="28"/>
  <c r="D63" i="28"/>
  <c r="D79" i="28"/>
  <c r="D91" i="28"/>
  <c r="D103" i="28"/>
  <c r="D115" i="28"/>
  <c r="D127" i="28"/>
  <c r="D139" i="28"/>
  <c r="D155" i="28"/>
  <c r="D167" i="28"/>
  <c r="D6" i="28"/>
  <c r="D10" i="28"/>
  <c r="D14" i="28"/>
  <c r="D18" i="28"/>
  <c r="D22" i="28"/>
  <c r="D26" i="28"/>
  <c r="D30" i="28"/>
  <c r="D34" i="28"/>
  <c r="D38" i="28"/>
  <c r="D42" i="28"/>
  <c r="D46" i="28"/>
  <c r="D50" i="28"/>
  <c r="D54" i="28"/>
  <c r="D58" i="28"/>
  <c r="D62" i="28"/>
  <c r="D66" i="28"/>
  <c r="D70" i="28"/>
  <c r="D74" i="28"/>
  <c r="D78" i="28"/>
  <c r="D82" i="28"/>
  <c r="D86" i="28"/>
  <c r="D90" i="28"/>
  <c r="D94" i="28"/>
  <c r="D98" i="28"/>
  <c r="D102" i="28"/>
  <c r="D106" i="28"/>
  <c r="D110" i="28"/>
  <c r="D114" i="28"/>
  <c r="D118" i="28"/>
  <c r="D122" i="28"/>
  <c r="D126" i="28"/>
  <c r="D130" i="28"/>
  <c r="D134" i="28"/>
  <c r="D138" i="28"/>
  <c r="D142" i="28"/>
  <c r="D146" i="28"/>
  <c r="D150" i="28"/>
  <c r="D154" i="28"/>
  <c r="D158" i="28"/>
  <c r="D162" i="28"/>
  <c r="D166" i="28"/>
  <c r="D170" i="28"/>
  <c r="D7" i="28"/>
  <c r="D23" i="28"/>
  <c r="D35" i="28"/>
  <c r="D47" i="28"/>
  <c r="D59" i="28"/>
  <c r="D71" i="28"/>
  <c r="D83" i="28"/>
  <c r="D95" i="28"/>
  <c r="D107" i="28"/>
  <c r="D123" i="28"/>
  <c r="D135" i="28"/>
  <c r="D147" i="28"/>
  <c r="D159" i="28"/>
  <c r="D171" i="28"/>
  <c r="B16" i="59"/>
  <c r="A1" i="64"/>
  <c r="AO89" i="28"/>
  <c r="AQ89" i="28"/>
  <c r="AR89" i="28"/>
  <c r="AS89" i="28"/>
  <c r="AT89" i="28"/>
  <c r="AU89" i="28"/>
  <c r="AV89" i="28"/>
  <c r="AW89" i="28"/>
  <c r="AX89" i="28"/>
  <c r="AY89" i="28"/>
  <c r="AZ89" i="28"/>
  <c r="B172" i="78"/>
  <c r="Y171" i="78"/>
  <c r="B171" i="78"/>
  <c r="B170" i="78"/>
  <c r="Y169" i="78"/>
  <c r="B169" i="78"/>
  <c r="F168" i="78"/>
  <c r="P168" i="78" s="1"/>
  <c r="B168" i="78"/>
  <c r="F167" i="78"/>
  <c r="P167" i="78" s="1"/>
  <c r="B167" i="78"/>
  <c r="F166" i="78"/>
  <c r="P166" i="78" s="1"/>
  <c r="B166" i="78"/>
  <c r="F165" i="78"/>
  <c r="P165" i="78" s="1"/>
  <c r="B165" i="78"/>
  <c r="F164" i="78"/>
  <c r="P164" i="78" s="1"/>
  <c r="B164" i="78"/>
  <c r="Y163" i="78"/>
  <c r="F163" i="78"/>
  <c r="P163" i="78" s="1"/>
  <c r="B163" i="78"/>
  <c r="F162" i="78"/>
  <c r="P162" i="78" s="1"/>
  <c r="B162" i="78"/>
  <c r="F161" i="78"/>
  <c r="P161" i="78" s="1"/>
  <c r="B161" i="78"/>
  <c r="F160" i="78"/>
  <c r="P160" i="78" s="1"/>
  <c r="B160" i="78"/>
  <c r="F159" i="78"/>
  <c r="P159" i="78" s="1"/>
  <c r="B159" i="78"/>
  <c r="F158" i="78"/>
  <c r="P158" i="78" s="1"/>
  <c r="B158" i="78"/>
  <c r="Y157" i="78"/>
  <c r="F157" i="78"/>
  <c r="B157" i="78"/>
  <c r="F156" i="78"/>
  <c r="B156" i="78"/>
  <c r="F155" i="78"/>
  <c r="P155" i="78" s="1"/>
  <c r="B155" i="78"/>
  <c r="F154" i="78"/>
  <c r="P154" i="78" s="1"/>
  <c r="B154" i="78"/>
  <c r="F153" i="78"/>
  <c r="B153" i="78"/>
  <c r="F152" i="78"/>
  <c r="P152" i="78" s="1"/>
  <c r="B152" i="78"/>
  <c r="Y151" i="78"/>
  <c r="F151" i="78"/>
  <c r="B151" i="78"/>
  <c r="F150" i="78"/>
  <c r="B150" i="78"/>
  <c r="F149" i="78"/>
  <c r="P149" i="78" s="1"/>
  <c r="B149" i="78"/>
  <c r="F148" i="78"/>
  <c r="G148" i="78" s="1"/>
  <c r="B148" i="78"/>
  <c r="F147" i="78"/>
  <c r="G147" i="78" s="1"/>
  <c r="B147" i="78"/>
  <c r="F146" i="78"/>
  <c r="P146" i="78" s="1"/>
  <c r="B146" i="78"/>
  <c r="Y145" i="78"/>
  <c r="F145" i="78"/>
  <c r="B145" i="78"/>
  <c r="F144" i="78"/>
  <c r="B144" i="78"/>
  <c r="F143" i="78"/>
  <c r="B143" i="78"/>
  <c r="AC142" i="78"/>
  <c r="F142" i="78"/>
  <c r="B142" i="78"/>
  <c r="F141" i="78"/>
  <c r="G141" i="78" s="1"/>
  <c r="B141" i="78"/>
  <c r="F140" i="78"/>
  <c r="G140" i="78" s="1"/>
  <c r="B140" i="78"/>
  <c r="Y139" i="78"/>
  <c r="F139" i="78"/>
  <c r="P139" i="78" s="1"/>
  <c r="B139" i="78"/>
  <c r="F138" i="78"/>
  <c r="G138" i="78" s="1"/>
  <c r="B138" i="78"/>
  <c r="F137" i="78"/>
  <c r="P137" i="78" s="1"/>
  <c r="B137" i="78"/>
  <c r="F136" i="78"/>
  <c r="B136" i="78"/>
  <c r="F135" i="78"/>
  <c r="G135" i="78" s="1"/>
  <c r="B135" i="78"/>
  <c r="F134" i="78"/>
  <c r="G134" i="78" s="1"/>
  <c r="B134" i="78"/>
  <c r="F133" i="78"/>
  <c r="B133" i="78"/>
  <c r="F132" i="78"/>
  <c r="P132" i="78" s="1"/>
  <c r="B132" i="78"/>
  <c r="Y131" i="78"/>
  <c r="F131" i="78"/>
  <c r="G131" i="78" s="1"/>
  <c r="B131" i="78"/>
  <c r="F130" i="78"/>
  <c r="B130" i="78"/>
  <c r="F129" i="78"/>
  <c r="P129" i="78" s="1"/>
  <c r="B129" i="78"/>
  <c r="F128" i="78"/>
  <c r="B128" i="78"/>
  <c r="F127" i="78"/>
  <c r="G127" i="78" s="1"/>
  <c r="B127" i="78"/>
  <c r="F126" i="78"/>
  <c r="G126" i="78" s="1"/>
  <c r="B126" i="78"/>
  <c r="F125" i="78"/>
  <c r="P125" i="78" s="1"/>
  <c r="B125" i="78"/>
  <c r="F124" i="78"/>
  <c r="B124" i="78"/>
  <c r="Y123" i="78"/>
  <c r="F123" i="78"/>
  <c r="G123" i="78" s="1"/>
  <c r="B123" i="78"/>
  <c r="F122" i="78"/>
  <c r="P122" i="78" s="1"/>
  <c r="B122" i="78"/>
  <c r="F121" i="78"/>
  <c r="B121" i="78"/>
  <c r="F120" i="78"/>
  <c r="P120" i="78" s="1"/>
  <c r="B120" i="78"/>
  <c r="F119" i="78"/>
  <c r="G119" i="78" s="1"/>
  <c r="B119" i="78"/>
  <c r="F118" i="78"/>
  <c r="P118" i="78" s="1"/>
  <c r="B118" i="78"/>
  <c r="F117" i="78"/>
  <c r="B117" i="78"/>
  <c r="F116" i="78"/>
  <c r="P116" i="78" s="1"/>
  <c r="B116" i="78"/>
  <c r="Y115" i="78"/>
  <c r="F115" i="78"/>
  <c r="P115" i="78" s="1"/>
  <c r="B115" i="78"/>
  <c r="F114" i="78"/>
  <c r="B114" i="78"/>
  <c r="F113" i="78"/>
  <c r="P113" i="78" s="1"/>
  <c r="B113" i="78"/>
  <c r="F112" i="78"/>
  <c r="G112" i="78" s="1"/>
  <c r="B112" i="78"/>
  <c r="F111" i="78"/>
  <c r="B111" i="78"/>
  <c r="F110" i="78"/>
  <c r="P110" i="78" s="1"/>
  <c r="B110" i="78"/>
  <c r="F109" i="78"/>
  <c r="P109" i="78" s="1"/>
  <c r="B109" i="78"/>
  <c r="F108" i="78"/>
  <c r="G108" i="78" s="1"/>
  <c r="B108" i="78"/>
  <c r="Y107" i="78"/>
  <c r="F107" i="78"/>
  <c r="P107" i="78" s="1"/>
  <c r="B107" i="78"/>
  <c r="F106" i="78"/>
  <c r="P106" i="78" s="1"/>
  <c r="B106" i="78"/>
  <c r="F105" i="78"/>
  <c r="B105" i="78"/>
  <c r="F104" i="78"/>
  <c r="B104" i="78"/>
  <c r="F103" i="78"/>
  <c r="P103" i="78" s="1"/>
  <c r="B103" i="78"/>
  <c r="F102" i="78"/>
  <c r="G102" i="78" s="1"/>
  <c r="B102" i="78"/>
  <c r="F101" i="78"/>
  <c r="P101" i="78" s="1"/>
  <c r="B101" i="78"/>
  <c r="F100" i="78"/>
  <c r="G100" i="78" s="1"/>
  <c r="B100" i="78"/>
  <c r="Y99" i="78"/>
  <c r="F99" i="78"/>
  <c r="G99" i="78" s="1"/>
  <c r="B99" i="78"/>
  <c r="F98" i="78"/>
  <c r="P98" i="78" s="1"/>
  <c r="B98" i="78"/>
  <c r="F97" i="78"/>
  <c r="G97" i="78" s="1"/>
  <c r="B97" i="78"/>
  <c r="F96" i="78"/>
  <c r="G96" i="78" s="1"/>
  <c r="B96" i="78"/>
  <c r="F95" i="78"/>
  <c r="G95" i="78" s="1"/>
  <c r="B95" i="78"/>
  <c r="F94" i="78"/>
  <c r="G94" i="78" s="1"/>
  <c r="B94" i="78"/>
  <c r="AC93" i="78"/>
  <c r="F93" i="78"/>
  <c r="G93" i="78" s="1"/>
  <c r="B93" i="78"/>
  <c r="AC92" i="78"/>
  <c r="F92" i="78"/>
  <c r="G92" i="78" s="1"/>
  <c r="B92" i="78"/>
  <c r="AC91" i="78"/>
  <c r="Y91" i="78"/>
  <c r="F91" i="78"/>
  <c r="B91" i="78"/>
  <c r="AC90" i="78"/>
  <c r="F90" i="78"/>
  <c r="B90" i="78"/>
  <c r="AC89" i="78"/>
  <c r="F89" i="78"/>
  <c r="B89" i="78"/>
  <c r="AC88" i="78"/>
  <c r="F88" i="78"/>
  <c r="P88" i="78" s="1"/>
  <c r="B88" i="78"/>
  <c r="AC87" i="78"/>
  <c r="F87" i="78"/>
  <c r="G87" i="78" s="1"/>
  <c r="B87" i="78"/>
  <c r="AC86" i="78"/>
  <c r="F86" i="78"/>
  <c r="B86" i="78"/>
  <c r="AC85" i="78"/>
  <c r="F85" i="78"/>
  <c r="P85" i="78" s="1"/>
  <c r="B85" i="78"/>
  <c r="AC84" i="78"/>
  <c r="F84" i="78"/>
  <c r="G84" i="78" s="1"/>
  <c r="B84" i="78"/>
  <c r="AC83" i="78"/>
  <c r="Y83" i="78"/>
  <c r="F83" i="78"/>
  <c r="B83" i="78"/>
  <c r="AC82" i="78"/>
  <c r="F82" i="78"/>
  <c r="G82" i="78" s="1"/>
  <c r="B82" i="78"/>
  <c r="AC81" i="78"/>
  <c r="F81" i="78"/>
  <c r="G81" i="78" s="1"/>
  <c r="B81" i="78"/>
  <c r="AC80" i="78"/>
  <c r="F80" i="78"/>
  <c r="P80" i="78" s="1"/>
  <c r="B80" i="78"/>
  <c r="AC79" i="78"/>
  <c r="F79" i="78"/>
  <c r="B79" i="78"/>
  <c r="AC78" i="78"/>
  <c r="F78" i="78"/>
  <c r="P78" i="78" s="1"/>
  <c r="B78" i="78"/>
  <c r="F77" i="78"/>
  <c r="P77" i="78" s="1"/>
  <c r="B77" i="78"/>
  <c r="F76" i="78"/>
  <c r="P76" i="78" s="1"/>
  <c r="B76" i="78"/>
  <c r="Y75" i="78"/>
  <c r="F75" i="78"/>
  <c r="B75" i="78"/>
  <c r="F74" i="78"/>
  <c r="G74" i="78" s="1"/>
  <c r="B74" i="78"/>
  <c r="F73" i="78"/>
  <c r="B73" i="78"/>
  <c r="F72" i="78"/>
  <c r="P72" i="78" s="1"/>
  <c r="B72" i="78"/>
  <c r="F71" i="78"/>
  <c r="P71" i="78" s="1"/>
  <c r="B71" i="78"/>
  <c r="F70" i="78"/>
  <c r="G70" i="78" s="1"/>
  <c r="B70" i="78"/>
  <c r="F69" i="78"/>
  <c r="B69" i="78"/>
  <c r="F68" i="78"/>
  <c r="P68" i="78" s="1"/>
  <c r="B68" i="78"/>
  <c r="Y67" i="78"/>
  <c r="F67" i="78"/>
  <c r="G67" i="78" s="1"/>
  <c r="B67" i="78"/>
  <c r="F66" i="78"/>
  <c r="B66" i="78"/>
  <c r="F65" i="78"/>
  <c r="P65" i="78" s="1"/>
  <c r="B65" i="78"/>
  <c r="F64" i="78"/>
  <c r="G64" i="78" s="1"/>
  <c r="B64" i="78"/>
  <c r="F63" i="78"/>
  <c r="G63" i="78" s="1"/>
  <c r="B63" i="78"/>
  <c r="F62" i="78"/>
  <c r="P62" i="78" s="1"/>
  <c r="B62" i="78"/>
  <c r="F61" i="78"/>
  <c r="P61" i="78" s="1"/>
  <c r="B61" i="78"/>
  <c r="F60" i="78"/>
  <c r="P60" i="78" s="1"/>
  <c r="B60" i="78"/>
  <c r="Y59" i="78"/>
  <c r="F59" i="78"/>
  <c r="P59" i="78" s="1"/>
  <c r="B59" i="78"/>
  <c r="F58" i="78"/>
  <c r="B58" i="78"/>
  <c r="F57" i="78"/>
  <c r="P57" i="78" s="1"/>
  <c r="B57" i="78"/>
  <c r="F56" i="78"/>
  <c r="P56" i="78" s="1"/>
  <c r="B56" i="78"/>
  <c r="F55" i="78"/>
  <c r="P55" i="78" s="1"/>
  <c r="B55" i="78"/>
  <c r="F54" i="78"/>
  <c r="B54" i="78"/>
  <c r="F53" i="78"/>
  <c r="P53" i="78" s="1"/>
  <c r="B53" i="78"/>
  <c r="F52" i="78"/>
  <c r="P52" i="78" s="1"/>
  <c r="B52" i="78"/>
  <c r="Y51" i="78"/>
  <c r="F51" i="78"/>
  <c r="P51" i="78" s="1"/>
  <c r="B51" i="78"/>
  <c r="F50" i="78"/>
  <c r="P50" i="78" s="1"/>
  <c r="B50" i="78"/>
  <c r="F49" i="78"/>
  <c r="P49" i="78" s="1"/>
  <c r="B49" i="78"/>
  <c r="F48" i="78"/>
  <c r="P48" i="78" s="1"/>
  <c r="B48" i="78"/>
  <c r="F47" i="78"/>
  <c r="P47" i="78" s="1"/>
  <c r="B47" i="78"/>
  <c r="F46" i="78"/>
  <c r="B46" i="78"/>
  <c r="F45" i="78"/>
  <c r="B45" i="78"/>
  <c r="F44" i="78"/>
  <c r="B44" i="78"/>
  <c r="Y43" i="78"/>
  <c r="F43" i="78"/>
  <c r="P43" i="78" s="1"/>
  <c r="B43" i="78"/>
  <c r="F42" i="78"/>
  <c r="P42" i="78" s="1"/>
  <c r="B42" i="78"/>
  <c r="F41" i="78"/>
  <c r="P41" i="78" s="1"/>
  <c r="B41" i="78"/>
  <c r="F40" i="78"/>
  <c r="B40" i="78"/>
  <c r="F39" i="78"/>
  <c r="P39" i="78" s="1"/>
  <c r="B39" i="78"/>
  <c r="F38" i="78"/>
  <c r="B38" i="78"/>
  <c r="F37" i="78"/>
  <c r="P37" i="78" s="1"/>
  <c r="B37" i="78"/>
  <c r="F36" i="78"/>
  <c r="G36" i="78" s="1"/>
  <c r="B36" i="78"/>
  <c r="Y35" i="78"/>
  <c r="F35" i="78"/>
  <c r="B35" i="78"/>
  <c r="F34" i="78"/>
  <c r="G34" i="78" s="1"/>
  <c r="B34" i="78"/>
  <c r="F33" i="78"/>
  <c r="G33" i="78" s="1"/>
  <c r="B33" i="78"/>
  <c r="F32" i="78"/>
  <c r="P32" i="78" s="1"/>
  <c r="B32" i="78"/>
  <c r="F31" i="78"/>
  <c r="B31" i="78"/>
  <c r="F30" i="78"/>
  <c r="G30" i="78" s="1"/>
  <c r="B30" i="78"/>
  <c r="F29" i="78"/>
  <c r="G29" i="78" s="1"/>
  <c r="B29" i="78"/>
  <c r="F28" i="78"/>
  <c r="P28" i="78" s="1"/>
  <c r="B28" i="78"/>
  <c r="Y27" i="78"/>
  <c r="F27" i="78"/>
  <c r="P27" i="78" s="1"/>
  <c r="B27" i="78"/>
  <c r="F26" i="78"/>
  <c r="G26" i="78" s="1"/>
  <c r="B26" i="78"/>
  <c r="F25" i="78"/>
  <c r="P25" i="78" s="1"/>
  <c r="B25" i="78"/>
  <c r="F24" i="78"/>
  <c r="B24" i="78"/>
  <c r="F23" i="78"/>
  <c r="G23" i="78" s="1"/>
  <c r="B23" i="78"/>
  <c r="F22" i="78"/>
  <c r="G22" i="78" s="1"/>
  <c r="B22" i="78"/>
  <c r="F21" i="78"/>
  <c r="P21" i="78" s="1"/>
  <c r="B21" i="78"/>
  <c r="F20" i="78"/>
  <c r="B20" i="78"/>
  <c r="Y19" i="78"/>
  <c r="F19" i="78"/>
  <c r="G19" i="78" s="1"/>
  <c r="B19" i="78"/>
  <c r="F18" i="78"/>
  <c r="P18" i="78" s="1"/>
  <c r="B18" i="78"/>
  <c r="F17" i="78"/>
  <c r="B17" i="78"/>
  <c r="F16" i="78"/>
  <c r="P16" i="78" s="1"/>
  <c r="B16" i="78"/>
  <c r="F15" i="78"/>
  <c r="G15" i="78" s="1"/>
  <c r="B15" i="78"/>
  <c r="F14" i="78"/>
  <c r="P14" i="78" s="1"/>
  <c r="B14" i="78"/>
  <c r="F13" i="78"/>
  <c r="G13" i="78" s="1"/>
  <c r="B13" i="78"/>
  <c r="F12" i="78"/>
  <c r="P12" i="78" s="1"/>
  <c r="B12" i="78"/>
  <c r="Y11" i="78"/>
  <c r="F11" i="78"/>
  <c r="P11" i="78" s="1"/>
  <c r="B11" i="78"/>
  <c r="F10" i="78"/>
  <c r="G10" i="78" s="1"/>
  <c r="B10" i="78"/>
  <c r="F9" i="78"/>
  <c r="P9" i="78" s="1"/>
  <c r="B9" i="78"/>
  <c r="F8" i="78"/>
  <c r="P8" i="78" s="1"/>
  <c r="B8" i="78"/>
  <c r="F7" i="78"/>
  <c r="P7" i="78" s="1"/>
  <c r="B7" i="78"/>
  <c r="F6" i="78"/>
  <c r="G6" i="78" s="1"/>
  <c r="B6" i="78"/>
  <c r="F5" i="78"/>
  <c r="P5" i="78" s="1"/>
  <c r="B5" i="78"/>
  <c r="F4" i="78"/>
  <c r="P4" i="78" s="1"/>
  <c r="B4" i="78"/>
  <c r="Y3" i="78"/>
  <c r="F3" i="78"/>
  <c r="P3" i="78" s="1"/>
  <c r="B3" i="78"/>
  <c r="B1" i="78"/>
  <c r="E1" i="78" s="1"/>
  <c r="A1" i="78"/>
  <c r="A1" i="67"/>
  <c r="P127" i="78" l="1"/>
  <c r="G113" i="78"/>
  <c r="G120" i="78"/>
  <c r="G71" i="78"/>
  <c r="P92" i="78"/>
  <c r="P93" i="78"/>
  <c r="P94" i="78"/>
  <c r="P23" i="78"/>
  <c r="G32" i="78"/>
  <c r="G56" i="78"/>
  <c r="P63" i="78"/>
  <c r="G18" i="78"/>
  <c r="P19" i="78"/>
  <c r="P22" i="78"/>
  <c r="G27" i="78"/>
  <c r="P67" i="78"/>
  <c r="G68" i="78"/>
  <c r="G78" i="78"/>
  <c r="P102" i="78"/>
  <c r="G109" i="78"/>
  <c r="P135" i="78"/>
  <c r="G8" i="78"/>
  <c r="P29" i="78"/>
  <c r="P34" i="78"/>
  <c r="G52" i="78"/>
  <c r="P74" i="78"/>
  <c r="P82" i="78"/>
  <c r="P84" i="78"/>
  <c r="G85" i="78"/>
  <c r="P96" i="78"/>
  <c r="G9" i="78"/>
  <c r="P10" i="78"/>
  <c r="P30" i="78"/>
  <c r="P33" i="78"/>
  <c r="G57" i="78"/>
  <c r="G62" i="78"/>
  <c r="P95" i="78"/>
  <c r="G110" i="78"/>
  <c r="G5" i="78"/>
  <c r="G14" i="78"/>
  <c r="P26" i="78"/>
  <c r="G28" i="78"/>
  <c r="G53" i="78"/>
  <c r="P64" i="78"/>
  <c r="P70" i="78"/>
  <c r="P123" i="78"/>
  <c r="P126" i="78"/>
  <c r="P134" i="78"/>
  <c r="G155" i="78"/>
  <c r="P140" i="78"/>
  <c r="P13" i="78"/>
  <c r="G21" i="78"/>
  <c r="G25" i="78"/>
  <c r="P36" i="78"/>
  <c r="G60" i="78"/>
  <c r="G61" i="78"/>
  <c r="G76" i="78"/>
  <c r="G98" i="78"/>
  <c r="P99" i="78"/>
  <c r="P100" i="78"/>
  <c r="G106" i="78"/>
  <c r="G107" i="78"/>
  <c r="P108" i="78"/>
  <c r="P112" i="78"/>
  <c r="G116" i="78"/>
  <c r="P119" i="78"/>
  <c r="G129" i="78"/>
  <c r="G139" i="78"/>
  <c r="P147" i="78"/>
  <c r="G152" i="78"/>
  <c r="D25" i="78"/>
  <c r="R25" i="78" s="1"/>
  <c r="G3" i="78"/>
  <c r="G11" i="78"/>
  <c r="G12" i="78"/>
  <c r="G16" i="78"/>
  <c r="G65" i="78"/>
  <c r="P81" i="78"/>
  <c r="G88" i="78"/>
  <c r="P97" i="78"/>
  <c r="G103" i="78"/>
  <c r="P131" i="78"/>
  <c r="G132" i="78"/>
  <c r="P138" i="78"/>
  <c r="P141" i="78"/>
  <c r="D6" i="78"/>
  <c r="J6" i="78" s="1"/>
  <c r="D36" i="78"/>
  <c r="D4" i="78"/>
  <c r="W4" i="78" s="1"/>
  <c r="D14" i="78"/>
  <c r="S14" i="78" s="1"/>
  <c r="D22" i="78"/>
  <c r="D29" i="78"/>
  <c r="W29" i="78" s="1"/>
  <c r="D5" i="78"/>
  <c r="R5" i="78" s="1"/>
  <c r="D11" i="78"/>
  <c r="N11" i="78" s="1"/>
  <c r="D28" i="78"/>
  <c r="F1" i="78"/>
  <c r="D1" i="78" s="1"/>
  <c r="D12" i="78"/>
  <c r="D16" i="78"/>
  <c r="N16" i="78" s="1"/>
  <c r="D19" i="78"/>
  <c r="R19" i="78" s="1"/>
  <c r="D20" i="78"/>
  <c r="N20" i="78" s="1"/>
  <c r="D21" i="78"/>
  <c r="Q21" i="78" s="1"/>
  <c r="D35" i="78"/>
  <c r="W35" i="78" s="1"/>
  <c r="D3" i="78"/>
  <c r="D13" i="78"/>
  <c r="D15" i="78"/>
  <c r="W15" i="78" s="1"/>
  <c r="D17" i="78"/>
  <c r="N17" i="78" s="1"/>
  <c r="D32" i="78"/>
  <c r="I32" i="78" s="1"/>
  <c r="D33" i="78"/>
  <c r="N33" i="78" s="1"/>
  <c r="D7" i="78"/>
  <c r="D8" i="78"/>
  <c r="S8" i="78" s="1"/>
  <c r="D24" i="78"/>
  <c r="N24" i="78" s="1"/>
  <c r="D31" i="78"/>
  <c r="N31" i="78" s="1"/>
  <c r="D37" i="78"/>
  <c r="N37" i="78" s="1"/>
  <c r="P46" i="78"/>
  <c r="G46" i="78"/>
  <c r="P66" i="78"/>
  <c r="G66" i="78"/>
  <c r="G4" i="78"/>
  <c r="P35" i="78"/>
  <c r="G35" i="78"/>
  <c r="P40" i="78"/>
  <c r="G40" i="78"/>
  <c r="P15" i="78"/>
  <c r="P20" i="78"/>
  <c r="G20" i="78"/>
  <c r="P38" i="78"/>
  <c r="G38" i="78"/>
  <c r="P86" i="78"/>
  <c r="G86" i="78"/>
  <c r="P31" i="78"/>
  <c r="G31" i="78"/>
  <c r="G1" i="78"/>
  <c r="G7" i="78"/>
  <c r="P6" i="78"/>
  <c r="P17" i="78"/>
  <c r="G17" i="78"/>
  <c r="P24" i="78"/>
  <c r="G24" i="78"/>
  <c r="D39" i="78"/>
  <c r="D41" i="78"/>
  <c r="P45" i="78"/>
  <c r="G45" i="78"/>
  <c r="P54" i="78"/>
  <c r="G54" i="78"/>
  <c r="D23" i="78"/>
  <c r="D27" i="78"/>
  <c r="D30" i="78"/>
  <c r="D34" i="78"/>
  <c r="G43" i="78"/>
  <c r="P44" i="78"/>
  <c r="G44" i="78"/>
  <c r="P58" i="78"/>
  <c r="G58" i="78"/>
  <c r="D42" i="78"/>
  <c r="G37" i="78"/>
  <c r="D38" i="78"/>
  <c r="G39" i="78"/>
  <c r="D40" i="78"/>
  <c r="G41" i="78"/>
  <c r="G42" i="78"/>
  <c r="P73" i="78"/>
  <c r="G73" i="78"/>
  <c r="P79" i="78"/>
  <c r="G79" i="78"/>
  <c r="P83" i="78"/>
  <c r="G83" i="78"/>
  <c r="P89" i="78"/>
  <c r="G89" i="78"/>
  <c r="G47" i="78"/>
  <c r="G48" i="78"/>
  <c r="G49" i="78"/>
  <c r="G50" i="78"/>
  <c r="G51" i="78"/>
  <c r="G55" i="78"/>
  <c r="G59" i="78"/>
  <c r="G72" i="78"/>
  <c r="P75" i="78"/>
  <c r="G75" i="78"/>
  <c r="P69" i="78"/>
  <c r="G69" i="78"/>
  <c r="P91" i="78"/>
  <c r="G91" i="78"/>
  <c r="P104" i="78"/>
  <c r="G104" i="78"/>
  <c r="P128" i="78"/>
  <c r="G128" i="78"/>
  <c r="G77" i="78"/>
  <c r="G80" i="78"/>
  <c r="P87" i="78"/>
  <c r="P90" i="78"/>
  <c r="G90" i="78"/>
  <c r="G105" i="78"/>
  <c r="P105" i="78"/>
  <c r="P114" i="78"/>
  <c r="G114" i="78"/>
  <c r="P130" i="78"/>
  <c r="G130" i="78"/>
  <c r="P136" i="78"/>
  <c r="G136" i="78"/>
  <c r="G101" i="78"/>
  <c r="P111" i="78"/>
  <c r="G111" i="78"/>
  <c r="P117" i="78"/>
  <c r="G117" i="78"/>
  <c r="P121" i="78"/>
  <c r="G121" i="78"/>
  <c r="P124" i="78"/>
  <c r="G124" i="78"/>
  <c r="G115" i="78"/>
  <c r="G118" i="78"/>
  <c r="G122" i="78"/>
  <c r="G125" i="78"/>
  <c r="P133" i="78"/>
  <c r="G133" i="78"/>
  <c r="G137" i="78"/>
  <c r="P156" i="78"/>
  <c r="G156" i="78"/>
  <c r="G146" i="78"/>
  <c r="G149" i="78"/>
  <c r="P148" i="78"/>
  <c r="P153" i="78"/>
  <c r="G153" i="78"/>
  <c r="P157" i="78"/>
  <c r="G157" i="78"/>
  <c r="G154" i="78"/>
  <c r="AC93" i="28"/>
  <c r="I3" i="78" l="1"/>
  <c r="R22" i="78"/>
  <c r="I35" i="78"/>
  <c r="Q25" i="78"/>
  <c r="N25" i="78"/>
  <c r="R13" i="78"/>
  <c r="S25" i="78"/>
  <c r="X25" i="78" s="1"/>
  <c r="S36" i="78"/>
  <c r="H25" i="78"/>
  <c r="I36" i="78"/>
  <c r="I29" i="78"/>
  <c r="Q36" i="78"/>
  <c r="N29" i="78"/>
  <c r="N36" i="78"/>
  <c r="H29" i="78"/>
  <c r="R29" i="78"/>
  <c r="S35" i="78"/>
  <c r="R36" i="78"/>
  <c r="C1" i="78"/>
  <c r="S29" i="78"/>
  <c r="H7" i="78"/>
  <c r="H6" i="78"/>
  <c r="S28" i="78"/>
  <c r="W25" i="78"/>
  <c r="N22" i="78"/>
  <c r="J19" i="78"/>
  <c r="N4" i="78"/>
  <c r="S22" i="78"/>
  <c r="Q35" i="78"/>
  <c r="R35" i="78"/>
  <c r="N19" i="78"/>
  <c r="I6" i="78"/>
  <c r="O6" i="78" s="1"/>
  <c r="H22" i="78"/>
  <c r="AD142" i="78"/>
  <c r="Q22" i="78"/>
  <c r="W22" i="78"/>
  <c r="R15" i="78"/>
  <c r="J35" i="78"/>
  <c r="N28" i="78"/>
  <c r="J25" i="78"/>
  <c r="S19" i="78"/>
  <c r="X19" i="78" s="1"/>
  <c r="N6" i="78"/>
  <c r="I25" i="78"/>
  <c r="AE142" i="78"/>
  <c r="N35" i="78"/>
  <c r="J22" i="78"/>
  <c r="H19" i="78"/>
  <c r="J15" i="78"/>
  <c r="R28" i="78"/>
  <c r="W6" i="78"/>
  <c r="H15" i="78"/>
  <c r="S7" i="78"/>
  <c r="I15" i="78"/>
  <c r="Q19" i="78"/>
  <c r="W19" i="78"/>
  <c r="Q15" i="78"/>
  <c r="N15" i="78"/>
  <c r="S15" i="78"/>
  <c r="J36" i="78"/>
  <c r="W36" i="78"/>
  <c r="I22" i="78"/>
  <c r="J17" i="78"/>
  <c r="R6" i="78"/>
  <c r="Q28" i="78"/>
  <c r="W17" i="78"/>
  <c r="Q29" i="78"/>
  <c r="W28" i="78"/>
  <c r="I19" i="78"/>
  <c r="H31" i="78"/>
  <c r="R31" i="78"/>
  <c r="I31" i="78"/>
  <c r="J31" i="78"/>
  <c r="S31" i="78"/>
  <c r="Q31" i="78"/>
  <c r="W31" i="78"/>
  <c r="D45" i="78"/>
  <c r="D73" i="78"/>
  <c r="D53" i="78"/>
  <c r="J53" i="78" s="1"/>
  <c r="D56" i="78"/>
  <c r="W56" i="78" s="1"/>
  <c r="D71" i="78"/>
  <c r="Q71" i="78" s="1"/>
  <c r="D153" i="78"/>
  <c r="H153" i="78" s="1"/>
  <c r="D137" i="78"/>
  <c r="D115" i="78"/>
  <c r="S115" i="78" s="1"/>
  <c r="D122" i="78"/>
  <c r="D90" i="78"/>
  <c r="S90" i="78" s="1"/>
  <c r="D54" i="78"/>
  <c r="D77" i="78"/>
  <c r="D55" i="78"/>
  <c r="S55" i="78" s="1"/>
  <c r="D83" i="78"/>
  <c r="D78" i="78"/>
  <c r="W78" i="78" s="1"/>
  <c r="D97" i="78"/>
  <c r="W97" i="78" s="1"/>
  <c r="D61" i="78"/>
  <c r="D105" i="78"/>
  <c r="S105" i="78" s="1"/>
  <c r="D89" i="78"/>
  <c r="D102" i="78"/>
  <c r="D126" i="78"/>
  <c r="D107" i="78"/>
  <c r="D117" i="78"/>
  <c r="D119" i="78"/>
  <c r="W119" i="78" s="1"/>
  <c r="D134" i="78"/>
  <c r="D132" i="78"/>
  <c r="D144" i="78"/>
  <c r="D146" i="78"/>
  <c r="D166" i="78"/>
  <c r="D160" i="78"/>
  <c r="D163" i="78"/>
  <c r="D158" i="78"/>
  <c r="D172" i="78"/>
  <c r="S172" i="78" s="1"/>
  <c r="D18" i="78"/>
  <c r="R18" i="78" s="1"/>
  <c r="D67" i="78"/>
  <c r="D142" i="78"/>
  <c r="D131" i="78"/>
  <c r="D125" i="78"/>
  <c r="D46" i="78"/>
  <c r="D93" i="78"/>
  <c r="D84" i="78"/>
  <c r="D88" i="78"/>
  <c r="D112" i="78"/>
  <c r="D103" i="78"/>
  <c r="D121" i="78"/>
  <c r="D127" i="78"/>
  <c r="D145" i="78"/>
  <c r="D150" i="78"/>
  <c r="J150" i="78" s="1" a="1"/>
  <c r="J150" i="78" s="1"/>
  <c r="D168" i="78"/>
  <c r="D70" i="78"/>
  <c r="D136" i="78"/>
  <c r="D101" i="78"/>
  <c r="W101" i="78" s="1"/>
  <c r="D58" i="78"/>
  <c r="D72" i="78"/>
  <c r="D76" i="78"/>
  <c r="D64" i="78"/>
  <c r="W64" i="78" s="1"/>
  <c r="D100" i="78"/>
  <c r="D124" i="78"/>
  <c r="D128" i="78"/>
  <c r="D141" i="78"/>
  <c r="D151" i="78"/>
  <c r="D170" i="78"/>
  <c r="D51" i="78"/>
  <c r="D9" i="78"/>
  <c r="D59" i="78"/>
  <c r="D52" i="78"/>
  <c r="S52" i="78" s="1"/>
  <c r="D48" i="78"/>
  <c r="S48" i="78" s="1"/>
  <c r="D74" i="78"/>
  <c r="I74" i="78" s="1"/>
  <c r="D63" i="78"/>
  <c r="D79" i="78"/>
  <c r="D171" i="78"/>
  <c r="R171" i="78" s="1"/>
  <c r="D130" i="78"/>
  <c r="D104" i="78"/>
  <c r="D118" i="78"/>
  <c r="D92" i="78"/>
  <c r="D43" i="78"/>
  <c r="D69" i="78"/>
  <c r="D57" i="78"/>
  <c r="N57" i="78" s="1"/>
  <c r="D87" i="78"/>
  <c r="D68" i="78"/>
  <c r="D81" i="78"/>
  <c r="S81" i="78" s="1"/>
  <c r="D99" i="78"/>
  <c r="N99" i="78" s="1"/>
  <c r="D94" i="78"/>
  <c r="I94" i="78" s="1"/>
  <c r="D108" i="78"/>
  <c r="W108" i="78" s="1"/>
  <c r="D95" i="78"/>
  <c r="D114" i="78"/>
  <c r="Q114" i="78" s="1"/>
  <c r="D109" i="78"/>
  <c r="I109" i="78" s="1"/>
  <c r="D120" i="78"/>
  <c r="D135" i="78"/>
  <c r="D139" i="78"/>
  <c r="D154" i="78"/>
  <c r="N154" i="78" s="1"/>
  <c r="D143" i="78"/>
  <c r="W143" i="78" s="1"/>
  <c r="D169" i="78"/>
  <c r="D149" i="78"/>
  <c r="D165" i="78"/>
  <c r="D164" i="78"/>
  <c r="D162" i="78"/>
  <c r="W162" i="78" s="1"/>
  <c r="D47" i="78"/>
  <c r="D26" i="78"/>
  <c r="D85" i="78"/>
  <c r="D44" i="78"/>
  <c r="D49" i="78"/>
  <c r="D156" i="78"/>
  <c r="H156" i="78" s="1"/>
  <c r="D133" i="78"/>
  <c r="W133" i="78" s="1"/>
  <c r="D66" i="78"/>
  <c r="D80" i="78"/>
  <c r="D60" i="78"/>
  <c r="D75" i="78"/>
  <c r="D86" i="78"/>
  <c r="D96" i="78"/>
  <c r="D98" i="78"/>
  <c r="H98" i="78" s="1"/>
  <c r="D110" i="78"/>
  <c r="D140" i="78"/>
  <c r="D152" i="78"/>
  <c r="I152" i="78" s="1"/>
  <c r="D155" i="78"/>
  <c r="J155" i="78" s="1"/>
  <c r="D167" i="78"/>
  <c r="S167" i="78" s="1"/>
  <c r="D147" i="78"/>
  <c r="N147" i="78" s="1"/>
  <c r="D157" i="78"/>
  <c r="Q157" i="78" s="1"/>
  <c r="D138" i="78"/>
  <c r="D111" i="78"/>
  <c r="D91" i="78"/>
  <c r="W91" i="78" s="1"/>
  <c r="D62" i="78"/>
  <c r="D50" i="78"/>
  <c r="N50" i="78" s="1"/>
  <c r="D65" i="78"/>
  <c r="D82" i="78"/>
  <c r="W82" i="78" s="1"/>
  <c r="D113" i="78"/>
  <c r="D106" i="78"/>
  <c r="D116" i="78"/>
  <c r="D123" i="78"/>
  <c r="N123" i="78" s="1"/>
  <c r="D129" i="78"/>
  <c r="D148" i="78"/>
  <c r="D161" i="78"/>
  <c r="N161" i="78" s="1"/>
  <c r="D159" i="78"/>
  <c r="N159" i="78" s="1"/>
  <c r="J29" i="78"/>
  <c r="H5" i="78"/>
  <c r="S4" i="78"/>
  <c r="I5" i="78"/>
  <c r="Q4" i="78"/>
  <c r="H32" i="78"/>
  <c r="J5" i="78"/>
  <c r="Q13" i="78"/>
  <c r="R4" i="78"/>
  <c r="Q5" i="78"/>
  <c r="D10" i="78"/>
  <c r="W10" i="78" s="1"/>
  <c r="I33" i="78"/>
  <c r="R16" i="78"/>
  <c r="H33" i="78"/>
  <c r="J24" i="78"/>
  <c r="W24" i="78"/>
  <c r="S13" i="78"/>
  <c r="R11" i="78"/>
  <c r="R33" i="78"/>
  <c r="S16" i="78"/>
  <c r="W16" i="78"/>
  <c r="R24" i="78"/>
  <c r="H24" i="78"/>
  <c r="W13" i="78"/>
  <c r="J16" i="78"/>
  <c r="H16" i="78"/>
  <c r="N13" i="78"/>
  <c r="I24" i="78"/>
  <c r="I13" i="78"/>
  <c r="W14" i="78"/>
  <c r="J4" i="78"/>
  <c r="S5" i="78"/>
  <c r="X5" i="78" s="1"/>
  <c r="N5" i="78"/>
  <c r="I4" i="78"/>
  <c r="H4" i="78"/>
  <c r="W5" i="78"/>
  <c r="Q14" i="78"/>
  <c r="N32" i="78"/>
  <c r="Q32" i="78"/>
  <c r="N14" i="78"/>
  <c r="R32" i="78"/>
  <c r="S32" i="78"/>
  <c r="Q8" i="78"/>
  <c r="N21" i="78"/>
  <c r="Q11" i="78"/>
  <c r="J32" i="78"/>
  <c r="O32" i="78" s="1"/>
  <c r="W32" i="78"/>
  <c r="R17" i="78"/>
  <c r="H14" i="78"/>
  <c r="R14" i="78"/>
  <c r="X14" i="78" s="1"/>
  <c r="I11" i="78"/>
  <c r="I7" i="78"/>
  <c r="Q7" i="78"/>
  <c r="Q17" i="78"/>
  <c r="R21" i="78"/>
  <c r="S11" i="78"/>
  <c r="J7" i="78"/>
  <c r="W11" i="78"/>
  <c r="S21" i="78"/>
  <c r="J11" i="78"/>
  <c r="H11" i="78"/>
  <c r="I14" i="78"/>
  <c r="Q37" i="78"/>
  <c r="J14" i="78"/>
  <c r="S17" i="78"/>
  <c r="W21" i="78"/>
  <c r="W3" i="78"/>
  <c r="N3" i="78"/>
  <c r="R37" i="78"/>
  <c r="J20" i="78"/>
  <c r="N12" i="78"/>
  <c r="J8" i="78"/>
  <c r="Q33" i="78"/>
  <c r="S33" i="78"/>
  <c r="R8" i="78"/>
  <c r="X8" i="78" s="1"/>
  <c r="W7" i="78"/>
  <c r="N7" i="78"/>
  <c r="H8" i="78"/>
  <c r="W12" i="78"/>
  <c r="W37" i="78"/>
  <c r="Q3" i="78"/>
  <c r="R12" i="78"/>
  <c r="I8" i="78"/>
  <c r="J3" i="78"/>
  <c r="J33" i="78"/>
  <c r="W33" i="78"/>
  <c r="R20" i="78"/>
  <c r="R3" i="78"/>
  <c r="R7" i="78"/>
  <c r="H13" i="78"/>
  <c r="J13" i="78"/>
  <c r="I16" i="78"/>
  <c r="Q16" i="78"/>
  <c r="W8" i="78"/>
  <c r="N8" i="78"/>
  <c r="S37" i="78"/>
  <c r="I20" i="78"/>
  <c r="S12" i="78"/>
  <c r="W20" i="78"/>
  <c r="S3" i="78"/>
  <c r="H3" i="78"/>
  <c r="AH135" i="78"/>
  <c r="AH142" i="78"/>
  <c r="S6" i="78"/>
  <c r="AK135" i="78"/>
  <c r="AG135" i="78"/>
  <c r="AL135" i="78"/>
  <c r="AE135" i="78"/>
  <c r="AF135" i="78"/>
  <c r="AL142" i="78"/>
  <c r="S40" i="78"/>
  <c r="N40" i="78"/>
  <c r="W40" i="78"/>
  <c r="R40" i="78"/>
  <c r="Q40" i="78"/>
  <c r="R27" i="78"/>
  <c r="N27" i="78"/>
  <c r="J27" i="78"/>
  <c r="Q27" i="78"/>
  <c r="I27" i="78"/>
  <c r="H27" i="78"/>
  <c r="W27" i="78"/>
  <c r="S27" i="78"/>
  <c r="J37" i="78"/>
  <c r="I37" i="78"/>
  <c r="H20" i="78"/>
  <c r="Q6" i="78"/>
  <c r="AG142" i="78"/>
  <c r="AL136" i="78"/>
  <c r="R30" i="78"/>
  <c r="N30" i="78"/>
  <c r="J30" i="78"/>
  <c r="Q30" i="78"/>
  <c r="I30" i="78"/>
  <c r="H30" i="78"/>
  <c r="W30" i="78"/>
  <c r="S30" i="78"/>
  <c r="AG136" i="78"/>
  <c r="AD136" i="78"/>
  <c r="AE136" i="78"/>
  <c r="AF142" i="78"/>
  <c r="AF136" i="78"/>
  <c r="Q42" i="78"/>
  <c r="I42" i="78"/>
  <c r="H42" i="78"/>
  <c r="W42" i="78"/>
  <c r="N42" i="78"/>
  <c r="S42" i="78"/>
  <c r="J42" i="78"/>
  <c r="R42" i="78"/>
  <c r="R23" i="78"/>
  <c r="N23" i="78"/>
  <c r="J23" i="78"/>
  <c r="Q23" i="78"/>
  <c r="I23" i="78"/>
  <c r="H23" i="78"/>
  <c r="S23" i="78"/>
  <c r="W23" i="78"/>
  <c r="Q41" i="78"/>
  <c r="H41" i="78"/>
  <c r="N41" i="78"/>
  <c r="S41" i="78"/>
  <c r="R41" i="78"/>
  <c r="J41" i="78"/>
  <c r="I41" i="78"/>
  <c r="W41" i="78"/>
  <c r="H37" i="78"/>
  <c r="S24" i="78"/>
  <c r="Q24" i="78"/>
  <c r="H17" i="78"/>
  <c r="I17" i="78"/>
  <c r="AK142" i="78"/>
  <c r="AD135" i="78"/>
  <c r="AK136" i="78"/>
  <c r="AH136" i="78"/>
  <c r="H38" i="78"/>
  <c r="J38" i="78"/>
  <c r="S38" i="78"/>
  <c r="N38" i="78"/>
  <c r="I38" i="78"/>
  <c r="W38" i="78"/>
  <c r="R38" i="78"/>
  <c r="Q38" i="78"/>
  <c r="R34" i="78"/>
  <c r="N34" i="78"/>
  <c r="J34" i="78"/>
  <c r="Q34" i="78"/>
  <c r="I34" i="78"/>
  <c r="H34" i="78"/>
  <c r="W34" i="78"/>
  <c r="S34" i="78"/>
  <c r="H39" i="78"/>
  <c r="W39" i="78"/>
  <c r="R39" i="78"/>
  <c r="Q39" i="78"/>
  <c r="J39" i="78"/>
  <c r="I39" i="78"/>
  <c r="S39" i="78"/>
  <c r="N39" i="78"/>
  <c r="H35" i="78"/>
  <c r="S20" i="78"/>
  <c r="B5" i="67"/>
  <c r="B6" i="67"/>
  <c r="B7" i="67"/>
  <c r="B8" i="67"/>
  <c r="B9" i="67"/>
  <c r="B10" i="67"/>
  <c r="B11" i="67"/>
  <c r="B12" i="67"/>
  <c r="B13" i="67"/>
  <c r="B14" i="67"/>
  <c r="B15" i="67"/>
  <c r="B16" i="67"/>
  <c r="B17" i="67"/>
  <c r="B18" i="67"/>
  <c r="B4" i="67"/>
  <c r="C227" i="21"/>
  <c r="B228" i="21"/>
  <c r="B229" i="21"/>
  <c r="B230" i="21"/>
  <c r="B231" i="21"/>
  <c r="B232" i="21"/>
  <c r="B233" i="21"/>
  <c r="B234" i="21"/>
  <c r="B235" i="21"/>
  <c r="B236" i="21"/>
  <c r="B237" i="21"/>
  <c r="B238" i="21"/>
  <c r="B239" i="21"/>
  <c r="B240" i="21"/>
  <c r="B241" i="21"/>
  <c r="B210" i="21"/>
  <c r="B211" i="21"/>
  <c r="B165" i="21"/>
  <c r="B166" i="21"/>
  <c r="B180" i="21"/>
  <c r="B181" i="21"/>
  <c r="L3" i="68"/>
  <c r="B183" i="21"/>
  <c r="B184" i="21"/>
  <c r="B185" i="21"/>
  <c r="B186" i="21"/>
  <c r="B187" i="21"/>
  <c r="B188" i="21"/>
  <c r="B189" i="21"/>
  <c r="B190" i="21"/>
  <c r="B191" i="21"/>
  <c r="B192" i="21"/>
  <c r="B193" i="21"/>
  <c r="B194" i="21"/>
  <c r="B195" i="21"/>
  <c r="B196" i="21"/>
  <c r="B182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77" i="21"/>
  <c r="B5" i="60"/>
  <c r="B6" i="60"/>
  <c r="B7" i="60"/>
  <c r="B8" i="60"/>
  <c r="B9" i="60"/>
  <c r="B10" i="60"/>
  <c r="B11" i="60"/>
  <c r="B12" i="60"/>
  <c r="B13" i="60"/>
  <c r="B14" i="60"/>
  <c r="B15" i="60"/>
  <c r="B16" i="60"/>
  <c r="B17" i="60"/>
  <c r="B18" i="60"/>
  <c r="B4" i="60"/>
  <c r="B5" i="75"/>
  <c r="B6" i="75"/>
  <c r="B7" i="75"/>
  <c r="B8" i="75"/>
  <c r="B9" i="75"/>
  <c r="B10" i="75"/>
  <c r="B11" i="75"/>
  <c r="B12" i="75"/>
  <c r="B13" i="75"/>
  <c r="B14" i="75"/>
  <c r="B15" i="75"/>
  <c r="B16" i="75"/>
  <c r="B17" i="75"/>
  <c r="B18" i="75"/>
  <c r="B4" i="75"/>
  <c r="B5" i="64"/>
  <c r="B6" i="64"/>
  <c r="B7" i="64"/>
  <c r="B8" i="64"/>
  <c r="B9" i="64"/>
  <c r="B10" i="64"/>
  <c r="B11" i="64"/>
  <c r="B12" i="64"/>
  <c r="B13" i="64"/>
  <c r="B14" i="64"/>
  <c r="B15" i="64"/>
  <c r="B16" i="64"/>
  <c r="B17" i="64"/>
  <c r="B18" i="64"/>
  <c r="B4" i="64"/>
  <c r="B5" i="62"/>
  <c r="B6" i="62"/>
  <c r="B7" i="62"/>
  <c r="B8" i="62"/>
  <c r="B9" i="62"/>
  <c r="B10" i="62"/>
  <c r="B11" i="62"/>
  <c r="B12" i="62"/>
  <c r="B13" i="62"/>
  <c r="B14" i="62"/>
  <c r="B15" i="62"/>
  <c r="B16" i="62"/>
  <c r="B17" i="62"/>
  <c r="B18" i="62"/>
  <c r="B4" i="62"/>
  <c r="B5" i="58"/>
  <c r="B6" i="58"/>
  <c r="B7" i="58"/>
  <c r="B8" i="58"/>
  <c r="B9" i="58"/>
  <c r="B10" i="58"/>
  <c r="B11" i="58"/>
  <c r="B12" i="58"/>
  <c r="B13" i="58"/>
  <c r="B14" i="58"/>
  <c r="B15" i="58"/>
  <c r="B16" i="58"/>
  <c r="B17" i="58"/>
  <c r="B18" i="58"/>
  <c r="B4" i="58"/>
  <c r="B5" i="68"/>
  <c r="B6" i="68"/>
  <c r="B7" i="68"/>
  <c r="B8" i="68"/>
  <c r="B9" i="68"/>
  <c r="B10" i="68"/>
  <c r="B11" i="68"/>
  <c r="B12" i="68"/>
  <c r="B13" i="68"/>
  <c r="B14" i="68"/>
  <c r="B15" i="68"/>
  <c r="B16" i="68"/>
  <c r="B17" i="68"/>
  <c r="B18" i="68"/>
  <c r="B4" i="68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4" i="66"/>
  <c r="B5" i="69"/>
  <c r="B6" i="69"/>
  <c r="B7" i="69"/>
  <c r="B8" i="69"/>
  <c r="B9" i="69"/>
  <c r="B10" i="69"/>
  <c r="B11" i="69"/>
  <c r="B12" i="69"/>
  <c r="B13" i="69"/>
  <c r="B14" i="69"/>
  <c r="B15" i="69"/>
  <c r="B16" i="69"/>
  <c r="B17" i="69"/>
  <c r="B18" i="69"/>
  <c r="B4" i="69"/>
  <c r="B5" i="59"/>
  <c r="B6" i="59"/>
  <c r="B7" i="59"/>
  <c r="B8" i="59"/>
  <c r="B9" i="59"/>
  <c r="B10" i="59"/>
  <c r="B11" i="59"/>
  <c r="B12" i="59"/>
  <c r="B13" i="59"/>
  <c r="B14" i="59"/>
  <c r="B15" i="59"/>
  <c r="B17" i="59"/>
  <c r="B18" i="59"/>
  <c r="B4" i="59"/>
  <c r="B5" i="65"/>
  <c r="B6" i="65"/>
  <c r="B7" i="65"/>
  <c r="B8" i="65"/>
  <c r="B9" i="65"/>
  <c r="B10" i="65"/>
  <c r="B11" i="65"/>
  <c r="B12" i="65"/>
  <c r="B13" i="65"/>
  <c r="B14" i="65"/>
  <c r="B15" i="65"/>
  <c r="B16" i="65"/>
  <c r="B17" i="65"/>
  <c r="B18" i="65"/>
  <c r="B4" i="65"/>
  <c r="B5" i="63"/>
  <c r="B6" i="63"/>
  <c r="B7" i="63"/>
  <c r="B8" i="63"/>
  <c r="B9" i="63"/>
  <c r="B10" i="63"/>
  <c r="B11" i="63"/>
  <c r="B12" i="63"/>
  <c r="B13" i="63"/>
  <c r="B14" i="63"/>
  <c r="B15" i="63"/>
  <c r="B16" i="63"/>
  <c r="B17" i="63"/>
  <c r="B18" i="63"/>
  <c r="B4" i="63"/>
  <c r="B5" i="71"/>
  <c r="B6" i="71"/>
  <c r="B7" i="71"/>
  <c r="B8" i="71"/>
  <c r="B9" i="71"/>
  <c r="B10" i="71"/>
  <c r="B11" i="71"/>
  <c r="B12" i="71"/>
  <c r="B13" i="71"/>
  <c r="B14" i="71"/>
  <c r="B15" i="71"/>
  <c r="B16" i="71"/>
  <c r="B17" i="71"/>
  <c r="B18" i="71"/>
  <c r="B4" i="71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4" i="22"/>
  <c r="B5" i="61"/>
  <c r="B6" i="61"/>
  <c r="B7" i="61"/>
  <c r="B8" i="61"/>
  <c r="B9" i="61"/>
  <c r="B10" i="61"/>
  <c r="B11" i="61"/>
  <c r="B12" i="61"/>
  <c r="B13" i="61"/>
  <c r="B14" i="61"/>
  <c r="B15" i="61"/>
  <c r="B16" i="61"/>
  <c r="B17" i="61"/>
  <c r="B18" i="61"/>
  <c r="B4" i="61"/>
  <c r="B5" i="70"/>
  <c r="B6" i="70"/>
  <c r="B7" i="70"/>
  <c r="B8" i="70"/>
  <c r="B9" i="70"/>
  <c r="B10" i="70"/>
  <c r="B11" i="70"/>
  <c r="B12" i="70"/>
  <c r="B13" i="70"/>
  <c r="B14" i="70"/>
  <c r="B15" i="70"/>
  <c r="B16" i="70"/>
  <c r="B17" i="70"/>
  <c r="B18" i="70"/>
  <c r="B4" i="70"/>
  <c r="O3" i="78" l="1"/>
  <c r="O19" i="78"/>
  <c r="AJ142" i="78"/>
  <c r="X13" i="78"/>
  <c r="X22" i="78"/>
  <c r="V25" i="78"/>
  <c r="X36" i="78"/>
  <c r="O35" i="78"/>
  <c r="T25" i="78"/>
  <c r="K25" i="78"/>
  <c r="K29" i="78"/>
  <c r="L25" i="78"/>
  <c r="M25" i="78"/>
  <c r="M6" i="78"/>
  <c r="U25" i="78"/>
  <c r="O36" i="78"/>
  <c r="X15" i="78"/>
  <c r="S77" i="78"/>
  <c r="AJ135" i="78"/>
  <c r="X29" i="78"/>
  <c r="X28" i="78"/>
  <c r="M7" i="78"/>
  <c r="O29" i="78"/>
  <c r="U22" i="78"/>
  <c r="M22" i="78"/>
  <c r="AJ136" i="78"/>
  <c r="AI142" i="78"/>
  <c r="L19" i="78"/>
  <c r="K22" i="78"/>
  <c r="T22" i="78"/>
  <c r="X35" i="78"/>
  <c r="W26" i="78"/>
  <c r="S145" i="78" a="1"/>
  <c r="S145" i="78" s="1"/>
  <c r="AI135" i="78"/>
  <c r="M15" i="78"/>
  <c r="O15" i="78"/>
  <c r="O25" i="78"/>
  <c r="J102" i="78"/>
  <c r="N130" i="78"/>
  <c r="I103" i="78"/>
  <c r="W142" i="78"/>
  <c r="L15" i="78"/>
  <c r="X7" i="78"/>
  <c r="J130" i="78"/>
  <c r="Q143" i="78"/>
  <c r="Q158" i="78"/>
  <c r="S65" i="78"/>
  <c r="K15" i="78"/>
  <c r="N74" i="78"/>
  <c r="O14" i="78"/>
  <c r="H43" i="78"/>
  <c r="N103" i="78"/>
  <c r="I119" i="78"/>
  <c r="N158" i="78"/>
  <c r="W65" i="78"/>
  <c r="S133" i="78"/>
  <c r="T15" i="78"/>
  <c r="H130" i="78"/>
  <c r="I43" i="78"/>
  <c r="J119" i="78"/>
  <c r="J143" i="78"/>
  <c r="U15" i="78"/>
  <c r="V15" i="78"/>
  <c r="L22" i="78"/>
  <c r="V22" i="78"/>
  <c r="AI136" i="78"/>
  <c r="O22" i="78"/>
  <c r="N80" i="78"/>
  <c r="I153" i="78"/>
  <c r="J160" i="78"/>
  <c r="W18" i="78"/>
  <c r="U19" i="78"/>
  <c r="W88" i="78"/>
  <c r="T19" i="78"/>
  <c r="N113" i="78"/>
  <c r="N129" i="78"/>
  <c r="M19" i="78"/>
  <c r="O17" i="78"/>
  <c r="N114" i="78"/>
  <c r="V19" i="78"/>
  <c r="K19" i="78"/>
  <c r="N163" i="78"/>
  <c r="J76" i="78"/>
  <c r="Q171" i="78"/>
  <c r="N92" i="78"/>
  <c r="R48" i="78"/>
  <c r="X48" i="78" s="1"/>
  <c r="N148" i="78"/>
  <c r="I51" i="78"/>
  <c r="H163" i="78"/>
  <c r="J106" i="78"/>
  <c r="I106" i="78"/>
  <c r="Q106" i="78"/>
  <c r="S106" i="78"/>
  <c r="R106" i="78"/>
  <c r="N138" i="78"/>
  <c r="I138" i="78"/>
  <c r="H138" i="78"/>
  <c r="J138" i="78"/>
  <c r="Q138" i="78"/>
  <c r="W138" i="78"/>
  <c r="S138" i="78"/>
  <c r="R98" i="78"/>
  <c r="Q98" i="78"/>
  <c r="K98" i="78" s="1"/>
  <c r="W98" i="78"/>
  <c r="N98" i="78"/>
  <c r="I98" i="78"/>
  <c r="S98" i="78"/>
  <c r="J156" i="78"/>
  <c r="N156" i="78"/>
  <c r="W156" i="78"/>
  <c r="S165" i="78"/>
  <c r="N165" i="78"/>
  <c r="I165" i="78"/>
  <c r="J165" i="78"/>
  <c r="H165" i="78"/>
  <c r="R109" i="78"/>
  <c r="J109" i="78"/>
  <c r="O109" i="78" s="1"/>
  <c r="S109" i="78"/>
  <c r="W109" i="78"/>
  <c r="W87" i="78"/>
  <c r="N87" i="78"/>
  <c r="W171" i="78"/>
  <c r="J51" i="78"/>
  <c r="H128" i="78"/>
  <c r="W128" i="78"/>
  <c r="I128" i="78"/>
  <c r="I136" i="78"/>
  <c r="J136" i="78"/>
  <c r="Q136" i="78"/>
  <c r="W112" i="78"/>
  <c r="W67" i="78"/>
  <c r="Q67" i="78"/>
  <c r="H144" i="78"/>
  <c r="I144" i="78"/>
  <c r="J144" i="78"/>
  <c r="S117" i="78"/>
  <c r="N117" i="78"/>
  <c r="J117" i="78"/>
  <c r="W117" i="78"/>
  <c r="N89" i="78"/>
  <c r="S89" i="78"/>
  <c r="S78" i="78"/>
  <c r="R78" i="78"/>
  <c r="H137" i="78"/>
  <c r="S137" i="78"/>
  <c r="I137" i="78"/>
  <c r="W137" i="78"/>
  <c r="Q137" i="78"/>
  <c r="J137" i="78"/>
  <c r="W53" i="78"/>
  <c r="L31" i="78"/>
  <c r="K31" i="78"/>
  <c r="Q112" i="78"/>
  <c r="S112" i="78"/>
  <c r="S128" i="78"/>
  <c r="Q144" i="78"/>
  <c r="N53" i="78"/>
  <c r="Q48" i="78"/>
  <c r="I156" i="78"/>
  <c r="S46" i="78"/>
  <c r="S87" i="78"/>
  <c r="Q165" i="78"/>
  <c r="S54" i="78"/>
  <c r="H148" i="78"/>
  <c r="N51" i="78"/>
  <c r="S51" i="78"/>
  <c r="J67" i="78"/>
  <c r="I171" i="78"/>
  <c r="N171" i="78"/>
  <c r="Q92" i="78"/>
  <c r="N78" i="78"/>
  <c r="N112" i="78"/>
  <c r="J128" i="78"/>
  <c r="S144" i="78"/>
  <c r="R144" i="78"/>
  <c r="J46" i="78"/>
  <c r="J87" i="78"/>
  <c r="W106" i="78"/>
  <c r="R165" i="78"/>
  <c r="R137" i="78"/>
  <c r="N109" i="78"/>
  <c r="S136" i="78"/>
  <c r="R138" i="78"/>
  <c r="J98" i="78"/>
  <c r="J148" i="78" a="1"/>
  <c r="J148" i="78" s="1"/>
  <c r="W148" i="78"/>
  <c r="R148" i="78"/>
  <c r="S148" i="78" a="1"/>
  <c r="S148" i="78" s="1"/>
  <c r="X148" i="78" s="1"/>
  <c r="Q148" i="78"/>
  <c r="I148" i="78"/>
  <c r="H50" i="78"/>
  <c r="J50" i="78"/>
  <c r="W50" i="78"/>
  <c r="S50" i="78"/>
  <c r="I50" i="78"/>
  <c r="W155" i="78"/>
  <c r="R155" i="78"/>
  <c r="I155" i="78"/>
  <c r="O155" i="78" s="1"/>
  <c r="H155" i="78"/>
  <c r="Q155" i="78"/>
  <c r="N60" i="78"/>
  <c r="W60" i="78"/>
  <c r="J60" i="78"/>
  <c r="N26" i="78"/>
  <c r="J26" i="78"/>
  <c r="W154" i="78"/>
  <c r="R154" i="78"/>
  <c r="H154" i="78"/>
  <c r="W94" i="78"/>
  <c r="S94" i="78"/>
  <c r="R94" i="78"/>
  <c r="N94" i="78"/>
  <c r="J94" i="78"/>
  <c r="O94" i="78" s="1"/>
  <c r="W92" i="78"/>
  <c r="R92" i="78"/>
  <c r="I92" i="78"/>
  <c r="H48" i="78"/>
  <c r="J48" i="78"/>
  <c r="W48" i="78"/>
  <c r="I48" i="78"/>
  <c r="N76" i="78"/>
  <c r="S76" i="78"/>
  <c r="W76" i="78"/>
  <c r="R145" i="78"/>
  <c r="Q145" i="78"/>
  <c r="J145" i="78" a="1"/>
  <c r="J145" i="78" s="1"/>
  <c r="H145" i="78"/>
  <c r="W46" i="78"/>
  <c r="H46" i="78"/>
  <c r="R46" i="78"/>
  <c r="I46" i="78"/>
  <c r="W163" i="78"/>
  <c r="I163" i="78"/>
  <c r="S163" i="78"/>
  <c r="R163" i="78"/>
  <c r="N54" i="78"/>
  <c r="W54" i="78"/>
  <c r="J54" i="78"/>
  <c r="J171" i="78"/>
  <c r="R87" i="78"/>
  <c r="W145" i="78"/>
  <c r="N155" i="78"/>
  <c r="R51" i="78"/>
  <c r="W51" i="78"/>
  <c r="N67" i="78"/>
  <c r="S67" i="78"/>
  <c r="H171" i="78"/>
  <c r="S171" i="78"/>
  <c r="X171" i="78" s="1"/>
  <c r="J92" i="78"/>
  <c r="I154" i="78"/>
  <c r="J154" i="78"/>
  <c r="Q163" i="78"/>
  <c r="J163" i="78"/>
  <c r="Q26" i="78"/>
  <c r="S26" i="78"/>
  <c r="N128" i="78"/>
  <c r="W144" i="78"/>
  <c r="S53" i="78"/>
  <c r="N48" i="78"/>
  <c r="R156" i="78"/>
  <c r="N46" i="78"/>
  <c r="S60" i="78"/>
  <c r="H106" i="78"/>
  <c r="N106" i="78"/>
  <c r="I145" i="78"/>
  <c r="W165" i="78"/>
  <c r="W136" i="78"/>
  <c r="R50" i="78"/>
  <c r="W89" i="78"/>
  <c r="X6" i="78"/>
  <c r="M31" i="78"/>
  <c r="L5" i="78"/>
  <c r="W57" i="78"/>
  <c r="S160" i="78"/>
  <c r="U31" i="78"/>
  <c r="J70" i="78"/>
  <c r="M29" i="78"/>
  <c r="V31" i="78"/>
  <c r="L29" i="78"/>
  <c r="N18" i="78"/>
  <c r="I47" i="78"/>
  <c r="V29" i="78"/>
  <c r="S70" i="78"/>
  <c r="H62" i="78"/>
  <c r="T29" i="78"/>
  <c r="T31" i="78"/>
  <c r="Q49" i="78"/>
  <c r="U29" i="78"/>
  <c r="R147" i="78"/>
  <c r="W126" i="78"/>
  <c r="Q169" i="78"/>
  <c r="H122" i="78"/>
  <c r="S59" i="78"/>
  <c r="R134" i="78"/>
  <c r="I147" i="78"/>
  <c r="W81" i="78"/>
  <c r="R169" i="78"/>
  <c r="Q172" i="78"/>
  <c r="H45" i="78"/>
  <c r="N59" i="78"/>
  <c r="N126" i="78"/>
  <c r="S134" i="78"/>
  <c r="Q122" i="78"/>
  <c r="Q104" i="78"/>
  <c r="I81" i="78"/>
  <c r="N45" i="78"/>
  <c r="N122" i="78"/>
  <c r="S131" i="78"/>
  <c r="Q66" i="78"/>
  <c r="N71" i="78"/>
  <c r="S69" i="78"/>
  <c r="W104" i="78"/>
  <c r="S126" i="78"/>
  <c r="N134" i="78"/>
  <c r="J172" i="78"/>
  <c r="J45" i="78"/>
  <c r="W122" i="78"/>
  <c r="W169" i="78"/>
  <c r="J84" i="78"/>
  <c r="S95" i="78"/>
  <c r="W134" i="78"/>
  <c r="I172" i="78"/>
  <c r="J63" i="78"/>
  <c r="S44" i="78"/>
  <c r="W59" i="78"/>
  <c r="W147" i="78"/>
  <c r="N104" i="78"/>
  <c r="N69" i="78"/>
  <c r="W69" i="78"/>
  <c r="N121" i="78"/>
  <c r="S121" i="78"/>
  <c r="J169" i="78"/>
  <c r="N172" i="78"/>
  <c r="I45" i="78"/>
  <c r="I122" i="78"/>
  <c r="N131" i="78"/>
  <c r="R66" i="78"/>
  <c r="N84" i="78"/>
  <c r="W95" i="78"/>
  <c r="W63" i="78"/>
  <c r="J61" i="78"/>
  <c r="H147" i="78"/>
  <c r="J147" i="78" a="1"/>
  <c r="J147" i="78" s="1"/>
  <c r="R104" i="78"/>
  <c r="J81" i="78"/>
  <c r="W121" i="78"/>
  <c r="H169" i="78"/>
  <c r="N169" i="78"/>
  <c r="H172" i="78"/>
  <c r="Q45" i="78"/>
  <c r="S45" i="78"/>
  <c r="J122" i="78"/>
  <c r="I140" i="78"/>
  <c r="S66" i="78"/>
  <c r="S162" i="78"/>
  <c r="W71" i="78"/>
  <c r="N58" i="78"/>
  <c r="I61" i="78"/>
  <c r="V5" i="78"/>
  <c r="M5" i="78"/>
  <c r="J159" i="78"/>
  <c r="Q159" i="78"/>
  <c r="W159" i="78"/>
  <c r="I159" i="78"/>
  <c r="R159" i="78"/>
  <c r="W123" i="78"/>
  <c r="S123" i="78"/>
  <c r="R123" i="78"/>
  <c r="Q123" i="78"/>
  <c r="S82" i="78"/>
  <c r="R82" i="78"/>
  <c r="Q82" i="78"/>
  <c r="N82" i="78"/>
  <c r="J82" i="78"/>
  <c r="H82" i="78"/>
  <c r="S91" i="78"/>
  <c r="J91" i="78"/>
  <c r="N91" i="78"/>
  <c r="R91" i="78"/>
  <c r="H91" i="78"/>
  <c r="R140" i="78"/>
  <c r="W140" i="78"/>
  <c r="N140" i="78"/>
  <c r="Q140" i="78"/>
  <c r="S86" i="78"/>
  <c r="N86" i="78"/>
  <c r="I86" i="78"/>
  <c r="R86" i="78"/>
  <c r="J66" i="78"/>
  <c r="N66" i="78"/>
  <c r="I66" i="78"/>
  <c r="W66" i="78"/>
  <c r="N44" i="78"/>
  <c r="W44" i="78"/>
  <c r="Q44" i="78"/>
  <c r="R44" i="78"/>
  <c r="N162" i="78"/>
  <c r="Q162" i="78"/>
  <c r="J162" i="78"/>
  <c r="I162" i="78"/>
  <c r="R162" i="78"/>
  <c r="H162" i="78"/>
  <c r="U162" i="78" s="1"/>
  <c r="S169" i="78"/>
  <c r="I169" i="78"/>
  <c r="J135" i="78"/>
  <c r="W135" i="78"/>
  <c r="N135" i="78"/>
  <c r="S135" i="78"/>
  <c r="N95" i="78"/>
  <c r="J95" i="78"/>
  <c r="N81" i="78"/>
  <c r="I69" i="78"/>
  <c r="S63" i="78"/>
  <c r="N63" i="78"/>
  <c r="J151" i="78"/>
  <c r="I151" i="78"/>
  <c r="W151" i="78"/>
  <c r="Q151" i="78"/>
  <c r="N151" i="78"/>
  <c r="R151" i="78"/>
  <c r="H151" i="78"/>
  <c r="W100" i="78"/>
  <c r="N100" i="78"/>
  <c r="S100" i="78"/>
  <c r="Q58" i="78"/>
  <c r="S58" i="78"/>
  <c r="R58" i="78"/>
  <c r="W58" i="78"/>
  <c r="W168" i="78"/>
  <c r="S168" i="78"/>
  <c r="R168" i="78"/>
  <c r="Q168" i="78"/>
  <c r="I168" i="78"/>
  <c r="H168" i="78"/>
  <c r="N168" i="78"/>
  <c r="J121" i="78"/>
  <c r="W84" i="78"/>
  <c r="S84" i="78"/>
  <c r="J131" i="78"/>
  <c r="W131" i="78"/>
  <c r="W172" i="78"/>
  <c r="R172" i="78"/>
  <c r="X172" i="78" s="1"/>
  <c r="J166" i="78"/>
  <c r="I166" i="78"/>
  <c r="H166" i="78"/>
  <c r="S166" i="78"/>
  <c r="N166" i="78"/>
  <c r="Q166" i="78"/>
  <c r="W166" i="78"/>
  <c r="J134" i="78"/>
  <c r="I134" i="78"/>
  <c r="J126" i="78"/>
  <c r="W61" i="78"/>
  <c r="S61" i="78"/>
  <c r="H61" i="78"/>
  <c r="N55" i="78"/>
  <c r="I55" i="78"/>
  <c r="H55" i="78"/>
  <c r="J55" i="78"/>
  <c r="W55" i="78"/>
  <c r="S122" i="78"/>
  <c r="R122" i="78"/>
  <c r="R166" i="78"/>
  <c r="S151" i="78"/>
  <c r="S159" i="78"/>
  <c r="H159" i="78"/>
  <c r="I82" i="78"/>
  <c r="W86" i="78"/>
  <c r="J123" i="78"/>
  <c r="N61" i="78"/>
  <c r="J168" i="78"/>
  <c r="J71" i="78"/>
  <c r="I71" i="78"/>
  <c r="O31" i="78"/>
  <c r="H71" i="78"/>
  <c r="K71" i="78" s="1"/>
  <c r="R71" i="78"/>
  <c r="R45" i="78"/>
  <c r="W45" i="78"/>
  <c r="S71" i="78"/>
  <c r="W93" i="78"/>
  <c r="J146" i="78" a="1"/>
  <c r="J146" i="78" s="1"/>
  <c r="I150" i="78"/>
  <c r="O150" i="78" s="1"/>
  <c r="X31" i="78"/>
  <c r="J113" i="78"/>
  <c r="N152" i="78"/>
  <c r="J152" i="78"/>
  <c r="O152" i="78" s="1"/>
  <c r="S152" i="78"/>
  <c r="W152" i="78"/>
  <c r="R152" i="78"/>
  <c r="H152" i="78"/>
  <c r="W80" i="78"/>
  <c r="N149" i="78"/>
  <c r="I149" i="78"/>
  <c r="Q149" i="78"/>
  <c r="S149" i="78" a="1"/>
  <c r="S149" i="78" s="1"/>
  <c r="X149" i="78" s="1"/>
  <c r="H149" i="78"/>
  <c r="I114" i="78"/>
  <c r="W114" i="78"/>
  <c r="J114" i="78"/>
  <c r="S114" i="78"/>
  <c r="R114" i="78"/>
  <c r="J57" i="78"/>
  <c r="I57" i="78"/>
  <c r="S57" i="78"/>
  <c r="W79" i="78"/>
  <c r="N79" i="78"/>
  <c r="J170" i="78"/>
  <c r="H170" i="78"/>
  <c r="I170" i="78"/>
  <c r="W170" i="78"/>
  <c r="S170" i="78"/>
  <c r="R170" i="78"/>
  <c r="Q170" i="78"/>
  <c r="J72" i="78"/>
  <c r="N72" i="78"/>
  <c r="W72" i="78"/>
  <c r="S72" i="78"/>
  <c r="R127" i="78"/>
  <c r="W127" i="78"/>
  <c r="N127" i="78"/>
  <c r="J127" i="78"/>
  <c r="S127" i="78"/>
  <c r="W125" i="78"/>
  <c r="N160" i="78"/>
  <c r="I160" i="78"/>
  <c r="N107" i="78"/>
  <c r="J107" i="78"/>
  <c r="S107" i="78"/>
  <c r="I107" i="78"/>
  <c r="W107" i="78"/>
  <c r="R107" i="78"/>
  <c r="N88" i="78"/>
  <c r="S129" i="78"/>
  <c r="R160" i="78"/>
  <c r="W160" i="78"/>
  <c r="Q153" i="78"/>
  <c r="U153" i="78" s="1"/>
  <c r="N153" i="78"/>
  <c r="W70" i="78"/>
  <c r="W124" i="78"/>
  <c r="J132" i="78"/>
  <c r="W149" i="78"/>
  <c r="S79" i="78"/>
  <c r="N62" i="78"/>
  <c r="I62" i="78"/>
  <c r="W62" i="78"/>
  <c r="J62" i="78"/>
  <c r="S62" i="78"/>
  <c r="H49" i="78"/>
  <c r="J49" i="78"/>
  <c r="I49" i="78"/>
  <c r="J99" i="78"/>
  <c r="W153" i="78"/>
  <c r="R153" i="78"/>
  <c r="R57" i="78"/>
  <c r="N49" i="78"/>
  <c r="S118" i="78"/>
  <c r="Q160" i="78"/>
  <c r="H160" i="78"/>
  <c r="J153" i="78"/>
  <c r="N47" i="78"/>
  <c r="S47" i="78"/>
  <c r="I70" i="78"/>
  <c r="S125" i="78"/>
  <c r="H114" i="78"/>
  <c r="K114" i="78" s="1"/>
  <c r="J149" i="78" a="1"/>
  <c r="J149" i="78" s="1"/>
  <c r="W129" i="78"/>
  <c r="J129" i="78"/>
  <c r="W157" i="78"/>
  <c r="R157" i="78"/>
  <c r="S157" i="78"/>
  <c r="J157" i="78"/>
  <c r="H157" i="78"/>
  <c r="T157" i="78" s="1"/>
  <c r="I157" i="78"/>
  <c r="N157" i="78"/>
  <c r="W96" i="78"/>
  <c r="N96" i="78"/>
  <c r="H47" i="78"/>
  <c r="J47" i="78"/>
  <c r="Q47" i="78"/>
  <c r="W139" i="78"/>
  <c r="R139" i="78"/>
  <c r="Q139" i="78"/>
  <c r="N139" i="78"/>
  <c r="J139" i="78"/>
  <c r="J118" i="78"/>
  <c r="N52" i="78"/>
  <c r="I52" i="78"/>
  <c r="W52" i="78"/>
  <c r="I124" i="78"/>
  <c r="H124" i="78"/>
  <c r="J124" i="78"/>
  <c r="S124" i="78"/>
  <c r="N124" i="78"/>
  <c r="N70" i="78"/>
  <c r="I88" i="78"/>
  <c r="J18" i="78"/>
  <c r="I18" i="78"/>
  <c r="H18" i="78"/>
  <c r="N132" i="78"/>
  <c r="W132" i="78"/>
  <c r="S132" i="78"/>
  <c r="R105" i="78"/>
  <c r="X105" i="78" s="1"/>
  <c r="N105" i="78"/>
  <c r="J105" i="78"/>
  <c r="W105" i="78"/>
  <c r="I83" i="78"/>
  <c r="H83" i="78"/>
  <c r="W83" i="78"/>
  <c r="N83" i="78"/>
  <c r="S83" i="78"/>
  <c r="J83" i="78"/>
  <c r="R90" i="78"/>
  <c r="X90" i="78" s="1"/>
  <c r="H90" i="78"/>
  <c r="N90" i="78"/>
  <c r="J90" i="78"/>
  <c r="W90" i="78"/>
  <c r="Q90" i="78"/>
  <c r="S73" i="78"/>
  <c r="N73" i="78"/>
  <c r="W73" i="78"/>
  <c r="S99" i="78"/>
  <c r="R88" i="78"/>
  <c r="W113" i="78"/>
  <c r="R113" i="78"/>
  <c r="S18" i="78"/>
  <c r="X18" i="78" s="1"/>
  <c r="Q18" i="78"/>
  <c r="S49" i="78"/>
  <c r="N118" i="78"/>
  <c r="R99" i="78"/>
  <c r="W99" i="78"/>
  <c r="J88" i="78"/>
  <c r="R49" i="78"/>
  <c r="W49" i="78"/>
  <c r="W118" i="78"/>
  <c r="S88" i="78"/>
  <c r="S113" i="78"/>
  <c r="R47" i="78"/>
  <c r="W47" i="78"/>
  <c r="N125" i="78"/>
  <c r="S80" i="78"/>
  <c r="R124" i="78"/>
  <c r="R149" i="78"/>
  <c r="I90" i="78"/>
  <c r="N170" i="78"/>
  <c r="N116" i="78"/>
  <c r="J116" i="78"/>
  <c r="S116" i="78"/>
  <c r="J167" i="78"/>
  <c r="I167" i="78"/>
  <c r="W167" i="78"/>
  <c r="R167" i="78"/>
  <c r="X167" i="78" s="1"/>
  <c r="Q167" i="78"/>
  <c r="S75" i="78"/>
  <c r="N75" i="78"/>
  <c r="J85" i="78"/>
  <c r="I85" i="78"/>
  <c r="W85" i="78"/>
  <c r="R85" i="78"/>
  <c r="N108" i="78"/>
  <c r="J108" i="78"/>
  <c r="R9" i="78"/>
  <c r="S9" i="78"/>
  <c r="N9" i="78"/>
  <c r="W9" i="78"/>
  <c r="Q9" i="78"/>
  <c r="I141" i="78"/>
  <c r="H141" i="78"/>
  <c r="W141" i="78"/>
  <c r="R141" i="78"/>
  <c r="Q141" i="78"/>
  <c r="N141" i="78"/>
  <c r="J141" i="78"/>
  <c r="S101" i="78"/>
  <c r="N101" i="78"/>
  <c r="J101" i="78"/>
  <c r="S97" i="78"/>
  <c r="N97" i="78"/>
  <c r="H97" i="78"/>
  <c r="J97" i="78"/>
  <c r="N115" i="78"/>
  <c r="I115" i="78"/>
  <c r="J115" i="78"/>
  <c r="W115" i="78"/>
  <c r="N56" i="78"/>
  <c r="R130" i="78"/>
  <c r="S43" i="78"/>
  <c r="W43" i="78"/>
  <c r="W102" i="78"/>
  <c r="S102" i="78"/>
  <c r="N102" i="78"/>
  <c r="R103" i="78"/>
  <c r="S103" i="78"/>
  <c r="W110" i="78"/>
  <c r="S110" i="78"/>
  <c r="N119" i="78"/>
  <c r="I143" i="78"/>
  <c r="H158" i="78"/>
  <c r="R158" i="78"/>
  <c r="S158" i="78"/>
  <c r="N65" i="78"/>
  <c r="H65" i="78"/>
  <c r="R74" i="78"/>
  <c r="S74" i="78"/>
  <c r="Q142" i="78"/>
  <c r="N133" i="78"/>
  <c r="J75" i="78"/>
  <c r="J161" i="78"/>
  <c r="H161" i="78"/>
  <c r="W161" i="78"/>
  <c r="Q161" i="78"/>
  <c r="S161" i="78"/>
  <c r="R161" i="78"/>
  <c r="I161" i="78"/>
  <c r="S111" i="78"/>
  <c r="N111" i="78"/>
  <c r="J111" i="78"/>
  <c r="I111" i="78"/>
  <c r="R164" i="78"/>
  <c r="Q164" i="78"/>
  <c r="N164" i="78"/>
  <c r="H164" i="78"/>
  <c r="J164" i="78"/>
  <c r="I164" i="78"/>
  <c r="S164" i="78"/>
  <c r="N120" i="78"/>
  <c r="S68" i="78"/>
  <c r="W68" i="78"/>
  <c r="R68" i="78"/>
  <c r="N64" i="78"/>
  <c r="J64" i="78"/>
  <c r="I64" i="78"/>
  <c r="W150" i="78"/>
  <c r="R150" i="78"/>
  <c r="S150" i="78" a="1"/>
  <c r="S150" i="78" s="1"/>
  <c r="Q150" i="78"/>
  <c r="H150" i="78"/>
  <c r="S93" i="78"/>
  <c r="R93" i="78"/>
  <c r="N93" i="78"/>
  <c r="J93" i="78"/>
  <c r="W146" i="78"/>
  <c r="S146" i="78" a="1"/>
  <c r="S146" i="78" s="1"/>
  <c r="R146" i="78"/>
  <c r="Q146" i="78"/>
  <c r="I146" i="78"/>
  <c r="N146" i="78"/>
  <c r="R56" i="78"/>
  <c r="I130" i="78"/>
  <c r="S130" i="78"/>
  <c r="N43" i="78"/>
  <c r="J43" i="78"/>
  <c r="Q43" i="78"/>
  <c r="R102" i="78"/>
  <c r="W103" i="78"/>
  <c r="Q103" i="78"/>
  <c r="J110" i="78"/>
  <c r="N110" i="78"/>
  <c r="Q110" i="78"/>
  <c r="R119" i="78"/>
  <c r="S119" i="78"/>
  <c r="H143" i="78"/>
  <c r="S143" i="78"/>
  <c r="W158" i="78"/>
  <c r="J65" i="78"/>
  <c r="W74" i="78"/>
  <c r="I142" i="78"/>
  <c r="H142" i="78"/>
  <c r="J133" i="78"/>
  <c r="S64" i="78"/>
  <c r="W116" i="78"/>
  <c r="W164" i="78"/>
  <c r="N85" i="78"/>
  <c r="J68" i="78"/>
  <c r="W120" i="78"/>
  <c r="W75" i="78"/>
  <c r="N150" i="78"/>
  <c r="N167" i="78"/>
  <c r="H146" i="78"/>
  <c r="N77" i="78"/>
  <c r="H77" i="78"/>
  <c r="I77" i="78"/>
  <c r="W77" i="78"/>
  <c r="Q130" i="78"/>
  <c r="W130" i="78"/>
  <c r="R43" i="78"/>
  <c r="I102" i="78"/>
  <c r="H103" i="78"/>
  <c r="J103" i="78"/>
  <c r="R110" i="78"/>
  <c r="R143" i="78"/>
  <c r="I158" i="78"/>
  <c r="J158" i="78"/>
  <c r="Q74" i="78"/>
  <c r="J74" i="78"/>
  <c r="O74" i="78" s="1"/>
  <c r="J142" i="78"/>
  <c r="S142" i="78"/>
  <c r="R142" i="78"/>
  <c r="S85" i="78"/>
  <c r="R115" i="78"/>
  <c r="X115" i="78" s="1"/>
  <c r="N68" i="78"/>
  <c r="W111" i="78"/>
  <c r="H167" i="78"/>
  <c r="R77" i="78"/>
  <c r="U5" i="78"/>
  <c r="L16" i="78"/>
  <c r="O5" i="78"/>
  <c r="R10" i="78"/>
  <c r="J10" i="78"/>
  <c r="V16" i="78"/>
  <c r="T5" i="78"/>
  <c r="O24" i="78"/>
  <c r="M13" i="78"/>
  <c r="X33" i="78"/>
  <c r="X16" i="78"/>
  <c r="X4" i="78"/>
  <c r="V4" i="78"/>
  <c r="M24" i="78"/>
  <c r="K32" i="78"/>
  <c r="K16" i="78"/>
  <c r="M33" i="78"/>
  <c r="O33" i="78"/>
  <c r="V11" i="78"/>
  <c r="U32" i="78"/>
  <c r="U16" i="78"/>
  <c r="X24" i="78"/>
  <c r="V33" i="78"/>
  <c r="O13" i="78"/>
  <c r="K5" i="78"/>
  <c r="I10" i="78"/>
  <c r="N10" i="78"/>
  <c r="H10" i="78"/>
  <c r="Q10" i="78"/>
  <c r="S10" i="78"/>
  <c r="X11" i="78"/>
  <c r="L11" i="78"/>
  <c r="X3" i="78"/>
  <c r="M4" i="78"/>
  <c r="K11" i="78"/>
  <c r="O16" i="78"/>
  <c r="U11" i="78"/>
  <c r="L4" i="78"/>
  <c r="V32" i="78"/>
  <c r="K4" i="78"/>
  <c r="O20" i="78"/>
  <c r="T32" i="78"/>
  <c r="M11" i="78"/>
  <c r="T4" i="78"/>
  <c r="K14" i="78"/>
  <c r="O4" i="78"/>
  <c r="L32" i="78"/>
  <c r="K8" i="78"/>
  <c r="M32" i="78"/>
  <c r="V23" i="78"/>
  <c r="U4" i="78"/>
  <c r="O23" i="78"/>
  <c r="K23" i="78"/>
  <c r="X32" i="78"/>
  <c r="X40" i="78"/>
  <c r="U7" i="78"/>
  <c r="K7" i="78"/>
  <c r="V3" i="78"/>
  <c r="M27" i="78"/>
  <c r="O27" i="78"/>
  <c r="V7" i="78"/>
  <c r="M14" i="78"/>
  <c r="V14" i="78"/>
  <c r="T7" i="78"/>
  <c r="T8" i="78"/>
  <c r="T14" i="78"/>
  <c r="L14" i="78"/>
  <c r="K41" i="78"/>
  <c r="L7" i="78"/>
  <c r="U14" i="78"/>
  <c r="K27" i="78"/>
  <c r="L27" i="78"/>
  <c r="T11" i="78"/>
  <c r="U27" i="78"/>
  <c r="T30" i="78"/>
  <c r="U17" i="78"/>
  <c r="V27" i="78"/>
  <c r="X30" i="78"/>
  <c r="X27" i="78"/>
  <c r="T13" i="78"/>
  <c r="X34" i="78"/>
  <c r="U38" i="78"/>
  <c r="U3" i="78"/>
  <c r="T3" i="78"/>
  <c r="O34" i="78"/>
  <c r="X23" i="78"/>
  <c r="O42" i="78"/>
  <c r="M3" i="78"/>
  <c r="X21" i="78"/>
  <c r="O7" i="78"/>
  <c r="X17" i="78"/>
  <c r="O39" i="78"/>
  <c r="K33" i="78"/>
  <c r="V37" i="78"/>
  <c r="X20" i="78"/>
  <c r="U13" i="78"/>
  <c r="O11" i="78"/>
  <c r="V41" i="78"/>
  <c r="V30" i="78"/>
  <c r="X38" i="78"/>
  <c r="K39" i="78"/>
  <c r="T16" i="78"/>
  <c r="X41" i="78"/>
  <c r="M41" i="78"/>
  <c r="U41" i="78"/>
  <c r="L30" i="78"/>
  <c r="L8" i="78"/>
  <c r="U33" i="78"/>
  <c r="K24" i="78"/>
  <c r="M8" i="78"/>
  <c r="V8" i="78"/>
  <c r="M16" i="78"/>
  <c r="U8" i="78"/>
  <c r="X39" i="78"/>
  <c r="V38" i="78"/>
  <c r="O38" i="78"/>
  <c r="M38" i="78"/>
  <c r="L41" i="78"/>
  <c r="U23" i="78"/>
  <c r="X42" i="78"/>
  <c r="K30" i="78"/>
  <c r="O30" i="78"/>
  <c r="O37" i="78"/>
  <c r="T33" i="78"/>
  <c r="O8" i="78"/>
  <c r="L3" i="78"/>
  <c r="X37" i="78"/>
  <c r="O41" i="78"/>
  <c r="T41" i="78"/>
  <c r="M30" i="78"/>
  <c r="K3" i="78"/>
  <c r="L33" i="78"/>
  <c r="L13" i="78"/>
  <c r="K13" i="78"/>
  <c r="V13" i="78"/>
  <c r="X12" i="78"/>
  <c r="V39" i="78"/>
  <c r="U39" i="78"/>
  <c r="L39" i="78"/>
  <c r="L34" i="78"/>
  <c r="L38" i="78"/>
  <c r="M17" i="78"/>
  <c r="L17" i="78"/>
  <c r="K17" i="78"/>
  <c r="V42" i="78"/>
  <c r="L42" i="78"/>
  <c r="M42" i="78"/>
  <c r="V17" i="78"/>
  <c r="M39" i="78"/>
  <c r="M34" i="78"/>
  <c r="K35" i="78"/>
  <c r="M35" i="78"/>
  <c r="U35" i="78"/>
  <c r="L35" i="78"/>
  <c r="T35" i="78"/>
  <c r="V35" i="78"/>
  <c r="T39" i="78"/>
  <c r="K34" i="78"/>
  <c r="T34" i="78"/>
  <c r="K38" i="78"/>
  <c r="T38" i="78"/>
  <c r="U24" i="78"/>
  <c r="T24" i="78"/>
  <c r="V24" i="78"/>
  <c r="L23" i="78"/>
  <c r="M23" i="78"/>
  <c r="K42" i="78"/>
  <c r="T42" i="78"/>
  <c r="U30" i="78"/>
  <c r="V6" i="78"/>
  <c r="U6" i="78"/>
  <c r="T6" i="78"/>
  <c r="L6" i="78"/>
  <c r="L24" i="78"/>
  <c r="L37" i="78"/>
  <c r="M37" i="78"/>
  <c r="U37" i="78"/>
  <c r="T37" i="78"/>
  <c r="K37" i="78"/>
  <c r="U34" i="78"/>
  <c r="V34" i="78"/>
  <c r="T23" i="78"/>
  <c r="U42" i="78"/>
  <c r="T27" i="78"/>
  <c r="T17" i="78"/>
  <c r="K6" i="78"/>
  <c r="S77" i="21"/>
  <c r="S78" i="21"/>
  <c r="S81" i="21"/>
  <c r="N77" i="21"/>
  <c r="S82" i="21"/>
  <c r="S80" i="21"/>
  <c r="S87" i="21"/>
  <c r="S83" i="21"/>
  <c r="S79" i="21"/>
  <c r="N81" i="21"/>
  <c r="S84" i="21"/>
  <c r="N87" i="21"/>
  <c r="N80" i="21"/>
  <c r="S88" i="21"/>
  <c r="N83" i="21"/>
  <c r="N79" i="21"/>
  <c r="N82" i="21"/>
  <c r="N78" i="21"/>
  <c r="I182" i="21"/>
  <c r="I210" i="21"/>
  <c r="N86" i="21"/>
  <c r="S86" i="21"/>
  <c r="S90" i="21"/>
  <c r="N85" i="21"/>
  <c r="S85" i="21"/>
  <c r="N88" i="21"/>
  <c r="N84" i="21"/>
  <c r="N89" i="21"/>
  <c r="N90" i="21"/>
  <c r="S91" i="21"/>
  <c r="S89" i="21"/>
  <c r="N91" i="21"/>
  <c r="I239" i="21"/>
  <c r="I236" i="21"/>
  <c r="I237" i="21"/>
  <c r="D166" i="21"/>
  <c r="I165" i="21"/>
  <c r="D196" i="21"/>
  <c r="E196" i="21" s="1"/>
  <c r="S196" i="21"/>
  <c r="S191" i="21"/>
  <c r="S185" i="21"/>
  <c r="N195" i="21"/>
  <c r="N187" i="21"/>
  <c r="S195" i="21"/>
  <c r="S189" i="21"/>
  <c r="S184" i="21"/>
  <c r="N192" i="21"/>
  <c r="N184" i="21"/>
  <c r="S193" i="21"/>
  <c r="S188" i="21"/>
  <c r="S183" i="21"/>
  <c r="N191" i="21"/>
  <c r="N183" i="21"/>
  <c r="S192" i="21"/>
  <c r="S187" i="21"/>
  <c r="N196" i="21"/>
  <c r="N188" i="21"/>
  <c r="N193" i="21"/>
  <c r="N189" i="21"/>
  <c r="N185" i="21"/>
  <c r="N194" i="21"/>
  <c r="N190" i="21"/>
  <c r="N186" i="21"/>
  <c r="S194" i="21"/>
  <c r="S190" i="21"/>
  <c r="S186" i="21"/>
  <c r="S182" i="21"/>
  <c r="N182" i="21"/>
  <c r="L163" i="78" l="1"/>
  <c r="T137" i="78"/>
  <c r="T172" i="78"/>
  <c r="V172" i="78"/>
  <c r="K172" i="78"/>
  <c r="L172" i="78"/>
  <c r="O172" i="78"/>
  <c r="U172" i="78"/>
  <c r="M172" i="78"/>
  <c r="U171" i="78"/>
  <c r="X165" i="78"/>
  <c r="O165" i="78"/>
  <c r="V167" i="78"/>
  <c r="M169" i="78"/>
  <c r="K166" i="78"/>
  <c r="T166" i="78"/>
  <c r="V166" i="78"/>
  <c r="U166" i="78"/>
  <c r="O166" i="78"/>
  <c r="X166" i="78"/>
  <c r="T168" i="78"/>
  <c r="L166" i="78"/>
  <c r="M166" i="78"/>
  <c r="O169" i="78"/>
  <c r="M170" i="78"/>
  <c r="O170" i="78"/>
  <c r="M171" i="78"/>
  <c r="M165" i="78"/>
  <c r="T165" i="78"/>
  <c r="K169" i="78"/>
  <c r="L165" i="78"/>
  <c r="X170" i="78"/>
  <c r="V165" i="78"/>
  <c r="U167" i="78"/>
  <c r="K167" i="78"/>
  <c r="O167" i="78"/>
  <c r="O168" i="78"/>
  <c r="T171" i="78"/>
  <c r="O171" i="78"/>
  <c r="X168" i="78"/>
  <c r="U169" i="78"/>
  <c r="K171" i="78"/>
  <c r="L171" i="78"/>
  <c r="V170" i="78"/>
  <c r="M168" i="78"/>
  <c r="X169" i="78"/>
  <c r="K170" i="78"/>
  <c r="M167" i="78"/>
  <c r="U170" i="78"/>
  <c r="L170" i="78"/>
  <c r="V168" i="78"/>
  <c r="T169" i="78"/>
  <c r="V171" i="78"/>
  <c r="K165" i="78"/>
  <c r="U165" i="78"/>
  <c r="U168" i="78"/>
  <c r="L167" i="78"/>
  <c r="T167" i="78"/>
  <c r="K168" i="78"/>
  <c r="L169" i="78"/>
  <c r="L168" i="78"/>
  <c r="V169" i="78"/>
  <c r="T170" i="78"/>
  <c r="X159" i="78"/>
  <c r="K158" i="78"/>
  <c r="O160" i="78"/>
  <c r="X162" i="78"/>
  <c r="U161" i="78"/>
  <c r="V161" i="78"/>
  <c r="K164" i="78"/>
  <c r="X161" i="78"/>
  <c r="K163" i="78"/>
  <c r="M159" i="78"/>
  <c r="X160" i="78"/>
  <c r="T160" i="78"/>
  <c r="T161" i="78"/>
  <c r="O162" i="78"/>
  <c r="O163" i="78"/>
  <c r="O164" i="78"/>
  <c r="V164" i="78"/>
  <c r="L161" i="78"/>
  <c r="L160" i="78"/>
  <c r="K159" i="78"/>
  <c r="K162" i="78"/>
  <c r="O159" i="78"/>
  <c r="V163" i="78"/>
  <c r="X164" i="78"/>
  <c r="O161" i="78"/>
  <c r="L162" i="78"/>
  <c r="V162" i="78"/>
  <c r="T162" i="78"/>
  <c r="X163" i="78"/>
  <c r="M164" i="78"/>
  <c r="K161" i="78"/>
  <c r="K160" i="78"/>
  <c r="M162" i="78"/>
  <c r="U159" i="78"/>
  <c r="L159" i="78"/>
  <c r="M160" i="78"/>
  <c r="U164" i="78"/>
  <c r="M161" i="78"/>
  <c r="V160" i="78"/>
  <c r="U160" i="78"/>
  <c r="T159" i="78"/>
  <c r="V159" i="78"/>
  <c r="T163" i="78"/>
  <c r="V158" i="78"/>
  <c r="L164" i="78"/>
  <c r="T164" i="78"/>
  <c r="M163" i="78"/>
  <c r="U163" i="78"/>
  <c r="X158" i="78"/>
  <c r="U158" i="78"/>
  <c r="O158" i="78"/>
  <c r="T158" i="78"/>
  <c r="M158" i="78"/>
  <c r="L158" i="78"/>
  <c r="X145" i="78"/>
  <c r="U143" i="78"/>
  <c r="U148" i="78"/>
  <c r="K155" i="78"/>
  <c r="V151" i="78"/>
  <c r="U155" i="78"/>
  <c r="M153" i="78"/>
  <c r="O157" i="78"/>
  <c r="X157" i="78"/>
  <c r="V153" i="78"/>
  <c r="O148" i="78"/>
  <c r="L153" i="78"/>
  <c r="T153" i="78"/>
  <c r="K153" i="78"/>
  <c r="X152" i="78"/>
  <c r="U157" i="78"/>
  <c r="K157" i="78"/>
  <c r="K151" i="78"/>
  <c r="U151" i="78"/>
  <c r="O156" i="78"/>
  <c r="V157" i="78"/>
  <c r="O151" i="78"/>
  <c r="O154" i="78"/>
  <c r="O153" i="78"/>
  <c r="M151" i="78"/>
  <c r="L157" i="78"/>
  <c r="M157" i="78"/>
  <c r="T151" i="78"/>
  <c r="M155" i="78"/>
  <c r="T155" i="78"/>
  <c r="L151" i="78"/>
  <c r="X151" i="78"/>
  <c r="V155" i="78"/>
  <c r="L155" i="78"/>
  <c r="O146" i="78"/>
  <c r="V144" i="78"/>
  <c r="U146" i="78"/>
  <c r="V146" i="78"/>
  <c r="T150" i="78"/>
  <c r="X150" i="78"/>
  <c r="T149" i="78"/>
  <c r="K146" i="78"/>
  <c r="O149" i="78"/>
  <c r="T146" i="78"/>
  <c r="O147" i="78"/>
  <c r="L150" i="78"/>
  <c r="L148" i="78"/>
  <c r="U150" i="78"/>
  <c r="M146" i="78"/>
  <c r="X146" i="78"/>
  <c r="M149" i="78"/>
  <c r="V145" i="78"/>
  <c r="M148" i="78"/>
  <c r="V149" i="78"/>
  <c r="M150" i="78"/>
  <c r="K150" i="78"/>
  <c r="U149" i="78"/>
  <c r="K149" i="78"/>
  <c r="U145" i="78"/>
  <c r="K148" i="78"/>
  <c r="L146" i="78"/>
  <c r="V150" i="78"/>
  <c r="L149" i="78"/>
  <c r="T145" i="78"/>
  <c r="V148" i="78"/>
  <c r="T148" i="78"/>
  <c r="U144" i="78"/>
  <c r="T144" i="78"/>
  <c r="X144" i="78"/>
  <c r="O130" i="78"/>
  <c r="X142" i="78"/>
  <c r="K141" i="78"/>
  <c r="M141" i="78"/>
  <c r="O141" i="78"/>
  <c r="T138" i="78"/>
  <c r="X138" i="78"/>
  <c r="V143" i="78"/>
  <c r="L141" i="78"/>
  <c r="V141" i="78"/>
  <c r="K138" i="78"/>
  <c r="X143" i="78"/>
  <c r="T142" i="78"/>
  <c r="T141" i="78"/>
  <c r="V142" i="78"/>
  <c r="O138" i="78"/>
  <c r="T143" i="78"/>
  <c r="U141" i="78"/>
  <c r="U142" i="78"/>
  <c r="U138" i="78"/>
  <c r="L138" i="78"/>
  <c r="X137" i="78"/>
  <c r="V138" i="78"/>
  <c r="M138" i="78"/>
  <c r="V137" i="78"/>
  <c r="U137" i="78"/>
  <c r="O134" i="78"/>
  <c r="X134" i="78"/>
  <c r="U130" i="78"/>
  <c r="X130" i="78"/>
  <c r="K130" i="78"/>
  <c r="V130" i="78"/>
  <c r="T130" i="78"/>
  <c r="L130" i="78"/>
  <c r="M130" i="78"/>
  <c r="X99" i="78"/>
  <c r="X127" i="78"/>
  <c r="AB142" i="78"/>
  <c r="X124" i="78"/>
  <c r="K10" i="78"/>
  <c r="O128" i="78"/>
  <c r="T10" i="78"/>
  <c r="O124" i="78"/>
  <c r="V10" i="78"/>
  <c r="X123" i="78"/>
  <c r="O10" i="78"/>
  <c r="X10" i="78"/>
  <c r="U10" i="78"/>
  <c r="L10" i="78"/>
  <c r="X9" i="78"/>
  <c r="M10" i="78"/>
  <c r="O119" i="78"/>
  <c r="U122" i="78"/>
  <c r="K122" i="78"/>
  <c r="M122" i="78"/>
  <c r="X119" i="78"/>
  <c r="O122" i="78"/>
  <c r="V122" i="78"/>
  <c r="T122" i="78"/>
  <c r="L122" i="78"/>
  <c r="X122" i="78"/>
  <c r="O115" i="78"/>
  <c r="X109" i="78"/>
  <c r="X107" i="78"/>
  <c r="X110" i="78"/>
  <c r="O107" i="78"/>
  <c r="O114" i="78"/>
  <c r="T114" i="78"/>
  <c r="L114" i="78"/>
  <c r="O111" i="78"/>
  <c r="M114" i="78"/>
  <c r="X113" i="78"/>
  <c r="U114" i="78"/>
  <c r="X114" i="78"/>
  <c r="V114" i="78"/>
  <c r="M103" i="78"/>
  <c r="U103" i="78"/>
  <c r="X103" i="78"/>
  <c r="O103" i="78"/>
  <c r="V103" i="78"/>
  <c r="K103" i="78"/>
  <c r="L103" i="78"/>
  <c r="T103" i="78"/>
  <c r="X77" i="78"/>
  <c r="O102" i="78"/>
  <c r="X102" i="78"/>
  <c r="K106" i="78"/>
  <c r="X106" i="78"/>
  <c r="X88" i="78"/>
  <c r="V106" i="78"/>
  <c r="U106" i="78"/>
  <c r="T106" i="78"/>
  <c r="O106" i="78"/>
  <c r="M106" i="78"/>
  <c r="L106" i="78"/>
  <c r="X91" i="78"/>
  <c r="U98" i="78"/>
  <c r="O98" i="78"/>
  <c r="M98" i="78"/>
  <c r="V98" i="78"/>
  <c r="X93" i="78"/>
  <c r="X94" i="78"/>
  <c r="X98" i="78"/>
  <c r="L98" i="78"/>
  <c r="T98" i="78"/>
  <c r="O92" i="78"/>
  <c r="X87" i="78"/>
  <c r="V90" i="78"/>
  <c r="X86" i="78"/>
  <c r="U90" i="78"/>
  <c r="O88" i="78"/>
  <c r="T90" i="78"/>
  <c r="K90" i="78"/>
  <c r="O85" i="78"/>
  <c r="O90" i="78"/>
  <c r="M90" i="78"/>
  <c r="L90" i="78"/>
  <c r="X85" i="78"/>
  <c r="O83" i="78"/>
  <c r="O82" i="78"/>
  <c r="L82" i="78"/>
  <c r="X78" i="78"/>
  <c r="U82" i="78"/>
  <c r="O81" i="78"/>
  <c r="X82" i="78"/>
  <c r="K82" i="78"/>
  <c r="T82" i="78"/>
  <c r="V82" i="78"/>
  <c r="M82" i="78"/>
  <c r="O70" i="78"/>
  <c r="O71" i="78"/>
  <c r="X68" i="78"/>
  <c r="K18" i="78"/>
  <c r="O18" i="78"/>
  <c r="X74" i="78"/>
  <c r="U18" i="78"/>
  <c r="V18" i="78"/>
  <c r="M18" i="78"/>
  <c r="T18" i="78"/>
  <c r="L18" i="78"/>
  <c r="M71" i="78"/>
  <c r="X71" i="78"/>
  <c r="L71" i="78"/>
  <c r="V71" i="78"/>
  <c r="U71" i="78"/>
  <c r="T71" i="78"/>
  <c r="O62" i="78"/>
  <c r="O64" i="78"/>
  <c r="O66" i="78"/>
  <c r="O61" i="78"/>
  <c r="X66" i="78"/>
  <c r="X43" i="78"/>
  <c r="O51" i="78"/>
  <c r="AK89" i="78"/>
  <c r="X58" i="78"/>
  <c r="O57" i="78"/>
  <c r="O55" i="78"/>
  <c r="X51" i="78"/>
  <c r="AK87" i="78"/>
  <c r="AK90" i="78"/>
  <c r="O45" i="78"/>
  <c r="AK88" i="78"/>
  <c r="AK80" i="78"/>
  <c r="X57" i="78"/>
  <c r="AK83" i="78"/>
  <c r="AK84" i="78"/>
  <c r="AK86" i="78"/>
  <c r="AK92" i="78"/>
  <c r="AK85" i="78"/>
  <c r="AK78" i="78"/>
  <c r="AG89" i="78"/>
  <c r="AK81" i="78"/>
  <c r="U45" i="78"/>
  <c r="M45" i="78"/>
  <c r="V45" i="78"/>
  <c r="O46" i="78"/>
  <c r="O50" i="78"/>
  <c r="O47" i="78"/>
  <c r="AK91" i="78"/>
  <c r="V47" i="78"/>
  <c r="X45" i="78"/>
  <c r="M49" i="78"/>
  <c r="K49" i="78"/>
  <c r="X44" i="78"/>
  <c r="X47" i="78"/>
  <c r="U49" i="78"/>
  <c r="K48" i="78"/>
  <c r="K45" i="78"/>
  <c r="U47" i="78"/>
  <c r="O48" i="78"/>
  <c r="L43" i="78"/>
  <c r="AK79" i="78"/>
  <c r="L47" i="78"/>
  <c r="O49" i="78"/>
  <c r="L45" i="78"/>
  <c r="T49" i="78"/>
  <c r="X46" i="78"/>
  <c r="V49" i="78"/>
  <c r="AK82" i="78"/>
  <c r="X49" i="78"/>
  <c r="T45" i="78"/>
  <c r="X50" i="78"/>
  <c r="K47" i="78"/>
  <c r="M47" i="78"/>
  <c r="L49" i="78"/>
  <c r="M48" i="78"/>
  <c r="T48" i="78"/>
  <c r="V48" i="78"/>
  <c r="U48" i="78"/>
  <c r="O43" i="78"/>
  <c r="U43" i="78"/>
  <c r="T47" i="78"/>
  <c r="L48" i="78"/>
  <c r="T43" i="78"/>
  <c r="K43" i="78"/>
  <c r="V43" i="78"/>
  <c r="M43" i="78"/>
  <c r="AK93" i="78"/>
  <c r="B6" i="74"/>
  <c r="A7" i="74"/>
  <c r="A8" i="74"/>
  <c r="A9" i="74"/>
  <c r="A10" i="74"/>
  <c r="A11" i="74"/>
  <c r="A12" i="74"/>
  <c r="A13" i="74"/>
  <c r="A14" i="74"/>
  <c r="A15" i="74"/>
  <c r="A16" i="74"/>
  <c r="A17" i="74"/>
  <c r="A18" i="74"/>
  <c r="A19" i="74"/>
  <c r="A20" i="74"/>
  <c r="A21" i="74"/>
  <c r="A22" i="74"/>
  <c r="A6" i="74"/>
  <c r="B10" i="74"/>
  <c r="E19" i="74"/>
  <c r="H19" i="74"/>
  <c r="I19" i="74"/>
  <c r="J19" i="74"/>
  <c r="L19" i="74"/>
  <c r="M19" i="74"/>
  <c r="O19" i="74"/>
  <c r="P19" i="74"/>
  <c r="Q19" i="74"/>
  <c r="U19" i="74"/>
  <c r="Y19" i="74"/>
  <c r="A1" i="66"/>
  <c r="A1" i="70"/>
  <c r="A1" i="62"/>
  <c r="A1" i="59"/>
  <c r="A1" i="63"/>
  <c r="A1" i="71"/>
  <c r="A1" i="58"/>
  <c r="A1" i="22"/>
  <c r="A1" i="60"/>
  <c r="A1" i="65"/>
  <c r="A1" i="69"/>
  <c r="A1" i="75"/>
  <c r="A1" i="61"/>
  <c r="A1" i="68"/>
  <c r="B3" i="28"/>
  <c r="CS13" i="74"/>
  <c r="CT13" i="74"/>
  <c r="CU13" i="74"/>
  <c r="CV13" i="74"/>
  <c r="CW13" i="74"/>
  <c r="BB11" i="74"/>
  <c r="Q113" i="78" s="1"/>
  <c r="CF11" i="74"/>
  <c r="CG11" i="74"/>
  <c r="CJ11" i="74"/>
  <c r="CK11" i="74"/>
  <c r="CN11" i="74"/>
  <c r="CO11" i="74"/>
  <c r="CR11" i="74"/>
  <c r="CS11" i="74"/>
  <c r="CT11" i="74"/>
  <c r="CU11" i="74"/>
  <c r="CV11" i="74"/>
  <c r="CW11" i="74"/>
  <c r="CR17" i="74"/>
  <c r="CS17" i="74"/>
  <c r="CT17" i="74"/>
  <c r="CU17" i="74"/>
  <c r="CV17" i="74"/>
  <c r="CW17" i="74"/>
  <c r="CI9" i="74"/>
  <c r="CJ9" i="74"/>
  <c r="CK9" i="74"/>
  <c r="CM9" i="74"/>
  <c r="CN9" i="74"/>
  <c r="CO9" i="74"/>
  <c r="CQ9" i="74"/>
  <c r="CR9" i="74"/>
  <c r="CS9" i="74"/>
  <c r="CT9" i="74"/>
  <c r="CU9" i="74"/>
  <c r="CV9" i="74"/>
  <c r="CW9" i="74"/>
  <c r="CW10" i="74"/>
  <c r="BY8" i="74"/>
  <c r="CB8" i="74"/>
  <c r="CC8" i="74"/>
  <c r="CF8" i="74"/>
  <c r="CG8" i="74"/>
  <c r="CI8" i="74"/>
  <c r="CJ8" i="74"/>
  <c r="CK8" i="74"/>
  <c r="CN8" i="74"/>
  <c r="CO8" i="74"/>
  <c r="CP8" i="74"/>
  <c r="CQ8" i="74"/>
  <c r="CR8" i="74"/>
  <c r="CS8" i="74"/>
  <c r="CT8" i="74"/>
  <c r="CU8" i="74"/>
  <c r="CV8" i="74"/>
  <c r="CW8" i="74"/>
  <c r="CJ21" i="74"/>
  <c r="CL21" i="74"/>
  <c r="CM21" i="74"/>
  <c r="CN21" i="74"/>
  <c r="CP21" i="74"/>
  <c r="CQ21" i="74"/>
  <c r="CR21" i="74"/>
  <c r="CT21" i="74"/>
  <c r="CU21" i="74"/>
  <c r="CV21" i="74"/>
  <c r="AW18" i="74"/>
  <c r="CJ20" i="74"/>
  <c r="CK20" i="74"/>
  <c r="CL20" i="74"/>
  <c r="CM20" i="74"/>
  <c r="CN20" i="74"/>
  <c r="CO20" i="74"/>
  <c r="CP20" i="74"/>
  <c r="CQ20" i="74"/>
  <c r="CR20" i="74"/>
  <c r="CS20" i="74"/>
  <c r="CT20" i="74"/>
  <c r="CU20" i="74"/>
  <c r="CV20" i="74"/>
  <c r="CW20" i="74"/>
  <c r="CQ12" i="74"/>
  <c r="CR12" i="74"/>
  <c r="CS12" i="74"/>
  <c r="CT12" i="74"/>
  <c r="CU12" i="74"/>
  <c r="CV12" i="74"/>
  <c r="CW12" i="74"/>
  <c r="BY6" i="74"/>
  <c r="CA6" i="74"/>
  <c r="CB6" i="74"/>
  <c r="CC6" i="74"/>
  <c r="CF6" i="74"/>
  <c r="CG6" i="74"/>
  <c r="CJ6" i="74"/>
  <c r="CK6" i="74"/>
  <c r="CN6" i="74"/>
  <c r="CO6" i="74"/>
  <c r="CQ6" i="74"/>
  <c r="CR6" i="74"/>
  <c r="CS6" i="74"/>
  <c r="CT6" i="74"/>
  <c r="CU6" i="74"/>
  <c r="CV6" i="74"/>
  <c r="CW6" i="74"/>
  <c r="CG16" i="74"/>
  <c r="CJ16" i="74"/>
  <c r="CK16" i="74"/>
  <c r="CL16" i="74"/>
  <c r="CM16" i="74"/>
  <c r="CN16" i="74"/>
  <c r="CO16" i="74"/>
  <c r="CP16" i="74"/>
  <c r="CQ16" i="74"/>
  <c r="CR16" i="74"/>
  <c r="CS16" i="74"/>
  <c r="CT16" i="74"/>
  <c r="CU16" i="74"/>
  <c r="CV16" i="74"/>
  <c r="CW16" i="74"/>
  <c r="BM22" i="61"/>
  <c r="BG9" i="74" s="1"/>
  <c r="R118" i="78" s="1"/>
  <c r="X118" i="78" s="1"/>
  <c r="BI22" i="69"/>
  <c r="BC11" i="74" s="1"/>
  <c r="S22" i="69"/>
  <c r="R22" i="69"/>
  <c r="Q22" i="69"/>
  <c r="BH22" i="69"/>
  <c r="BA22" i="59"/>
  <c r="AU18" i="74" s="1"/>
  <c r="I95" i="78" s="1"/>
  <c r="O95" i="78" s="1"/>
  <c r="BB22" i="59"/>
  <c r="AV18" i="74" s="1"/>
  <c r="BC22" i="59"/>
  <c r="AZ22" i="60"/>
  <c r="AT13" i="74" s="1"/>
  <c r="AL89" i="78" l="1"/>
  <c r="AR22" i="70"/>
  <c r="AL20" i="74" s="1"/>
  <c r="AS22" i="70"/>
  <c r="AM20" i="74" s="1"/>
  <c r="AT22" i="70"/>
  <c r="AN20" i="74" s="1"/>
  <c r="AU22" i="70"/>
  <c r="AO20" i="74" s="1"/>
  <c r="AV22" i="70"/>
  <c r="AP20" i="74" s="1"/>
  <c r="H88" i="78" s="1"/>
  <c r="AW22" i="70"/>
  <c r="AQ20" i="74" s="1"/>
  <c r="AX22" i="70"/>
  <c r="AR20" i="74" s="1"/>
  <c r="AY22" i="70"/>
  <c r="AS20" i="74" s="1"/>
  <c r="AZ22" i="70"/>
  <c r="AT20" i="74" s="1"/>
  <c r="BA22" i="70"/>
  <c r="AU20" i="74" s="1"/>
  <c r="I97" i="78" s="1"/>
  <c r="O97" i="78" s="1"/>
  <c r="BB22" i="70"/>
  <c r="AV20" i="74" s="1"/>
  <c r="BC22" i="70"/>
  <c r="AW20" i="74" s="1"/>
  <c r="BD22" i="70"/>
  <c r="AX20" i="74" s="1"/>
  <c r="BE22" i="70"/>
  <c r="AY20" i="74" s="1"/>
  <c r="BF22" i="70"/>
  <c r="AZ20" i="74" s="1"/>
  <c r="S104" i="78" s="1"/>
  <c r="X104" i="78" s="1"/>
  <c r="BG22" i="70"/>
  <c r="BA20" i="74" s="1"/>
  <c r="BH22" i="70"/>
  <c r="BB20" i="74" s="1"/>
  <c r="H111" i="78" s="1"/>
  <c r="BI22" i="70"/>
  <c r="BC20" i="74" s="1"/>
  <c r="BJ22" i="70"/>
  <c r="BD20" i="74" s="1"/>
  <c r="BK22" i="70"/>
  <c r="BE20" i="74" s="1"/>
  <c r="BL22" i="70"/>
  <c r="BF20" i="74" s="1"/>
  <c r="H119" i="78" s="1"/>
  <c r="BM22" i="70"/>
  <c r="BG20" i="74" s="1"/>
  <c r="BN22" i="70"/>
  <c r="BH20" i="74" s="1"/>
  <c r="BO22" i="70"/>
  <c r="BI20" i="74" s="1"/>
  <c r="BP22" i="70"/>
  <c r="BJ20" i="74" s="1"/>
  <c r="BQ22" i="70"/>
  <c r="BK20" i="74" s="1"/>
  <c r="BR22" i="70"/>
  <c r="BL20" i="74" s="1"/>
  <c r="BS22" i="70"/>
  <c r="BM20" i="74" s="1"/>
  <c r="BT22" i="70"/>
  <c r="BN20" i="74" s="1"/>
  <c r="BU22" i="70"/>
  <c r="BO20" i="74" s="1"/>
  <c r="BV22" i="70"/>
  <c r="BP20" i="74" s="1"/>
  <c r="BW22" i="70"/>
  <c r="BQ20" i="74" s="1"/>
  <c r="BX22" i="70"/>
  <c r="BR20" i="74" s="1"/>
  <c r="BY22" i="70"/>
  <c r="BS20" i="74" s="1"/>
  <c r="BZ22" i="70"/>
  <c r="BT20" i="74" s="1"/>
  <c r="CA22" i="70"/>
  <c r="BU20" i="74" s="1"/>
  <c r="CB22" i="70"/>
  <c r="BV20" i="74" s="1"/>
  <c r="CC22" i="70"/>
  <c r="BW20" i="74" s="1"/>
  <c r="CD22" i="70"/>
  <c r="BX20" i="74" s="1"/>
  <c r="CE22" i="70"/>
  <c r="BY20" i="74" s="1"/>
  <c r="CF22" i="70"/>
  <c r="BZ20" i="74" s="1"/>
  <c r="CG22" i="70"/>
  <c r="CA20" i="74" s="1"/>
  <c r="CH22" i="70"/>
  <c r="CB20" i="74" s="1"/>
  <c r="CI22" i="70"/>
  <c r="CC20" i="74" s="1"/>
  <c r="CJ22" i="70"/>
  <c r="CD20" i="74" s="1"/>
  <c r="CK22" i="70"/>
  <c r="CE20" i="74" s="1"/>
  <c r="CL22" i="70"/>
  <c r="CF20" i="74" s="1"/>
  <c r="CM22" i="70"/>
  <c r="CG20" i="74" s="1"/>
  <c r="CN22" i="70"/>
  <c r="CH20" i="74" s="1"/>
  <c r="CO22" i="70"/>
  <c r="CI20" i="74" s="1"/>
  <c r="Q152" i="78" s="1"/>
  <c r="CP22" i="70"/>
  <c r="CQ22" i="70"/>
  <c r="CR22" i="70"/>
  <c r="CS22" i="70"/>
  <c r="CT22" i="70"/>
  <c r="CU22" i="70"/>
  <c r="CV22" i="70"/>
  <c r="CW22" i="70"/>
  <c r="CX22" i="70"/>
  <c r="CY22" i="70"/>
  <c r="CZ22" i="70"/>
  <c r="DA22" i="70"/>
  <c r="DB22" i="70"/>
  <c r="DC22" i="70"/>
  <c r="AP22" i="70"/>
  <c r="AJ20" i="74" s="1"/>
  <c r="AQ22" i="70"/>
  <c r="AK20" i="74" s="1"/>
  <c r="AO22" i="70"/>
  <c r="AI20" i="74" s="1"/>
  <c r="I72" i="78" s="1"/>
  <c r="O72" i="78" s="1"/>
  <c r="AR22" i="60"/>
  <c r="AL13" i="74" s="1"/>
  <c r="H76" i="78" s="1"/>
  <c r="AS22" i="60"/>
  <c r="AM13" i="74" s="1"/>
  <c r="I76" i="78" s="1"/>
  <c r="O76" i="78" s="1"/>
  <c r="AT22" i="60"/>
  <c r="AN13" i="74" s="1"/>
  <c r="AU22" i="60"/>
  <c r="AO13" i="74" s="1"/>
  <c r="AV22" i="60"/>
  <c r="AP13" i="74" s="1"/>
  <c r="H84" i="78" s="1"/>
  <c r="AW22" i="60"/>
  <c r="AQ13" i="74" s="1"/>
  <c r="I84" i="78" s="1"/>
  <c r="O84" i="78" s="1"/>
  <c r="AX22" i="60"/>
  <c r="AR13" i="74" s="1"/>
  <c r="AY22" i="60"/>
  <c r="AS13" i="74" s="1"/>
  <c r="BA22" i="60"/>
  <c r="AU13" i="74" s="1"/>
  <c r="I91" i="78" s="1"/>
  <c r="O91" i="78" s="1"/>
  <c r="BB22" i="60"/>
  <c r="AV13" i="74" s="1"/>
  <c r="BC22" i="60"/>
  <c r="AW13" i="74" s="1"/>
  <c r="BD22" i="60"/>
  <c r="AX13" i="74" s="1"/>
  <c r="H99" i="78" s="1"/>
  <c r="BE22" i="60"/>
  <c r="AY13" i="74" s="1"/>
  <c r="I99" i="78" s="1"/>
  <c r="O99" i="78" s="1"/>
  <c r="BF22" i="60"/>
  <c r="AZ13" i="74" s="1"/>
  <c r="BG22" i="60"/>
  <c r="BA13" i="74" s="1"/>
  <c r="BH22" i="60"/>
  <c r="BB13" i="74" s="1"/>
  <c r="BI22" i="60"/>
  <c r="BC13" i="74" s="1"/>
  <c r="BJ22" i="60"/>
  <c r="BD13" i="74" s="1"/>
  <c r="BK22" i="60"/>
  <c r="BE13" i="74" s="1"/>
  <c r="BL22" i="60"/>
  <c r="BF13" i="74" s="1"/>
  <c r="Q115" i="78" s="1"/>
  <c r="BM22" i="60"/>
  <c r="BG13" i="74" s="1"/>
  <c r="BN22" i="60"/>
  <c r="BH13" i="74" s="1"/>
  <c r="BO22" i="60"/>
  <c r="BI13" i="74" s="1"/>
  <c r="BP22" i="60"/>
  <c r="BJ13" i="74" s="1"/>
  <c r="H126" i="78" s="1"/>
  <c r="BQ22" i="60"/>
  <c r="BK13" i="74" s="1"/>
  <c r="I126" i="78" s="1"/>
  <c r="O126" i="78" s="1"/>
  <c r="BR22" i="60"/>
  <c r="BL13" i="74" s="1"/>
  <c r="BS22" i="60"/>
  <c r="BM13" i="74" s="1"/>
  <c r="BT22" i="60"/>
  <c r="BN13" i="74" s="1"/>
  <c r="Q132" i="78" s="1"/>
  <c r="BU22" i="60"/>
  <c r="BO13" i="74" s="1"/>
  <c r="R132" i="78" s="1"/>
  <c r="X132" i="78" s="1"/>
  <c r="BV22" i="60"/>
  <c r="BP13" i="74" s="1"/>
  <c r="BW22" i="60"/>
  <c r="BQ13" i="74" s="1"/>
  <c r="BX22" i="60"/>
  <c r="BR13" i="74" s="1"/>
  <c r="BY22" i="60"/>
  <c r="BS13" i="74" s="1"/>
  <c r="BZ22" i="60"/>
  <c r="BT13" i="74" s="1"/>
  <c r="CA22" i="60"/>
  <c r="BU13" i="74" s="1"/>
  <c r="CB22" i="60"/>
  <c r="BV13" i="74" s="1"/>
  <c r="CC22" i="60"/>
  <c r="BW13" i="74" s="1"/>
  <c r="CD22" i="60"/>
  <c r="BX13" i="74" s="1"/>
  <c r="CE22" i="60"/>
  <c r="BY13" i="74" s="1"/>
  <c r="CF22" i="60"/>
  <c r="BZ13" i="74" s="1"/>
  <c r="CG22" i="60"/>
  <c r="CA13" i="74" s="1"/>
  <c r="CH22" i="60"/>
  <c r="CB13" i="74" s="1"/>
  <c r="CI22" i="60"/>
  <c r="CC13" i="74" s="1"/>
  <c r="CJ22" i="60"/>
  <c r="CD13" i="74" s="1"/>
  <c r="CK22" i="60"/>
  <c r="CE13" i="74" s="1"/>
  <c r="CL22" i="60"/>
  <c r="CF13" i="74" s="1"/>
  <c r="CM22" i="60"/>
  <c r="CG13" i="74" s="1"/>
  <c r="CN22" i="60"/>
  <c r="CH13" i="74" s="1"/>
  <c r="CO22" i="60"/>
  <c r="CI13" i="74" s="1"/>
  <c r="CP22" i="60"/>
  <c r="CJ13" i="74" s="1"/>
  <c r="CQ22" i="60"/>
  <c r="CK13" i="74" s="1"/>
  <c r="CR22" i="60"/>
  <c r="CL13" i="74" s="1"/>
  <c r="CS22" i="60"/>
  <c r="CM13" i="74" s="1"/>
  <c r="CT22" i="60"/>
  <c r="CN13" i="74" s="1"/>
  <c r="CU22" i="60"/>
  <c r="CO13" i="74" s="1"/>
  <c r="CV22" i="60"/>
  <c r="CP13" i="74" s="1"/>
  <c r="CW22" i="60"/>
  <c r="CQ13" i="74" s="1"/>
  <c r="CX22" i="60"/>
  <c r="CR13" i="74" s="1"/>
  <c r="CY22" i="60"/>
  <c r="CZ22" i="60"/>
  <c r="DA22" i="60"/>
  <c r="DB22" i="60"/>
  <c r="DC22" i="60"/>
  <c r="AN22" i="60"/>
  <c r="AH13" i="74" s="1"/>
  <c r="H69" i="78" s="1"/>
  <c r="AP22" i="60"/>
  <c r="AJ13" i="74" s="1"/>
  <c r="AQ22" i="60"/>
  <c r="AK13" i="74" s="1"/>
  <c r="J69" i="78" s="1"/>
  <c r="O69" i="78" s="1"/>
  <c r="AO22" i="60"/>
  <c r="AI13" i="74" s="1"/>
  <c r="T152" i="78" l="1"/>
  <c r="K152" i="78"/>
  <c r="M152" i="78"/>
  <c r="U152" i="78"/>
  <c r="V152" i="78"/>
  <c r="L152" i="78"/>
  <c r="S140" i="78"/>
  <c r="X140" i="78" s="1"/>
  <c r="L22" i="61"/>
  <c r="M22" i="61"/>
  <c r="N22" i="61"/>
  <c r="O22" i="61"/>
  <c r="P22" i="61"/>
  <c r="Q22" i="61"/>
  <c r="R22" i="61"/>
  <c r="S22" i="61"/>
  <c r="T22" i="61"/>
  <c r="U22" i="61"/>
  <c r="V22" i="61"/>
  <c r="W22" i="61"/>
  <c r="X22" i="61"/>
  <c r="Y22" i="61"/>
  <c r="Z22" i="61"/>
  <c r="T9" i="74" s="1"/>
  <c r="AA22" i="61"/>
  <c r="U9" i="74" s="1"/>
  <c r="AB22" i="61"/>
  <c r="V9" i="74" s="1"/>
  <c r="AC22" i="61"/>
  <c r="W9" i="74" s="1"/>
  <c r="AD22" i="61"/>
  <c r="X9" i="74" s="1"/>
  <c r="AE22" i="61"/>
  <c r="Y9" i="74" s="1"/>
  <c r="AF22" i="61"/>
  <c r="Z9" i="74" s="1"/>
  <c r="Q54" i="78" s="1"/>
  <c r="AG22" i="61"/>
  <c r="AA9" i="74" s="1"/>
  <c r="R54" i="78" s="1"/>
  <c r="X54" i="78" s="1"/>
  <c r="AH22" i="61"/>
  <c r="AB9" i="74" s="1"/>
  <c r="AI22" i="61"/>
  <c r="AC9" i="74" s="1"/>
  <c r="AJ22" i="61"/>
  <c r="AD9" i="74" s="1"/>
  <c r="Q62" i="78" s="1"/>
  <c r="AK22" i="61"/>
  <c r="AE9" i="74" s="1"/>
  <c r="R62" i="78" s="1"/>
  <c r="X62" i="78" s="1"/>
  <c r="AL22" i="61"/>
  <c r="AF9" i="74" s="1"/>
  <c r="AM22" i="61"/>
  <c r="AG9" i="74" s="1"/>
  <c r="AN22" i="61"/>
  <c r="AH9" i="74" s="1"/>
  <c r="Q68" i="78" s="1"/>
  <c r="AO22" i="61"/>
  <c r="AI9" i="74" s="1"/>
  <c r="AP22" i="61"/>
  <c r="AJ9" i="74" s="1"/>
  <c r="AQ22" i="61"/>
  <c r="AK9" i="74" s="1"/>
  <c r="AR22" i="61"/>
  <c r="AL9" i="74" s="1"/>
  <c r="Q76" i="78" s="1"/>
  <c r="U76" i="78" s="1"/>
  <c r="AS22" i="61"/>
  <c r="AM9" i="74" s="1"/>
  <c r="R76" i="78" s="1"/>
  <c r="X76" i="78" s="1"/>
  <c r="AT22" i="61"/>
  <c r="AN9" i="74" s="1"/>
  <c r="AU22" i="61"/>
  <c r="AO9" i="74" s="1"/>
  <c r="AV22" i="61"/>
  <c r="AP9" i="74" s="1"/>
  <c r="Q85" i="78" s="1"/>
  <c r="AW22" i="61"/>
  <c r="AQ9" i="74" s="1"/>
  <c r="AX22" i="61"/>
  <c r="AR9" i="74" s="1"/>
  <c r="AY22" i="61"/>
  <c r="AS9" i="74" s="1"/>
  <c r="AZ22" i="61"/>
  <c r="AT9" i="74" s="1"/>
  <c r="Q93" i="78" s="1"/>
  <c r="BA22" i="61"/>
  <c r="AU9" i="74" s="1"/>
  <c r="BB22" i="61"/>
  <c r="AV9" i="74" s="1"/>
  <c r="BC22" i="61"/>
  <c r="AW9" i="74" s="1"/>
  <c r="BD22" i="61"/>
  <c r="AX9" i="74" s="1"/>
  <c r="Q102" i="78" s="1"/>
  <c r="BE22" i="61"/>
  <c r="AY9" i="74" s="1"/>
  <c r="BF22" i="61"/>
  <c r="AZ9" i="74" s="1"/>
  <c r="BG22" i="61"/>
  <c r="BA9" i="74" s="1"/>
  <c r="BH22" i="61"/>
  <c r="BB9" i="74" s="1"/>
  <c r="H108" i="78" s="1"/>
  <c r="BI22" i="61"/>
  <c r="BC9" i="74" s="1"/>
  <c r="I108" i="78" s="1"/>
  <c r="O108" i="78" s="1"/>
  <c r="BJ22" i="61"/>
  <c r="BD9" i="74" s="1"/>
  <c r="BK22" i="61"/>
  <c r="BE9" i="74" s="1"/>
  <c r="BL22" i="61"/>
  <c r="BF9" i="74" s="1"/>
  <c r="Q118" i="78" s="1"/>
  <c r="BN22" i="61"/>
  <c r="BH9" i="74" s="1"/>
  <c r="BO22" i="61"/>
  <c r="BI9" i="74" s="1"/>
  <c r="BP22" i="61"/>
  <c r="BJ9" i="74" s="1"/>
  <c r="BQ22" i="61"/>
  <c r="BK9" i="74" s="1"/>
  <c r="BR22" i="61"/>
  <c r="BL9" i="74" s="1"/>
  <c r="BS22" i="61"/>
  <c r="BM9" i="74" s="1"/>
  <c r="BT22" i="61"/>
  <c r="BN9" i="74" s="1"/>
  <c r="BU22" i="61"/>
  <c r="BO9" i="74" s="1"/>
  <c r="BV22" i="61"/>
  <c r="BP9" i="74" s="1"/>
  <c r="BW22" i="61"/>
  <c r="BQ9" i="74" s="1"/>
  <c r="BX22" i="61"/>
  <c r="BR9" i="74" s="1"/>
  <c r="BY22" i="61"/>
  <c r="BS9" i="74" s="1"/>
  <c r="BZ22" i="61"/>
  <c r="BT9" i="74" s="1"/>
  <c r="CA22" i="61"/>
  <c r="BU9" i="74" s="1"/>
  <c r="CB22" i="61"/>
  <c r="BV9" i="74" s="1"/>
  <c r="CC22" i="61"/>
  <c r="BW9" i="74" s="1"/>
  <c r="CD22" i="61"/>
  <c r="BX9" i="74" s="1"/>
  <c r="CE22" i="61"/>
  <c r="BY9" i="74" s="1"/>
  <c r="CF22" i="61"/>
  <c r="BZ9" i="74" s="1"/>
  <c r="CG22" i="61"/>
  <c r="CA9" i="74" s="1"/>
  <c r="CH22" i="61"/>
  <c r="CB9" i="74" s="1"/>
  <c r="CI22" i="61"/>
  <c r="CC9" i="74" s="1"/>
  <c r="CJ22" i="61"/>
  <c r="CD9" i="74" s="1"/>
  <c r="CK22" i="61"/>
  <c r="CE9" i="74" s="1"/>
  <c r="CL22" i="61"/>
  <c r="CF9" i="74" s="1"/>
  <c r="CM22" i="61"/>
  <c r="CG9" i="74" s="1"/>
  <c r="CN22" i="61"/>
  <c r="CH9" i="74" s="1"/>
  <c r="CO22" i="61"/>
  <c r="CP22" i="61"/>
  <c r="CQ22" i="61"/>
  <c r="CR22" i="61"/>
  <c r="CL9" i="74" s="1"/>
  <c r="S153" i="78" s="1"/>
  <c r="X153" i="78" s="1"/>
  <c r="CS22" i="61"/>
  <c r="CT22" i="61"/>
  <c r="CU22" i="61"/>
  <c r="CV22" i="61"/>
  <c r="CP9" i="74" s="1"/>
  <c r="CW22" i="61"/>
  <c r="CX22" i="61"/>
  <c r="CY22" i="61"/>
  <c r="CZ22" i="61"/>
  <c r="DA22" i="61"/>
  <c r="DB22" i="61"/>
  <c r="DC22" i="61"/>
  <c r="K22" i="61"/>
  <c r="J22" i="61"/>
  <c r="I22" i="61"/>
  <c r="H22" i="61"/>
  <c r="M22" i="69"/>
  <c r="AL81" i="78" l="1"/>
  <c r="K76" i="78"/>
  <c r="M76" i="78"/>
  <c r="L76" i="78"/>
  <c r="V76" i="78"/>
  <c r="T76" i="78"/>
  <c r="V62" i="78"/>
  <c r="L62" i="78"/>
  <c r="T62" i="78"/>
  <c r="M62" i="78"/>
  <c r="U62" i="78"/>
  <c r="K62" i="78"/>
  <c r="AG81" i="78"/>
  <c r="AC22" i="60"/>
  <c r="W13" i="74" s="1"/>
  <c r="BH3" i="69" l="1"/>
  <c r="D4" i="69"/>
  <c r="D77" i="21" s="1"/>
  <c r="B256" i="21"/>
  <c r="B243" i="21"/>
  <c r="B244" i="21"/>
  <c r="B245" i="21"/>
  <c r="B246" i="21"/>
  <c r="B247" i="21"/>
  <c r="B248" i="21"/>
  <c r="B249" i="21"/>
  <c r="B250" i="21"/>
  <c r="B251" i="21"/>
  <c r="B252" i="21"/>
  <c r="B253" i="21"/>
  <c r="B254" i="21"/>
  <c r="B255" i="21"/>
  <c r="B242" i="21"/>
  <c r="B227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2" i="21"/>
  <c r="B5" i="77"/>
  <c r="B6" i="77"/>
  <c r="B7" i="77"/>
  <c r="B8" i="77"/>
  <c r="B9" i="77"/>
  <c r="B10" i="77"/>
  <c r="B11" i="77"/>
  <c r="B12" i="77"/>
  <c r="B13" i="77"/>
  <c r="B14" i="77"/>
  <c r="B15" i="77"/>
  <c r="B16" i="77"/>
  <c r="B17" i="77"/>
  <c r="B18" i="77"/>
  <c r="B4" i="77"/>
  <c r="Q2" i="25"/>
  <c r="C246" i="21" s="1"/>
  <c r="C240" i="21"/>
  <c r="O2" i="25"/>
  <c r="A1" i="77"/>
  <c r="F2" i="25"/>
  <c r="D2" i="25"/>
  <c r="BR22" i="74"/>
  <c r="BM22" i="74"/>
  <c r="BN22" i="74"/>
  <c r="BO22" i="74"/>
  <c r="BP22" i="74"/>
  <c r="BQ22" i="74"/>
  <c r="BS22" i="74"/>
  <c r="BT22" i="74"/>
  <c r="BU22" i="74"/>
  <c r="BV22" i="74"/>
  <c r="BW22" i="74"/>
  <c r="BX22" i="74"/>
  <c r="BY22" i="74"/>
  <c r="BZ22" i="74"/>
  <c r="CA22" i="74"/>
  <c r="CB22" i="74"/>
  <c r="CC22" i="74"/>
  <c r="CD22" i="74"/>
  <c r="CE22" i="74"/>
  <c r="CF22" i="74"/>
  <c r="CG22" i="74"/>
  <c r="CH22" i="74"/>
  <c r="CI22" i="74"/>
  <c r="CJ22" i="74"/>
  <c r="CK22" i="74"/>
  <c r="CL22" i="74"/>
  <c r="CM22" i="74"/>
  <c r="CN22" i="74"/>
  <c r="CO22" i="74"/>
  <c r="CP22" i="74"/>
  <c r="CQ22" i="74"/>
  <c r="CR22" i="74"/>
  <c r="CS22" i="74"/>
  <c r="CT22" i="74"/>
  <c r="CU22" i="74"/>
  <c r="CV22" i="74"/>
  <c r="CW22" i="74"/>
  <c r="BL22" i="74"/>
  <c r="B22" i="74"/>
  <c r="C22" i="74"/>
  <c r="D22" i="74"/>
  <c r="E22" i="74"/>
  <c r="F22" i="74"/>
  <c r="G22" i="74"/>
  <c r="H22" i="74"/>
  <c r="I22" i="74"/>
  <c r="J22" i="74"/>
  <c r="K22" i="74"/>
  <c r="L22" i="74"/>
  <c r="M22" i="74"/>
  <c r="N22" i="74"/>
  <c r="O22" i="74"/>
  <c r="P22" i="74"/>
  <c r="Q22" i="74"/>
  <c r="R22" i="74"/>
  <c r="S22" i="74"/>
  <c r="T22" i="74"/>
  <c r="U22" i="74"/>
  <c r="V22" i="74"/>
  <c r="W22" i="74"/>
  <c r="X22" i="74"/>
  <c r="Y22" i="74"/>
  <c r="Z22" i="74"/>
  <c r="AA22" i="74"/>
  <c r="AB22" i="74"/>
  <c r="AC22" i="74"/>
  <c r="AD22" i="74"/>
  <c r="AE22" i="74"/>
  <c r="AF22" i="74"/>
  <c r="AG22" i="74"/>
  <c r="AH22" i="74"/>
  <c r="AI22" i="74"/>
  <c r="AJ22" i="74"/>
  <c r="AK22" i="74"/>
  <c r="AL22" i="74"/>
  <c r="AM22" i="74"/>
  <c r="AN22" i="74"/>
  <c r="AO22" i="74"/>
  <c r="AP22" i="74"/>
  <c r="AQ22" i="74"/>
  <c r="AR22" i="74"/>
  <c r="AS22" i="74"/>
  <c r="AT22" i="74"/>
  <c r="AU22" i="74"/>
  <c r="AV22" i="74"/>
  <c r="AW22" i="74"/>
  <c r="AX22" i="74"/>
  <c r="AY22" i="74"/>
  <c r="AZ22" i="74"/>
  <c r="BA22" i="74"/>
  <c r="BB22" i="74"/>
  <c r="BC22" i="74"/>
  <c r="BD22" i="74"/>
  <c r="BE22" i="74"/>
  <c r="BF22" i="74"/>
  <c r="BG22" i="74"/>
  <c r="BH22" i="74"/>
  <c r="BI22" i="74"/>
  <c r="BJ22" i="74"/>
  <c r="BK22" i="74"/>
  <c r="S8" i="21" l="1"/>
  <c r="I3" i="21"/>
  <c r="S3" i="21"/>
  <c r="I4" i="21"/>
  <c r="S4" i="21"/>
  <c r="S10" i="21"/>
  <c r="S2" i="21"/>
  <c r="S5" i="21"/>
  <c r="S13" i="21"/>
  <c r="I13" i="21"/>
  <c r="D16" i="21"/>
  <c r="E16" i="21" s="1"/>
  <c r="N16" i="21"/>
  <c r="S16" i="21"/>
  <c r="S12" i="21"/>
  <c r="S14" i="21"/>
  <c r="I14" i="21"/>
  <c r="S15" i="21"/>
  <c r="N11" i="21"/>
  <c r="N9" i="21"/>
  <c r="I6" i="21"/>
  <c r="S6" i="21"/>
  <c r="N254" i="21"/>
  <c r="O254" i="21" s="1"/>
  <c r="I242" i="21"/>
  <c r="J242" i="21" s="1"/>
  <c r="N248" i="21"/>
  <c r="O248" i="21" s="1"/>
  <c r="D248" i="21"/>
  <c r="E248" i="21" s="1"/>
  <c r="N251" i="21"/>
  <c r="O251" i="21" s="1"/>
  <c r="D251" i="21"/>
  <c r="E251" i="21" s="1"/>
  <c r="I251" i="21"/>
  <c r="J251" i="21" s="1"/>
  <c r="I245" i="21"/>
  <c r="J245" i="21" s="1"/>
  <c r="N245" i="21"/>
  <c r="O245" i="21" s="1"/>
  <c r="D253" i="21"/>
  <c r="E253" i="21" s="1"/>
  <c r="N242" i="21"/>
  <c r="O242" i="21" s="1"/>
  <c r="D242" i="21"/>
  <c r="E242" i="21" s="1"/>
  <c r="N255" i="21"/>
  <c r="O255" i="21" s="1"/>
  <c r="D255" i="21"/>
  <c r="E255" i="21" s="1"/>
  <c r="I255" i="21"/>
  <c r="J255" i="21" s="1"/>
  <c r="D250" i="21"/>
  <c r="E250" i="21" s="1"/>
  <c r="I250" i="21"/>
  <c r="J250" i="21" s="1"/>
  <c r="I249" i="21"/>
  <c r="J249" i="21" s="1"/>
  <c r="N249" i="21"/>
  <c r="O249" i="21" s="1"/>
  <c r="D246" i="21"/>
  <c r="E246" i="21" s="1"/>
  <c r="I246" i="21"/>
  <c r="J246" i="21" s="1"/>
  <c r="D256" i="21"/>
  <c r="E256" i="21" s="1"/>
  <c r="N256" i="21"/>
  <c r="O256" i="21" s="1"/>
  <c r="D249" i="21"/>
  <c r="E249" i="21" s="1"/>
  <c r="N250" i="21"/>
  <c r="O250" i="21" s="1"/>
  <c r="I248" i="21"/>
  <c r="J248" i="21" s="1"/>
  <c r="N247" i="21"/>
  <c r="O247" i="21" s="1"/>
  <c r="D247" i="21"/>
  <c r="E247" i="21" s="1"/>
  <c r="I247" i="21"/>
  <c r="J247" i="21" s="1"/>
  <c r="I256" i="21"/>
  <c r="J256" i="21" s="1"/>
  <c r="N252" i="21"/>
  <c r="O252" i="21" s="1"/>
  <c r="D252" i="21"/>
  <c r="E252" i="21" s="1"/>
  <c r="I252" i="21"/>
  <c r="J252" i="21" s="1"/>
  <c r="D254" i="21"/>
  <c r="E254" i="21" s="1"/>
  <c r="I254" i="21"/>
  <c r="J254" i="21" s="1"/>
  <c r="I253" i="21"/>
  <c r="J253" i="21" s="1"/>
  <c r="N253" i="21"/>
  <c r="O253" i="21" s="1"/>
  <c r="N244" i="21"/>
  <c r="O244" i="21" s="1"/>
  <c r="D244" i="21"/>
  <c r="E244" i="21" s="1"/>
  <c r="N243" i="21"/>
  <c r="O243" i="21" s="1"/>
  <c r="D243" i="21"/>
  <c r="E243" i="21" s="1"/>
  <c r="I243" i="21"/>
  <c r="J243" i="21" s="1"/>
  <c r="D245" i="21"/>
  <c r="E245" i="21" s="1"/>
  <c r="N246" i="21"/>
  <c r="O246" i="21" s="1"/>
  <c r="I244" i="21"/>
  <c r="J244" i="21" s="1"/>
  <c r="S254" i="21"/>
  <c r="T254" i="21" s="1"/>
  <c r="S251" i="21"/>
  <c r="T251" i="21" s="1"/>
  <c r="S249" i="21"/>
  <c r="T249" i="21" s="1"/>
  <c r="S256" i="21"/>
  <c r="T256" i="21" s="1"/>
  <c r="S253" i="21"/>
  <c r="T253" i="21" s="1"/>
  <c r="S250" i="21"/>
  <c r="T250" i="21" s="1"/>
  <c r="S248" i="21"/>
  <c r="T248" i="21" s="1"/>
  <c r="S247" i="21"/>
  <c r="T247" i="21" s="1"/>
  <c r="S242" i="21"/>
  <c r="T242" i="21" s="1"/>
  <c r="S252" i="21"/>
  <c r="T252" i="21" s="1"/>
  <c r="S246" i="21"/>
  <c r="T246" i="21" s="1"/>
  <c r="S245" i="21"/>
  <c r="T245" i="21" s="1"/>
  <c r="S244" i="21"/>
  <c r="T244" i="21" s="1"/>
  <c r="S243" i="21"/>
  <c r="T243" i="21" s="1"/>
  <c r="S255" i="21"/>
  <c r="T255" i="21" s="1"/>
  <c r="C242" i="21"/>
  <c r="C254" i="21"/>
  <c r="C249" i="21"/>
  <c r="C248" i="21"/>
  <c r="C243" i="21"/>
  <c r="C255" i="21"/>
  <c r="C253" i="21"/>
  <c r="C252" i="21"/>
  <c r="C250" i="21"/>
  <c r="C245" i="21"/>
  <c r="C244" i="21"/>
  <c r="C251" i="21"/>
  <c r="C256" i="21"/>
  <c r="C247" i="21"/>
  <c r="C239" i="21"/>
  <c r="C238" i="21"/>
  <c r="C231" i="21"/>
  <c r="C230" i="21"/>
  <c r="C228" i="21"/>
  <c r="C233" i="21"/>
  <c r="C232" i="21"/>
  <c r="C241" i="21"/>
  <c r="C235" i="21"/>
  <c r="C234" i="21"/>
  <c r="C237" i="21"/>
  <c r="C236" i="21"/>
  <c r="C229" i="21"/>
  <c r="AC80" i="28" l="1"/>
  <c r="AC81" i="28"/>
  <c r="AC82" i="28"/>
  <c r="AC83" i="28"/>
  <c r="AC84" i="28"/>
  <c r="AC85" i="28"/>
  <c r="AC86" i="28"/>
  <c r="AC87" i="28"/>
  <c r="AC88" i="28"/>
  <c r="AC89" i="28"/>
  <c r="AC90" i="28"/>
  <c r="AC91" i="28"/>
  <c r="AC92" i="28"/>
  <c r="AC79" i="28"/>
  <c r="DC22" i="77"/>
  <c r="DB22" i="77"/>
  <c r="DA22" i="77"/>
  <c r="CZ22" i="77"/>
  <c r="CY22" i="77"/>
  <c r="CX22" i="77"/>
  <c r="CW22" i="77"/>
  <c r="CV22" i="77"/>
  <c r="CU22" i="77"/>
  <c r="CT22" i="77"/>
  <c r="CS22" i="77"/>
  <c r="CR22" i="77"/>
  <c r="CQ22" i="77"/>
  <c r="CP22" i="77"/>
  <c r="CO22" i="77"/>
  <c r="CN22" i="77"/>
  <c r="CM22" i="77"/>
  <c r="CL22" i="77"/>
  <c r="CK22" i="77"/>
  <c r="CJ22" i="77"/>
  <c r="CI22" i="77"/>
  <c r="CH22" i="77"/>
  <c r="CG22" i="77"/>
  <c r="CF22" i="77"/>
  <c r="CE22" i="77"/>
  <c r="CD22" i="77"/>
  <c r="CC22" i="77"/>
  <c r="CB22" i="77"/>
  <c r="CA22" i="77"/>
  <c r="BZ22" i="77"/>
  <c r="BY22" i="77"/>
  <c r="BX22" i="77"/>
  <c r="BW22" i="77"/>
  <c r="BV22" i="77"/>
  <c r="BU22" i="77"/>
  <c r="BT22" i="77"/>
  <c r="BS22" i="77"/>
  <c r="BR22" i="77"/>
  <c r="BQ22" i="77"/>
  <c r="BP22" i="77"/>
  <c r="BO22" i="77"/>
  <c r="BN22" i="77"/>
  <c r="BM22" i="77"/>
  <c r="BL22" i="77"/>
  <c r="BK22" i="77"/>
  <c r="BJ22" i="77"/>
  <c r="BI22" i="77"/>
  <c r="BH22" i="77"/>
  <c r="BG22" i="77"/>
  <c r="BF22" i="77"/>
  <c r="BE22" i="77"/>
  <c r="BD22" i="77"/>
  <c r="BC22" i="77"/>
  <c r="BB22" i="77"/>
  <c r="BA22" i="77"/>
  <c r="AZ22" i="77"/>
  <c r="AY22" i="77"/>
  <c r="AX22" i="77"/>
  <c r="AW22" i="77"/>
  <c r="AV22" i="77"/>
  <c r="AU22" i="77"/>
  <c r="AT22" i="77"/>
  <c r="AS22" i="77"/>
  <c r="AR22" i="77"/>
  <c r="AQ22" i="77"/>
  <c r="AP22" i="77"/>
  <c r="AO22" i="77"/>
  <c r="AN22" i="77"/>
  <c r="AM22" i="77"/>
  <c r="AL22" i="77"/>
  <c r="AK22" i="77"/>
  <c r="AJ22" i="77"/>
  <c r="AI22" i="77"/>
  <c r="AH22" i="77"/>
  <c r="AG22" i="77"/>
  <c r="AF22" i="77"/>
  <c r="AE22" i="77"/>
  <c r="AD22" i="77"/>
  <c r="AC22" i="77"/>
  <c r="AB22" i="77"/>
  <c r="AA22" i="77"/>
  <c r="Z22" i="77"/>
  <c r="Y22" i="77"/>
  <c r="X22" i="77"/>
  <c r="W22" i="77"/>
  <c r="V22" i="77"/>
  <c r="U22" i="77"/>
  <c r="T22" i="77"/>
  <c r="S22" i="77"/>
  <c r="G22" i="77" s="1"/>
  <c r="R22" i="77"/>
  <c r="Q22" i="77"/>
  <c r="P22" i="77"/>
  <c r="O22" i="77"/>
  <c r="N22" i="77"/>
  <c r="M22" i="77"/>
  <c r="L22" i="77"/>
  <c r="K22" i="77"/>
  <c r="J22" i="77"/>
  <c r="I22" i="77"/>
  <c r="H22" i="77"/>
  <c r="D22" i="77" s="1"/>
  <c r="E22" i="77"/>
  <c r="G18" i="77"/>
  <c r="F18" i="77"/>
  <c r="E18" i="77"/>
  <c r="D18" i="77"/>
  <c r="G17" i="77"/>
  <c r="F17" i="77"/>
  <c r="E17" i="77"/>
  <c r="D17" i="77"/>
  <c r="G16" i="77"/>
  <c r="F16" i="77"/>
  <c r="E16" i="77"/>
  <c r="D16" i="77"/>
  <c r="G15" i="77"/>
  <c r="F15" i="77"/>
  <c r="E15" i="77"/>
  <c r="D15" i="77"/>
  <c r="G14" i="77"/>
  <c r="F14" i="77"/>
  <c r="E14" i="77"/>
  <c r="D14" i="77"/>
  <c r="G13" i="77"/>
  <c r="F13" i="77"/>
  <c r="E13" i="77"/>
  <c r="D13" i="77"/>
  <c r="G12" i="77"/>
  <c r="F12" i="77"/>
  <c r="E12" i="77"/>
  <c r="D12" i="77"/>
  <c r="G11" i="77"/>
  <c r="F11" i="77"/>
  <c r="E11" i="77"/>
  <c r="D11" i="77"/>
  <c r="G10" i="77"/>
  <c r="F10" i="77"/>
  <c r="E10" i="77"/>
  <c r="D10" i="77"/>
  <c r="G9" i="77"/>
  <c r="F9" i="77"/>
  <c r="E9" i="77"/>
  <c r="D9" i="77"/>
  <c r="G8" i="77"/>
  <c r="F8" i="77"/>
  <c r="E8" i="77"/>
  <c r="D8" i="77"/>
  <c r="G7" i="77"/>
  <c r="F7" i="77"/>
  <c r="E7" i="77"/>
  <c r="D7" i="77"/>
  <c r="G6" i="77"/>
  <c r="F6" i="77"/>
  <c r="E6" i="77"/>
  <c r="D6" i="77"/>
  <c r="G5" i="77"/>
  <c r="F5" i="77"/>
  <c r="E5" i="77"/>
  <c r="D5" i="77"/>
  <c r="G4" i="77"/>
  <c r="F4" i="77"/>
  <c r="E4" i="77"/>
  <c r="D4" i="77"/>
  <c r="CZ3" i="77"/>
  <c r="CV3" i="77"/>
  <c r="CR3" i="77"/>
  <c r="CN3" i="77"/>
  <c r="CJ3" i="77"/>
  <c r="CF3" i="77"/>
  <c r="CB3" i="77"/>
  <c r="BX3" i="77"/>
  <c r="BT3" i="77"/>
  <c r="BP3" i="77"/>
  <c r="BL3" i="77"/>
  <c r="BH3" i="77"/>
  <c r="BD3" i="77"/>
  <c r="AZ3" i="77"/>
  <c r="AV3" i="77"/>
  <c r="AR3" i="77"/>
  <c r="CJ2" i="77"/>
  <c r="X2" i="77"/>
  <c r="CV2" i="77"/>
  <c r="AZ2" i="70"/>
  <c r="DC22" i="75"/>
  <c r="DB22" i="75"/>
  <c r="CV10" i="74" s="1"/>
  <c r="DA22" i="75"/>
  <c r="CU10" i="74" s="1"/>
  <c r="CZ22" i="75"/>
  <c r="CT10" i="74" s="1"/>
  <c r="CY22" i="75"/>
  <c r="CS10" i="74" s="1"/>
  <c r="CX22" i="75"/>
  <c r="CR10" i="74" s="1"/>
  <c r="CW22" i="75"/>
  <c r="CQ10" i="74" s="1"/>
  <c r="CV22" i="75"/>
  <c r="CP10" i="74" s="1"/>
  <c r="CU22" i="75"/>
  <c r="CO10" i="74" s="1"/>
  <c r="CT22" i="75"/>
  <c r="CN10" i="74" s="1"/>
  <c r="CS22" i="75"/>
  <c r="CM10" i="74" s="1"/>
  <c r="CR22" i="75"/>
  <c r="CL10" i="74" s="1"/>
  <c r="CQ22" i="75"/>
  <c r="CK10" i="74" s="1"/>
  <c r="CP22" i="75"/>
  <c r="CJ10" i="74" s="1"/>
  <c r="CO22" i="75"/>
  <c r="CI10" i="74" s="1"/>
  <c r="CN22" i="75"/>
  <c r="CH10" i="74" s="1"/>
  <c r="CM22" i="75"/>
  <c r="CG10" i="74" s="1"/>
  <c r="CL22" i="75"/>
  <c r="CF10" i="74" s="1"/>
  <c r="CK22" i="75"/>
  <c r="CE10" i="74" s="1"/>
  <c r="CJ22" i="75"/>
  <c r="CD10" i="74" s="1"/>
  <c r="CI22" i="75"/>
  <c r="CC10" i="74" s="1"/>
  <c r="CH22" i="75"/>
  <c r="CB10" i="74" s="1"/>
  <c r="CG22" i="75"/>
  <c r="CA10" i="74" s="1"/>
  <c r="CF22" i="75"/>
  <c r="BZ10" i="74" s="1"/>
  <c r="CE22" i="75"/>
  <c r="BY10" i="74" s="1"/>
  <c r="CD22" i="75"/>
  <c r="BX10" i="74" s="1"/>
  <c r="CC22" i="75"/>
  <c r="BW10" i="74" s="1"/>
  <c r="CB22" i="75"/>
  <c r="BV10" i="74" s="1"/>
  <c r="CA22" i="75"/>
  <c r="BU10" i="74" s="1"/>
  <c r="BZ22" i="75"/>
  <c r="BT10" i="74" s="1"/>
  <c r="BY22" i="75"/>
  <c r="BS10" i="74" s="1"/>
  <c r="BX22" i="75"/>
  <c r="BR10" i="74" s="1"/>
  <c r="BW22" i="75"/>
  <c r="BQ10" i="74" s="1"/>
  <c r="BV22" i="75"/>
  <c r="BP10" i="74" s="1"/>
  <c r="BU22" i="75"/>
  <c r="BO10" i="74" s="1"/>
  <c r="BT22" i="75"/>
  <c r="BN10" i="74" s="1"/>
  <c r="H136" i="78" s="1"/>
  <c r="BS22" i="75"/>
  <c r="BM10" i="74" s="1"/>
  <c r="BR22" i="75"/>
  <c r="BL10" i="74" s="1"/>
  <c r="BQ22" i="75"/>
  <c r="BK10" i="74" s="1"/>
  <c r="I123" i="78" s="1"/>
  <c r="O123" i="78" s="1"/>
  <c r="BP22" i="75"/>
  <c r="BJ10" i="74" s="1"/>
  <c r="H123" i="78" s="1"/>
  <c r="BO22" i="75"/>
  <c r="BI10" i="74" s="1"/>
  <c r="BN22" i="75"/>
  <c r="BH10" i="74" s="1"/>
  <c r="BM22" i="75"/>
  <c r="BG10" i="74" s="1"/>
  <c r="BL22" i="75"/>
  <c r="BF10" i="74" s="1"/>
  <c r="BK22" i="75"/>
  <c r="BE10" i="74" s="1"/>
  <c r="BJ22" i="75"/>
  <c r="BD10" i="74" s="1"/>
  <c r="BI22" i="75"/>
  <c r="BC10" i="74" s="1"/>
  <c r="R111" i="78" s="1"/>
  <c r="X111" i="78" s="1"/>
  <c r="BH22" i="75"/>
  <c r="BB10" i="74" s="1"/>
  <c r="Q111" i="78" s="1"/>
  <c r="BG22" i="75"/>
  <c r="BA10" i="74" s="1"/>
  <c r="BF22" i="75"/>
  <c r="AZ10" i="74" s="1"/>
  <c r="BE22" i="75"/>
  <c r="AY10" i="74" s="1"/>
  <c r="R101" i="78" s="1"/>
  <c r="X101" i="78" s="1"/>
  <c r="BD22" i="75"/>
  <c r="AX10" i="74" s="1"/>
  <c r="Q101" i="78" s="1"/>
  <c r="BC22" i="75"/>
  <c r="AW10" i="74" s="1"/>
  <c r="S92" i="78" s="1"/>
  <c r="X92" i="78" s="1"/>
  <c r="BB22" i="75"/>
  <c r="AV10" i="74" s="1"/>
  <c r="BA22" i="75"/>
  <c r="AU10" i="74" s="1"/>
  <c r="AZ22" i="75"/>
  <c r="AT10" i="74" s="1"/>
  <c r="AY22" i="75"/>
  <c r="AS10" i="74" s="1"/>
  <c r="AX22" i="75"/>
  <c r="AR10" i="74" s="1"/>
  <c r="AW22" i="75"/>
  <c r="AQ10" i="74" s="1"/>
  <c r="R84" i="78" s="1"/>
  <c r="X84" i="78" s="1"/>
  <c r="AV22" i="75"/>
  <c r="AP10" i="74" s="1"/>
  <c r="Q84" i="78" s="1"/>
  <c r="AU22" i="75"/>
  <c r="AO10" i="74" s="1"/>
  <c r="AT22" i="75"/>
  <c r="AN10" i="74" s="1"/>
  <c r="AS22" i="75"/>
  <c r="AM10" i="74" s="1"/>
  <c r="R75" i="78" s="1"/>
  <c r="X75" i="78" s="1"/>
  <c r="AR22" i="75"/>
  <c r="AL10" i="74" s="1"/>
  <c r="Q75" i="78" s="1"/>
  <c r="AQ22" i="75"/>
  <c r="AK10" i="74" s="1"/>
  <c r="AP22" i="75"/>
  <c r="AJ10" i="74" s="1"/>
  <c r="AO22" i="75"/>
  <c r="AI10" i="74" s="1"/>
  <c r="R67" i="78" s="1"/>
  <c r="X67" i="78" s="1"/>
  <c r="AN22" i="75"/>
  <c r="AH10" i="74" s="1"/>
  <c r="AM22" i="75"/>
  <c r="AG10" i="74" s="1"/>
  <c r="AL22" i="75"/>
  <c r="AF10" i="74" s="1"/>
  <c r="AK22" i="75"/>
  <c r="AE10" i="74" s="1"/>
  <c r="R59" i="78" s="1"/>
  <c r="X59" i="78" s="1"/>
  <c r="AJ22" i="75"/>
  <c r="AD10" i="74" s="1"/>
  <c r="Q59" i="78" s="1"/>
  <c r="AI22" i="75"/>
  <c r="AC10" i="74" s="1"/>
  <c r="AH22" i="75"/>
  <c r="AB10" i="74" s="1"/>
  <c r="AG22" i="75"/>
  <c r="AA10" i="74" s="1"/>
  <c r="I54" i="78" s="1"/>
  <c r="O54" i="78" s="1"/>
  <c r="AF22" i="75"/>
  <c r="Z10" i="74" s="1"/>
  <c r="H54" i="78" s="1"/>
  <c r="AE22" i="75"/>
  <c r="Y10" i="74" s="1"/>
  <c r="AD22" i="75"/>
  <c r="X10" i="74" s="1"/>
  <c r="AC22" i="75"/>
  <c r="W10" i="74" s="1"/>
  <c r="AB22" i="75"/>
  <c r="V10" i="74" s="1"/>
  <c r="AA22" i="75"/>
  <c r="U10" i="74" s="1"/>
  <c r="Z22" i="75"/>
  <c r="T10" i="74" s="1"/>
  <c r="Y22" i="75"/>
  <c r="S10" i="74" s="1"/>
  <c r="X22" i="75"/>
  <c r="R10" i="74" s="1"/>
  <c r="H36" i="78" s="1"/>
  <c r="W22" i="75"/>
  <c r="Q10" i="74" s="1"/>
  <c r="V22" i="75"/>
  <c r="P10" i="74" s="1"/>
  <c r="U22" i="75"/>
  <c r="O10" i="74" s="1"/>
  <c r="T22" i="75"/>
  <c r="N10" i="74" s="1"/>
  <c r="S22" i="75"/>
  <c r="M10" i="74" s="1"/>
  <c r="R22" i="75"/>
  <c r="L10" i="74" s="1"/>
  <c r="Q22" i="75"/>
  <c r="K10" i="74" s="1"/>
  <c r="P22" i="75"/>
  <c r="J10" i="74" s="1"/>
  <c r="O22" i="75"/>
  <c r="I10" i="74" s="1"/>
  <c r="N22" i="75"/>
  <c r="H10" i="74" s="1"/>
  <c r="M22" i="75"/>
  <c r="G10" i="74" s="1"/>
  <c r="L22" i="75"/>
  <c r="F10" i="74" s="1"/>
  <c r="K22" i="75"/>
  <c r="E10" i="74" s="1"/>
  <c r="J22" i="75"/>
  <c r="D10" i="74" s="1"/>
  <c r="I22" i="75"/>
  <c r="H22" i="75"/>
  <c r="G18" i="75"/>
  <c r="F18" i="75"/>
  <c r="E18" i="75"/>
  <c r="D18" i="75"/>
  <c r="G17" i="75"/>
  <c r="F17" i="75"/>
  <c r="E17" i="75"/>
  <c r="D17" i="75"/>
  <c r="G16" i="75"/>
  <c r="F16" i="75"/>
  <c r="E16" i="75"/>
  <c r="D16" i="75"/>
  <c r="G15" i="75"/>
  <c r="F15" i="75"/>
  <c r="E15" i="75"/>
  <c r="D15" i="75"/>
  <c r="G14" i="75"/>
  <c r="F14" i="75"/>
  <c r="E14" i="75"/>
  <c r="D14" i="75"/>
  <c r="G13" i="75"/>
  <c r="F13" i="75"/>
  <c r="E13" i="75"/>
  <c r="D13" i="75"/>
  <c r="G12" i="75"/>
  <c r="F12" i="75"/>
  <c r="E12" i="75"/>
  <c r="D12" i="75"/>
  <c r="G11" i="75"/>
  <c r="F11" i="75"/>
  <c r="E11" i="75"/>
  <c r="D11" i="75"/>
  <c r="G10" i="75"/>
  <c r="F10" i="75"/>
  <c r="E10" i="75"/>
  <c r="D10" i="75"/>
  <c r="G9" i="75"/>
  <c r="F9" i="75"/>
  <c r="E9" i="75"/>
  <c r="D9" i="75"/>
  <c r="G8" i="75"/>
  <c r="F8" i="75"/>
  <c r="E8" i="75"/>
  <c r="D8" i="75"/>
  <c r="G7" i="75"/>
  <c r="F7" i="75"/>
  <c r="E7" i="75"/>
  <c r="D7" i="75"/>
  <c r="G6" i="75"/>
  <c r="F6" i="75"/>
  <c r="E6" i="75"/>
  <c r="D6" i="75"/>
  <c r="G5" i="75"/>
  <c r="F5" i="75"/>
  <c r="E5" i="75"/>
  <c r="D5" i="75"/>
  <c r="G4" i="75"/>
  <c r="F4" i="75"/>
  <c r="E4" i="75"/>
  <c r="D4" i="75"/>
  <c r="CZ3" i="75"/>
  <c r="CV3" i="75"/>
  <c r="CR3" i="75"/>
  <c r="CN3" i="75"/>
  <c r="CJ3" i="75"/>
  <c r="CF3" i="75"/>
  <c r="CB3" i="75"/>
  <c r="BX3" i="75"/>
  <c r="BT3" i="75"/>
  <c r="BP3" i="75"/>
  <c r="BL3" i="75"/>
  <c r="BH3" i="75"/>
  <c r="BD3" i="75"/>
  <c r="AZ3" i="75"/>
  <c r="AV3" i="75"/>
  <c r="AR3" i="75"/>
  <c r="CV2" i="75"/>
  <c r="Y176" i="28"/>
  <c r="Y172" i="28"/>
  <c r="CU19" i="74"/>
  <c r="CV19" i="74"/>
  <c r="CW19" i="74"/>
  <c r="G18" i="22"/>
  <c r="T91" i="21" s="1"/>
  <c r="F18" i="22"/>
  <c r="O91" i="21" s="1"/>
  <c r="E18" i="22"/>
  <c r="D18" i="22"/>
  <c r="G17" i="22"/>
  <c r="T90" i="21" s="1"/>
  <c r="F17" i="22"/>
  <c r="O90" i="21" s="1"/>
  <c r="E17" i="22"/>
  <c r="D17" i="22"/>
  <c r="G16" i="22"/>
  <c r="T89" i="21" s="1"/>
  <c r="F16" i="22"/>
  <c r="O89" i="21" s="1"/>
  <c r="E16" i="22"/>
  <c r="D16" i="22"/>
  <c r="G15" i="22"/>
  <c r="T88" i="21" s="1"/>
  <c r="F15" i="22"/>
  <c r="O88" i="21" s="1"/>
  <c r="E15" i="22"/>
  <c r="D15" i="22"/>
  <c r="G14" i="22"/>
  <c r="T87" i="21" s="1"/>
  <c r="F14" i="22"/>
  <c r="O87" i="21" s="1"/>
  <c r="E14" i="22"/>
  <c r="D14" i="22"/>
  <c r="G13" i="22"/>
  <c r="T86" i="21" s="1"/>
  <c r="F13" i="22"/>
  <c r="O86" i="21" s="1"/>
  <c r="E13" i="22"/>
  <c r="G12" i="22"/>
  <c r="T85" i="21" s="1"/>
  <c r="F12" i="22"/>
  <c r="O85" i="21" s="1"/>
  <c r="E12" i="22"/>
  <c r="D12" i="22"/>
  <c r="G11" i="22"/>
  <c r="T84" i="21" s="1"/>
  <c r="F11" i="22"/>
  <c r="O84" i="21" s="1"/>
  <c r="E11" i="22"/>
  <c r="D11" i="22"/>
  <c r="G10" i="22"/>
  <c r="T83" i="21" s="1"/>
  <c r="F10" i="22"/>
  <c r="O83" i="21" s="1"/>
  <c r="E10" i="22"/>
  <c r="D10" i="22"/>
  <c r="G9" i="22"/>
  <c r="T82" i="21" s="1"/>
  <c r="F9" i="22"/>
  <c r="O82" i="21" s="1"/>
  <c r="E9" i="22"/>
  <c r="D9" i="22"/>
  <c r="G8" i="22"/>
  <c r="T81" i="21" s="1"/>
  <c r="F8" i="22"/>
  <c r="O81" i="21" s="1"/>
  <c r="E8" i="22"/>
  <c r="D8" i="22"/>
  <c r="G7" i="22"/>
  <c r="T80" i="21" s="1"/>
  <c r="F7" i="22"/>
  <c r="O80" i="21" s="1"/>
  <c r="E7" i="22"/>
  <c r="D7" i="22"/>
  <c r="G6" i="22"/>
  <c r="T79" i="21" s="1"/>
  <c r="F6" i="22"/>
  <c r="O79" i="21" s="1"/>
  <c r="E6" i="22"/>
  <c r="D6" i="22"/>
  <c r="G5" i="22"/>
  <c r="T78" i="21" s="1"/>
  <c r="F5" i="22"/>
  <c r="O78" i="21" s="1"/>
  <c r="E5" i="22"/>
  <c r="D5" i="22"/>
  <c r="G4" i="22"/>
  <c r="T77" i="21" s="1"/>
  <c r="F4" i="22"/>
  <c r="O77" i="21" s="1"/>
  <c r="E4" i="22"/>
  <c r="D4" i="22"/>
  <c r="G18" i="58"/>
  <c r="F18" i="58"/>
  <c r="E18" i="58"/>
  <c r="D18" i="58"/>
  <c r="G17" i="58"/>
  <c r="F17" i="58"/>
  <c r="E17" i="58"/>
  <c r="D17" i="58"/>
  <c r="G16" i="58"/>
  <c r="F16" i="58"/>
  <c r="E16" i="58"/>
  <c r="D16" i="58"/>
  <c r="G15" i="58"/>
  <c r="F15" i="58"/>
  <c r="E15" i="58"/>
  <c r="D15" i="58"/>
  <c r="G14" i="58"/>
  <c r="F14" i="58"/>
  <c r="E14" i="58"/>
  <c r="D14" i="58"/>
  <c r="G13" i="58"/>
  <c r="F13" i="58"/>
  <c r="E13" i="58"/>
  <c r="D13" i="58"/>
  <c r="G12" i="58"/>
  <c r="F12" i="58"/>
  <c r="E12" i="58"/>
  <c r="D12" i="58"/>
  <c r="G11" i="58"/>
  <c r="F11" i="58"/>
  <c r="E11" i="58"/>
  <c r="D11" i="58"/>
  <c r="G10" i="58"/>
  <c r="F10" i="58"/>
  <c r="E10" i="58"/>
  <c r="D10" i="58"/>
  <c r="G9" i="58"/>
  <c r="F9" i="58"/>
  <c r="E9" i="58"/>
  <c r="D9" i="58"/>
  <c r="G8" i="58"/>
  <c r="F8" i="58"/>
  <c r="E8" i="58"/>
  <c r="D8" i="58"/>
  <c r="G7" i="58"/>
  <c r="F7" i="58"/>
  <c r="E7" i="58"/>
  <c r="D7" i="58"/>
  <c r="G6" i="58"/>
  <c r="F6" i="58"/>
  <c r="E6" i="58"/>
  <c r="D6" i="58"/>
  <c r="G5" i="58"/>
  <c r="F5" i="58"/>
  <c r="E5" i="58"/>
  <c r="D5" i="58"/>
  <c r="G4" i="58"/>
  <c r="F4" i="58"/>
  <c r="E4" i="58"/>
  <c r="D4" i="58"/>
  <c r="G18" i="59"/>
  <c r="F18" i="59"/>
  <c r="E18" i="59"/>
  <c r="I196" i="21" s="1"/>
  <c r="D18" i="59"/>
  <c r="G17" i="59"/>
  <c r="F17" i="59"/>
  <c r="E17" i="59"/>
  <c r="I195" i="21" s="1"/>
  <c r="D17" i="59"/>
  <c r="D195" i="21" s="1"/>
  <c r="G16" i="59"/>
  <c r="F16" i="59"/>
  <c r="E16" i="59"/>
  <c r="I194" i="21" s="1"/>
  <c r="D16" i="59"/>
  <c r="D194" i="21" s="1"/>
  <c r="G15" i="59"/>
  <c r="F15" i="59"/>
  <c r="E15" i="59"/>
  <c r="I193" i="21" s="1"/>
  <c r="D15" i="59"/>
  <c r="D193" i="21" s="1"/>
  <c r="G14" i="59"/>
  <c r="F14" i="59"/>
  <c r="E14" i="59"/>
  <c r="I192" i="21" s="1"/>
  <c r="D14" i="59"/>
  <c r="D192" i="21" s="1"/>
  <c r="G13" i="59"/>
  <c r="F13" i="59"/>
  <c r="E13" i="59"/>
  <c r="I191" i="21" s="1"/>
  <c r="D13" i="59"/>
  <c r="D191" i="21" s="1"/>
  <c r="G12" i="59"/>
  <c r="F12" i="59"/>
  <c r="E12" i="59"/>
  <c r="I190" i="21" s="1"/>
  <c r="D12" i="59"/>
  <c r="D190" i="21" s="1"/>
  <c r="G11" i="59"/>
  <c r="F11" i="59"/>
  <c r="E11" i="59"/>
  <c r="I189" i="21" s="1"/>
  <c r="D11" i="59"/>
  <c r="D189" i="21" s="1"/>
  <c r="G10" i="59"/>
  <c r="F10" i="59"/>
  <c r="E10" i="59"/>
  <c r="I188" i="21" s="1"/>
  <c r="D10" i="59"/>
  <c r="D188" i="21" s="1"/>
  <c r="E188" i="21" s="1"/>
  <c r="G9" i="59"/>
  <c r="F9" i="59"/>
  <c r="E9" i="59"/>
  <c r="I187" i="21" s="1"/>
  <c r="D9" i="59"/>
  <c r="D187" i="21" s="1"/>
  <c r="G8" i="59"/>
  <c r="F8" i="59"/>
  <c r="E8" i="59"/>
  <c r="I186" i="21" s="1"/>
  <c r="D8" i="59"/>
  <c r="D186" i="21" s="1"/>
  <c r="G7" i="59"/>
  <c r="F7" i="59"/>
  <c r="E7" i="59"/>
  <c r="I185" i="21" s="1"/>
  <c r="D7" i="59"/>
  <c r="D185" i="21" s="1"/>
  <c r="E185" i="21" s="1"/>
  <c r="G6" i="59"/>
  <c r="F6" i="59"/>
  <c r="E6" i="59"/>
  <c r="I184" i="21" s="1"/>
  <c r="D6" i="59"/>
  <c r="D184" i="21" s="1"/>
  <c r="G5" i="59"/>
  <c r="F5" i="59"/>
  <c r="E5" i="59"/>
  <c r="I183" i="21" s="1"/>
  <c r="D5" i="59"/>
  <c r="D183" i="21" s="1"/>
  <c r="G4" i="59"/>
  <c r="F4" i="59"/>
  <c r="E4" i="59"/>
  <c r="D4" i="59"/>
  <c r="D182" i="21" s="1"/>
  <c r="G18" i="60"/>
  <c r="F18" i="60"/>
  <c r="E18" i="60"/>
  <c r="D18" i="60"/>
  <c r="G17" i="60"/>
  <c r="F17" i="60"/>
  <c r="E17" i="60"/>
  <c r="D17" i="60"/>
  <c r="G16" i="60"/>
  <c r="F16" i="60"/>
  <c r="E16" i="60"/>
  <c r="D16" i="60"/>
  <c r="G15" i="60"/>
  <c r="F15" i="60"/>
  <c r="E15" i="60"/>
  <c r="D15" i="60"/>
  <c r="G14" i="60"/>
  <c r="F14" i="60"/>
  <c r="E14" i="60"/>
  <c r="D14" i="60"/>
  <c r="G13" i="60"/>
  <c r="F13" i="60"/>
  <c r="E13" i="60"/>
  <c r="D13" i="60"/>
  <c r="G12" i="60"/>
  <c r="F12" i="60"/>
  <c r="E12" i="60"/>
  <c r="D12" i="60"/>
  <c r="G11" i="60"/>
  <c r="F11" i="60"/>
  <c r="E11" i="60"/>
  <c r="D11" i="60"/>
  <c r="G10" i="60"/>
  <c r="F10" i="60"/>
  <c r="E10" i="60"/>
  <c r="D10" i="60"/>
  <c r="G9" i="60"/>
  <c r="F9" i="60"/>
  <c r="E9" i="60"/>
  <c r="D9" i="60"/>
  <c r="G8" i="60"/>
  <c r="F8" i="60"/>
  <c r="E8" i="60"/>
  <c r="D8" i="60"/>
  <c r="G7" i="60"/>
  <c r="F7" i="60"/>
  <c r="E7" i="60"/>
  <c r="D7" i="60"/>
  <c r="G6" i="60"/>
  <c r="F6" i="60"/>
  <c r="E6" i="60"/>
  <c r="D6" i="60"/>
  <c r="G5" i="60"/>
  <c r="F5" i="60"/>
  <c r="E5" i="60"/>
  <c r="D5" i="60"/>
  <c r="G4" i="60"/>
  <c r="F4" i="60"/>
  <c r="E4" i="60"/>
  <c r="D4" i="60"/>
  <c r="D18" i="61"/>
  <c r="D17" i="61"/>
  <c r="D16" i="61"/>
  <c r="D15" i="61"/>
  <c r="D14" i="61"/>
  <c r="D13" i="61"/>
  <c r="D12" i="61"/>
  <c r="D11" i="61"/>
  <c r="D10" i="61"/>
  <c r="D9" i="61"/>
  <c r="D8" i="61"/>
  <c r="D7" i="61"/>
  <c r="D6" i="61"/>
  <c r="D5" i="61"/>
  <c r="D4" i="61"/>
  <c r="G18" i="62"/>
  <c r="F18" i="62"/>
  <c r="E18" i="62"/>
  <c r="I211" i="21" s="1"/>
  <c r="G17" i="62"/>
  <c r="F17" i="62"/>
  <c r="E17" i="62"/>
  <c r="D17" i="62"/>
  <c r="D210" i="21" s="1"/>
  <c r="G16" i="62"/>
  <c r="F16" i="62"/>
  <c r="E16" i="62"/>
  <c r="D16" i="62"/>
  <c r="G15" i="62"/>
  <c r="F15" i="62"/>
  <c r="E15" i="62"/>
  <c r="D15" i="62"/>
  <c r="G14" i="62"/>
  <c r="F14" i="62"/>
  <c r="E14" i="62"/>
  <c r="D14" i="62"/>
  <c r="G13" i="62"/>
  <c r="F13" i="62"/>
  <c r="E13" i="62"/>
  <c r="D13" i="62"/>
  <c r="G12" i="62"/>
  <c r="F12" i="62"/>
  <c r="E12" i="62"/>
  <c r="D12" i="62"/>
  <c r="G11" i="62"/>
  <c r="F11" i="62"/>
  <c r="E11" i="62"/>
  <c r="D11" i="62"/>
  <c r="G10" i="62"/>
  <c r="F10" i="62"/>
  <c r="E10" i="62"/>
  <c r="D10" i="62"/>
  <c r="G9" i="62"/>
  <c r="F9" i="62"/>
  <c r="E9" i="62"/>
  <c r="D9" i="62"/>
  <c r="G8" i="62"/>
  <c r="F8" i="62"/>
  <c r="E8" i="62"/>
  <c r="D8" i="62"/>
  <c r="G7" i="62"/>
  <c r="F7" i="62"/>
  <c r="E7" i="62"/>
  <c r="D7" i="62"/>
  <c r="G6" i="62"/>
  <c r="F6" i="62"/>
  <c r="E6" i="62"/>
  <c r="D6" i="62"/>
  <c r="G5" i="62"/>
  <c r="F5" i="62"/>
  <c r="E5" i="62"/>
  <c r="D5" i="62"/>
  <c r="G4" i="62"/>
  <c r="F4" i="62"/>
  <c r="E4" i="62"/>
  <c r="D4" i="62"/>
  <c r="G18" i="63"/>
  <c r="F18" i="63"/>
  <c r="E18" i="63"/>
  <c r="D18" i="63"/>
  <c r="G17" i="63"/>
  <c r="F17" i="63"/>
  <c r="E17" i="63"/>
  <c r="D17" i="63"/>
  <c r="G16" i="63"/>
  <c r="F16" i="63"/>
  <c r="E16" i="63"/>
  <c r="D16" i="63"/>
  <c r="G15" i="63"/>
  <c r="F15" i="63"/>
  <c r="E15" i="63"/>
  <c r="D15" i="63"/>
  <c r="G14" i="63"/>
  <c r="F14" i="63"/>
  <c r="E14" i="63"/>
  <c r="D14" i="63"/>
  <c r="G13" i="63"/>
  <c r="F13" i="63"/>
  <c r="E13" i="63"/>
  <c r="D13" i="63"/>
  <c r="G12" i="63"/>
  <c r="F12" i="63"/>
  <c r="E12" i="63"/>
  <c r="D12" i="63"/>
  <c r="G11" i="63"/>
  <c r="F11" i="63"/>
  <c r="E11" i="63"/>
  <c r="D11" i="63"/>
  <c r="G10" i="63"/>
  <c r="F10" i="63"/>
  <c r="E10" i="63"/>
  <c r="D10" i="63"/>
  <c r="G9" i="63"/>
  <c r="F9" i="63"/>
  <c r="E9" i="63"/>
  <c r="D9" i="63"/>
  <c r="G8" i="63"/>
  <c r="F8" i="63"/>
  <c r="E8" i="63"/>
  <c r="D8" i="63"/>
  <c r="G7" i="63"/>
  <c r="F7" i="63"/>
  <c r="E7" i="63"/>
  <c r="D7" i="63"/>
  <c r="G6" i="63"/>
  <c r="F6" i="63"/>
  <c r="E6" i="63"/>
  <c r="D6" i="63"/>
  <c r="G5" i="63"/>
  <c r="F5" i="63"/>
  <c r="E5" i="63"/>
  <c r="D5" i="63"/>
  <c r="G4" i="63"/>
  <c r="F4" i="63"/>
  <c r="E4" i="63"/>
  <c r="D4" i="63"/>
  <c r="D7" i="64"/>
  <c r="D18" i="64"/>
  <c r="D17" i="64"/>
  <c r="D16" i="64"/>
  <c r="D15" i="64"/>
  <c r="D14" i="64"/>
  <c r="D13" i="64"/>
  <c r="D12" i="64"/>
  <c r="D11" i="64"/>
  <c r="D10" i="64"/>
  <c r="D9" i="64"/>
  <c r="D8" i="64"/>
  <c r="D6" i="64"/>
  <c r="D5" i="64"/>
  <c r="D4" i="64"/>
  <c r="G18" i="65"/>
  <c r="F18" i="65"/>
  <c r="E18" i="65"/>
  <c r="D18" i="65"/>
  <c r="G17" i="65"/>
  <c r="F17" i="65"/>
  <c r="E17" i="65"/>
  <c r="D17" i="65"/>
  <c r="G16" i="65"/>
  <c r="F16" i="65"/>
  <c r="E16" i="65"/>
  <c r="D16" i="65"/>
  <c r="G15" i="65"/>
  <c r="F15" i="65"/>
  <c r="E15" i="65"/>
  <c r="D15" i="65"/>
  <c r="G14" i="65"/>
  <c r="F14" i="65"/>
  <c r="E14" i="65"/>
  <c r="D14" i="65"/>
  <c r="G13" i="65"/>
  <c r="F13" i="65"/>
  <c r="E13" i="65"/>
  <c r="D13" i="65"/>
  <c r="G12" i="65"/>
  <c r="F12" i="65"/>
  <c r="E12" i="65"/>
  <c r="D12" i="65"/>
  <c r="G11" i="65"/>
  <c r="F11" i="65"/>
  <c r="E11" i="65"/>
  <c r="D11" i="65"/>
  <c r="G10" i="65"/>
  <c r="F10" i="65"/>
  <c r="E10" i="65"/>
  <c r="D10" i="65"/>
  <c r="G9" i="65"/>
  <c r="F9" i="65"/>
  <c r="E9" i="65"/>
  <c r="D9" i="65"/>
  <c r="G8" i="65"/>
  <c r="F8" i="65"/>
  <c r="E8" i="65"/>
  <c r="D8" i="65"/>
  <c r="G7" i="65"/>
  <c r="F7" i="65"/>
  <c r="E7" i="65"/>
  <c r="D7" i="65"/>
  <c r="G6" i="65"/>
  <c r="F6" i="65"/>
  <c r="E6" i="65"/>
  <c r="D6" i="65"/>
  <c r="G5" i="65"/>
  <c r="F5" i="65"/>
  <c r="E5" i="65"/>
  <c r="D5" i="65"/>
  <c r="G4" i="65"/>
  <c r="F4" i="65"/>
  <c r="E4" i="65"/>
  <c r="D4" i="65"/>
  <c r="G18" i="66"/>
  <c r="F18" i="66"/>
  <c r="E18" i="66"/>
  <c r="D18" i="66"/>
  <c r="G17" i="66"/>
  <c r="F17" i="66"/>
  <c r="E17" i="66"/>
  <c r="D17" i="66"/>
  <c r="G16" i="66"/>
  <c r="F16" i="66"/>
  <c r="E16" i="66"/>
  <c r="D16" i="66"/>
  <c r="G15" i="66"/>
  <c r="F15" i="66"/>
  <c r="E15" i="66"/>
  <c r="D15" i="66"/>
  <c r="G14" i="66"/>
  <c r="F14" i="66"/>
  <c r="E14" i="66"/>
  <c r="D14" i="66"/>
  <c r="G13" i="66"/>
  <c r="F13" i="66"/>
  <c r="E13" i="66"/>
  <c r="D13" i="66"/>
  <c r="G12" i="66"/>
  <c r="F12" i="66"/>
  <c r="E12" i="66"/>
  <c r="D12" i="66"/>
  <c r="G11" i="66"/>
  <c r="F11" i="66"/>
  <c r="E11" i="66"/>
  <c r="D11" i="66"/>
  <c r="G10" i="66"/>
  <c r="F10" i="66"/>
  <c r="E10" i="66"/>
  <c r="D10" i="66"/>
  <c r="G9" i="66"/>
  <c r="F9" i="66"/>
  <c r="E9" i="66"/>
  <c r="D9" i="66"/>
  <c r="G8" i="66"/>
  <c r="F8" i="66"/>
  <c r="E8" i="66"/>
  <c r="D8" i="66"/>
  <c r="G7" i="66"/>
  <c r="F7" i="66"/>
  <c r="E7" i="66"/>
  <c r="D7" i="66"/>
  <c r="G6" i="66"/>
  <c r="F6" i="66"/>
  <c r="E6" i="66"/>
  <c r="D6" i="66"/>
  <c r="G5" i="66"/>
  <c r="F5" i="66"/>
  <c r="E5" i="66"/>
  <c r="D5" i="66"/>
  <c r="G4" i="66"/>
  <c r="F4" i="66"/>
  <c r="E4" i="66"/>
  <c r="D4" i="66"/>
  <c r="G18" i="67"/>
  <c r="F18" i="67"/>
  <c r="E18" i="67"/>
  <c r="I241" i="21" s="1"/>
  <c r="D18" i="67"/>
  <c r="G17" i="67"/>
  <c r="F17" i="67"/>
  <c r="E17" i="67"/>
  <c r="I240" i="21" s="1"/>
  <c r="D17" i="67"/>
  <c r="G16" i="67"/>
  <c r="F16" i="67"/>
  <c r="E16" i="67"/>
  <c r="D16" i="67"/>
  <c r="G15" i="67"/>
  <c r="F15" i="67"/>
  <c r="E15" i="67"/>
  <c r="I238" i="21" s="1"/>
  <c r="D15" i="67"/>
  <c r="D238" i="21" s="1"/>
  <c r="G14" i="67"/>
  <c r="F14" i="67"/>
  <c r="E14" i="67"/>
  <c r="D14" i="67"/>
  <c r="D237" i="21" s="1"/>
  <c r="G13" i="67"/>
  <c r="F13" i="67"/>
  <c r="E13" i="67"/>
  <c r="D13" i="67"/>
  <c r="D236" i="21" s="1"/>
  <c r="G12" i="67"/>
  <c r="F12" i="67"/>
  <c r="E12" i="67"/>
  <c r="I235" i="21" s="1"/>
  <c r="D12" i="67"/>
  <c r="D235" i="21" s="1"/>
  <c r="G11" i="67"/>
  <c r="F11" i="67"/>
  <c r="E11" i="67"/>
  <c r="I234" i="21" s="1"/>
  <c r="D11" i="67"/>
  <c r="D234" i="21" s="1"/>
  <c r="G10" i="67"/>
  <c r="F10" i="67"/>
  <c r="E10" i="67"/>
  <c r="I233" i="21" s="1"/>
  <c r="D10" i="67"/>
  <c r="D233" i="21" s="1"/>
  <c r="G9" i="67"/>
  <c r="F9" i="67"/>
  <c r="E9" i="67"/>
  <c r="I232" i="21" s="1"/>
  <c r="D9" i="67"/>
  <c r="D232" i="21" s="1"/>
  <c r="G8" i="67"/>
  <c r="F8" i="67"/>
  <c r="E8" i="67"/>
  <c r="I231" i="21" s="1"/>
  <c r="D8" i="67"/>
  <c r="D231" i="21" s="1"/>
  <c r="G7" i="67"/>
  <c r="F7" i="67"/>
  <c r="E7" i="67"/>
  <c r="I230" i="21" s="1"/>
  <c r="D7" i="67"/>
  <c r="D230" i="21" s="1"/>
  <c r="G6" i="67"/>
  <c r="F6" i="67"/>
  <c r="E6" i="67"/>
  <c r="I229" i="21" s="1"/>
  <c r="D6" i="67"/>
  <c r="D229" i="21" s="1"/>
  <c r="G5" i="67"/>
  <c r="F5" i="67"/>
  <c r="E5" i="67"/>
  <c r="I228" i="21" s="1"/>
  <c r="D5" i="67"/>
  <c r="D228" i="21" s="1"/>
  <c r="G4" i="67"/>
  <c r="F4" i="67"/>
  <c r="E4" i="67"/>
  <c r="I227" i="21" s="1"/>
  <c r="D4" i="67"/>
  <c r="D227" i="21" s="1"/>
  <c r="D5" i="68"/>
  <c r="D3" i="21" s="1"/>
  <c r="E5" i="68"/>
  <c r="F5" i="68"/>
  <c r="N3" i="21" s="1"/>
  <c r="G5" i="68"/>
  <c r="D6" i="68"/>
  <c r="D4" i="21" s="1"/>
  <c r="E6" i="68"/>
  <c r="F6" i="68"/>
  <c r="N4" i="21" s="1"/>
  <c r="G6" i="68"/>
  <c r="D7" i="68"/>
  <c r="D5" i="21" s="1"/>
  <c r="E7" i="68"/>
  <c r="I5" i="21" s="1"/>
  <c r="F7" i="68"/>
  <c r="N5" i="21" s="1"/>
  <c r="G7" i="68"/>
  <c r="D8" i="68"/>
  <c r="D6" i="21" s="1"/>
  <c r="E8" i="68"/>
  <c r="F8" i="68"/>
  <c r="N6" i="21" s="1"/>
  <c r="G8" i="68"/>
  <c r="D9" i="68"/>
  <c r="D7" i="21" s="1"/>
  <c r="E9" i="68"/>
  <c r="I7" i="21" s="1"/>
  <c r="F9" i="68"/>
  <c r="N7" i="21" s="1"/>
  <c r="G9" i="68"/>
  <c r="S7" i="21" s="1"/>
  <c r="D10" i="68"/>
  <c r="D8" i="21" s="1"/>
  <c r="E10" i="68"/>
  <c r="I8" i="21" s="1"/>
  <c r="F10" i="68"/>
  <c r="N8" i="21" s="1"/>
  <c r="G10" i="68"/>
  <c r="D11" i="68"/>
  <c r="D9" i="21" s="1"/>
  <c r="E11" i="68"/>
  <c r="I9" i="21" s="1"/>
  <c r="F11" i="68"/>
  <c r="G11" i="68"/>
  <c r="S9" i="21" s="1"/>
  <c r="D12" i="68"/>
  <c r="D10" i="21" s="1"/>
  <c r="E12" i="68"/>
  <c r="I10" i="21" s="1"/>
  <c r="F12" i="68"/>
  <c r="N10" i="21" s="1"/>
  <c r="G12" i="68"/>
  <c r="D13" i="68"/>
  <c r="D11" i="21" s="1"/>
  <c r="E13" i="68"/>
  <c r="I11" i="21" s="1"/>
  <c r="F13" i="68"/>
  <c r="G13" i="68"/>
  <c r="S11" i="21" s="1"/>
  <c r="D14" i="68"/>
  <c r="D12" i="21" s="1"/>
  <c r="E14" i="68"/>
  <c r="I12" i="21" s="1"/>
  <c r="F14" i="68"/>
  <c r="N12" i="21" s="1"/>
  <c r="G14" i="68"/>
  <c r="D15" i="68"/>
  <c r="D13" i="21" s="1"/>
  <c r="E15" i="68"/>
  <c r="F15" i="68"/>
  <c r="N13" i="21" s="1"/>
  <c r="G15" i="68"/>
  <c r="D16" i="68"/>
  <c r="D14" i="21" s="1"/>
  <c r="E16" i="68"/>
  <c r="F16" i="68"/>
  <c r="N14" i="21" s="1"/>
  <c r="G16" i="68"/>
  <c r="D17" i="68"/>
  <c r="D15" i="21" s="1"/>
  <c r="E17" i="68"/>
  <c r="I15" i="21" s="1"/>
  <c r="F17" i="68"/>
  <c r="N15" i="21" s="1"/>
  <c r="G17" i="68"/>
  <c r="D18" i="68"/>
  <c r="E18" i="68"/>
  <c r="I16" i="21" s="1"/>
  <c r="F18" i="68"/>
  <c r="G18" i="68"/>
  <c r="D4" i="68"/>
  <c r="D2" i="21" s="1"/>
  <c r="E4" i="68"/>
  <c r="I2" i="21" s="1"/>
  <c r="F4" i="68"/>
  <c r="N2" i="21" s="1"/>
  <c r="G4" i="68"/>
  <c r="D5" i="71"/>
  <c r="E5" i="71"/>
  <c r="F5" i="71"/>
  <c r="G5" i="71"/>
  <c r="D6" i="71"/>
  <c r="E6" i="71"/>
  <c r="F6" i="71"/>
  <c r="G6" i="71"/>
  <c r="D7" i="71"/>
  <c r="E7" i="71"/>
  <c r="F7" i="71"/>
  <c r="G7" i="71"/>
  <c r="D8" i="71"/>
  <c r="E8" i="71"/>
  <c r="F8" i="71"/>
  <c r="G8" i="71"/>
  <c r="D9" i="71"/>
  <c r="E9" i="71"/>
  <c r="F9" i="71"/>
  <c r="G9" i="71"/>
  <c r="D10" i="71"/>
  <c r="E10" i="71"/>
  <c r="F10" i="71"/>
  <c r="G10" i="71"/>
  <c r="D11" i="71"/>
  <c r="E11" i="71"/>
  <c r="F11" i="71"/>
  <c r="N234" i="21" s="1"/>
  <c r="O234" i="21" s="1"/>
  <c r="G11" i="71"/>
  <c r="S234" i="21" s="1"/>
  <c r="T234" i="21" s="1"/>
  <c r="D12" i="71"/>
  <c r="E12" i="71"/>
  <c r="F12" i="71"/>
  <c r="N235" i="21" s="1"/>
  <c r="O235" i="21" s="1"/>
  <c r="G12" i="71"/>
  <c r="S235" i="21" s="1"/>
  <c r="T235" i="21" s="1"/>
  <c r="D13" i="71"/>
  <c r="E13" i="71"/>
  <c r="J236" i="21" s="1"/>
  <c r="F13" i="71"/>
  <c r="G13" i="71"/>
  <c r="D14" i="71"/>
  <c r="E14" i="71"/>
  <c r="F14" i="71"/>
  <c r="G14" i="71"/>
  <c r="D15" i="71"/>
  <c r="E15" i="71"/>
  <c r="F15" i="71"/>
  <c r="G15" i="71"/>
  <c r="D16" i="71"/>
  <c r="E16" i="71"/>
  <c r="F16" i="71"/>
  <c r="G16" i="71"/>
  <c r="D17" i="71"/>
  <c r="E17" i="71"/>
  <c r="F17" i="71"/>
  <c r="G17" i="71"/>
  <c r="D18" i="71"/>
  <c r="E18" i="71"/>
  <c r="F18" i="71"/>
  <c r="G18" i="71"/>
  <c r="G4" i="71"/>
  <c r="F4" i="71"/>
  <c r="E4" i="71"/>
  <c r="D4" i="71"/>
  <c r="D5" i="70"/>
  <c r="E5" i="70"/>
  <c r="F5" i="70"/>
  <c r="G5" i="70"/>
  <c r="D6" i="70"/>
  <c r="E6" i="70"/>
  <c r="F6" i="70"/>
  <c r="G6" i="70"/>
  <c r="D7" i="70"/>
  <c r="E7" i="70"/>
  <c r="F7" i="70"/>
  <c r="G7" i="70"/>
  <c r="D8" i="70"/>
  <c r="E8" i="70"/>
  <c r="F8" i="70"/>
  <c r="G8" i="70"/>
  <c r="D9" i="70"/>
  <c r="E9" i="70"/>
  <c r="F9" i="70"/>
  <c r="G9" i="70"/>
  <c r="D10" i="70"/>
  <c r="E10" i="70"/>
  <c r="F10" i="70"/>
  <c r="G10" i="70"/>
  <c r="D11" i="70"/>
  <c r="E11" i="70"/>
  <c r="F11" i="70"/>
  <c r="G11" i="70"/>
  <c r="D12" i="70"/>
  <c r="E12" i="70"/>
  <c r="F12" i="70"/>
  <c r="G12" i="70"/>
  <c r="D13" i="70"/>
  <c r="E13" i="70"/>
  <c r="F13" i="70"/>
  <c r="G13" i="70"/>
  <c r="D14" i="70"/>
  <c r="E14" i="70"/>
  <c r="F14" i="70"/>
  <c r="G14" i="70"/>
  <c r="D15" i="70"/>
  <c r="E15" i="70"/>
  <c r="F15" i="70"/>
  <c r="G15" i="70"/>
  <c r="D16" i="70"/>
  <c r="E16" i="70"/>
  <c r="F16" i="70"/>
  <c r="G16" i="70"/>
  <c r="D17" i="70"/>
  <c r="E17" i="70"/>
  <c r="F17" i="70"/>
  <c r="G17" i="70"/>
  <c r="D18" i="70"/>
  <c r="E18" i="70"/>
  <c r="F18" i="70"/>
  <c r="G18" i="70"/>
  <c r="G4" i="70"/>
  <c r="F4" i="70"/>
  <c r="E4" i="70"/>
  <c r="D4" i="70"/>
  <c r="D5" i="69"/>
  <c r="D78" i="21" s="1"/>
  <c r="E78" i="21" s="1"/>
  <c r="E5" i="69"/>
  <c r="I78" i="21" s="1"/>
  <c r="F5" i="69"/>
  <c r="G5" i="69"/>
  <c r="D6" i="69"/>
  <c r="D79" i="21" s="1"/>
  <c r="E6" i="69"/>
  <c r="I79" i="21" s="1"/>
  <c r="F6" i="69"/>
  <c r="G6" i="69"/>
  <c r="D7" i="69"/>
  <c r="D80" i="21" s="1"/>
  <c r="E80" i="21" s="1"/>
  <c r="E7" i="69"/>
  <c r="I80" i="21" s="1"/>
  <c r="F7" i="69"/>
  <c r="G7" i="69"/>
  <c r="D8" i="69"/>
  <c r="D81" i="21" s="1"/>
  <c r="E8" i="69"/>
  <c r="I81" i="21" s="1"/>
  <c r="F8" i="69"/>
  <c r="G8" i="69"/>
  <c r="D9" i="69"/>
  <c r="D82" i="21" s="1"/>
  <c r="E9" i="69"/>
  <c r="I82" i="21" s="1"/>
  <c r="F9" i="69"/>
  <c r="G9" i="69"/>
  <c r="D10" i="69"/>
  <c r="D83" i="21" s="1"/>
  <c r="E10" i="69"/>
  <c r="I83" i="21" s="1"/>
  <c r="F10" i="69"/>
  <c r="G10" i="69"/>
  <c r="D11" i="69"/>
  <c r="D84" i="21" s="1"/>
  <c r="E11" i="69"/>
  <c r="I84" i="21" s="1"/>
  <c r="F11" i="69"/>
  <c r="G11" i="69"/>
  <c r="D12" i="69"/>
  <c r="D85" i="21" s="1"/>
  <c r="E12" i="69"/>
  <c r="I85" i="21" s="1"/>
  <c r="F12" i="69"/>
  <c r="G12" i="69"/>
  <c r="D13" i="69"/>
  <c r="D86" i="21" s="1"/>
  <c r="E13" i="69"/>
  <c r="I86" i="21" s="1"/>
  <c r="F13" i="69"/>
  <c r="G13" i="69"/>
  <c r="D14" i="69"/>
  <c r="D87" i="21" s="1"/>
  <c r="E87" i="21" s="1"/>
  <c r="E14" i="69"/>
  <c r="I87" i="21" s="1"/>
  <c r="F14" i="69"/>
  <c r="G14" i="69"/>
  <c r="D15" i="69"/>
  <c r="D88" i="21" s="1"/>
  <c r="E88" i="21" s="1"/>
  <c r="E15" i="69"/>
  <c r="I88" i="21" s="1"/>
  <c r="F15" i="69"/>
  <c r="G15" i="69"/>
  <c r="D16" i="69"/>
  <c r="D89" i="21" s="1"/>
  <c r="E16" i="69"/>
  <c r="I89" i="21" s="1"/>
  <c r="F16" i="69"/>
  <c r="G16" i="69"/>
  <c r="D17" i="69"/>
  <c r="D90" i="21" s="1"/>
  <c r="E90" i="21" s="1"/>
  <c r="E17" i="69"/>
  <c r="I90" i="21" s="1"/>
  <c r="F17" i="69"/>
  <c r="G17" i="69"/>
  <c r="D18" i="69"/>
  <c r="D91" i="21" s="1"/>
  <c r="E18" i="69"/>
  <c r="I91" i="21" s="1"/>
  <c r="F18" i="69"/>
  <c r="G18" i="69"/>
  <c r="G4" i="69"/>
  <c r="F4" i="69"/>
  <c r="E4" i="69"/>
  <c r="I77" i="21" s="1"/>
  <c r="P3" i="22"/>
  <c r="H3" i="22"/>
  <c r="Y139" i="28"/>
  <c r="Y145" i="28"/>
  <c r="Y151" i="28"/>
  <c r="Y157" i="28"/>
  <c r="Y165" i="28"/>
  <c r="Y131" i="28"/>
  <c r="BX22" i="59"/>
  <c r="BR18" i="74" s="1"/>
  <c r="BY22" i="59"/>
  <c r="BS18" i="74" s="1"/>
  <c r="BZ22" i="59"/>
  <c r="BT18" i="74" s="1"/>
  <c r="CA22" i="59"/>
  <c r="BU18" i="74" s="1"/>
  <c r="CB22" i="59"/>
  <c r="BV18" i="74" s="1"/>
  <c r="CC22" i="59"/>
  <c r="BW18" i="74" s="1"/>
  <c r="CD22" i="59"/>
  <c r="BX18" i="74" s="1"/>
  <c r="CE22" i="59"/>
  <c r="BY18" i="74" s="1"/>
  <c r="CF22" i="59"/>
  <c r="BZ18" i="74" s="1"/>
  <c r="CG22" i="59"/>
  <c r="CA18" i="74" s="1"/>
  <c r="CH22" i="59"/>
  <c r="CB18" i="74" s="1"/>
  <c r="CI22" i="59"/>
  <c r="CC18" i="74" s="1"/>
  <c r="CJ22" i="59"/>
  <c r="CD18" i="74" s="1"/>
  <c r="CK22" i="59"/>
  <c r="CE18" i="74" s="1"/>
  <c r="CL22" i="59"/>
  <c r="CF18" i="74" s="1"/>
  <c r="CM22" i="59"/>
  <c r="CG18" i="74" s="1"/>
  <c r="CN22" i="59"/>
  <c r="CH18" i="74" s="1"/>
  <c r="CO22" i="59"/>
  <c r="CI18" i="74" s="1"/>
  <c r="Q156" i="78" s="1"/>
  <c r="CP22" i="59"/>
  <c r="CJ18" i="74" s="1"/>
  <c r="CQ22" i="59"/>
  <c r="CK18" i="74" s="1"/>
  <c r="CR22" i="59"/>
  <c r="CL18" i="74" s="1"/>
  <c r="S156" i="78" s="1"/>
  <c r="X156" i="78" s="1"/>
  <c r="CS22" i="59"/>
  <c r="CM18" i="74" s="1"/>
  <c r="CT22" i="59"/>
  <c r="CN18" i="74" s="1"/>
  <c r="CU22" i="59"/>
  <c r="CO18" i="74" s="1"/>
  <c r="CV22" i="59"/>
  <c r="CP18" i="74" s="1"/>
  <c r="CW22" i="59"/>
  <c r="CQ18" i="74" s="1"/>
  <c r="CX22" i="59"/>
  <c r="CR18" i="74" s="1"/>
  <c r="CY22" i="59"/>
  <c r="CS18" i="74" s="1"/>
  <c r="CZ22" i="59"/>
  <c r="CT18" i="74" s="1"/>
  <c r="DA22" i="59"/>
  <c r="CU18" i="74" s="1"/>
  <c r="DB22" i="59"/>
  <c r="CV18" i="74" s="1"/>
  <c r="DC22" i="59"/>
  <c r="CW18" i="74" s="1"/>
  <c r="BW22" i="59"/>
  <c r="BQ18" i="74" s="1"/>
  <c r="BT22" i="59"/>
  <c r="BN18" i="74" s="1"/>
  <c r="Q131" i="78" s="1"/>
  <c r="BV22" i="59"/>
  <c r="BP18" i="74" s="1"/>
  <c r="BU22" i="59"/>
  <c r="BO18" i="74" s="1"/>
  <c r="R131" i="78" s="1"/>
  <c r="X131" i="78" s="1"/>
  <c r="F3" i="28"/>
  <c r="BA22" i="65"/>
  <c r="AU12" i="74" s="1"/>
  <c r="R96" i="78" s="1"/>
  <c r="B31" i="21"/>
  <c r="B46" i="21"/>
  <c r="B61" i="21"/>
  <c r="B76" i="21"/>
  <c r="B106" i="21"/>
  <c r="B121" i="21"/>
  <c r="B136" i="21"/>
  <c r="B151" i="21"/>
  <c r="B226" i="21"/>
  <c r="L22" i="58"/>
  <c r="F15" i="74" s="1"/>
  <c r="V156" i="78" l="1"/>
  <c r="U156" i="78"/>
  <c r="L156" i="78"/>
  <c r="M156" i="78"/>
  <c r="K156" i="78"/>
  <c r="T156" i="78"/>
  <c r="V136" i="78"/>
  <c r="U136" i="78"/>
  <c r="T136" i="78"/>
  <c r="K123" i="78"/>
  <c r="L123" i="78"/>
  <c r="V123" i="78"/>
  <c r="M123" i="78"/>
  <c r="T123" i="78"/>
  <c r="U123" i="78"/>
  <c r="V36" i="78"/>
  <c r="M36" i="78"/>
  <c r="U36" i="78"/>
  <c r="L36" i="78"/>
  <c r="T36" i="78"/>
  <c r="K36" i="78"/>
  <c r="V111" i="78"/>
  <c r="M111" i="78"/>
  <c r="K111" i="78"/>
  <c r="L111" i="78"/>
  <c r="U111" i="78"/>
  <c r="T111" i="78"/>
  <c r="D165" i="21"/>
  <c r="V84" i="78"/>
  <c r="K84" i="78"/>
  <c r="M84" i="78"/>
  <c r="T84" i="78"/>
  <c r="L84" i="78"/>
  <c r="U84" i="78"/>
  <c r="AL82" i="78"/>
  <c r="I166" i="21"/>
  <c r="D240" i="21"/>
  <c r="D241" i="21"/>
  <c r="D239" i="21"/>
  <c r="E234" i="21" s="1"/>
  <c r="L54" i="78"/>
  <c r="AG82" i="78"/>
  <c r="M54" i="78"/>
  <c r="U54" i="78"/>
  <c r="V54" i="78"/>
  <c r="K54" i="78"/>
  <c r="T54" i="78"/>
  <c r="N106" i="21"/>
  <c r="O106" i="21" s="1"/>
  <c r="S106" i="21"/>
  <c r="T106" i="21" s="1"/>
  <c r="N136" i="21"/>
  <c r="S136" i="21"/>
  <c r="T136" i="21" s="1"/>
  <c r="D136" i="21"/>
  <c r="D106" i="21"/>
  <c r="I136" i="21"/>
  <c r="I106" i="21"/>
  <c r="S121" i="21"/>
  <c r="T121" i="21" s="1"/>
  <c r="N121" i="21"/>
  <c r="D121" i="21"/>
  <c r="I121" i="21"/>
  <c r="N61" i="21"/>
  <c r="O61" i="21" s="1"/>
  <c r="I61" i="21"/>
  <c r="S61" i="21"/>
  <c r="D61" i="21"/>
  <c r="E11" i="21"/>
  <c r="I31" i="21"/>
  <c r="S31" i="21"/>
  <c r="N31" i="21"/>
  <c r="D31" i="21"/>
  <c r="I226" i="21"/>
  <c r="J226" i="21" s="1"/>
  <c r="J231" i="21"/>
  <c r="J81" i="21"/>
  <c r="J87" i="21"/>
  <c r="J89" i="21"/>
  <c r="S227" i="21"/>
  <c r="T227" i="21" s="1"/>
  <c r="S241" i="21"/>
  <c r="T241" i="21" s="1"/>
  <c r="S166" i="21"/>
  <c r="S240" i="21"/>
  <c r="T240" i="21" s="1"/>
  <c r="S165" i="21"/>
  <c r="S239" i="21"/>
  <c r="T239" i="21" s="1"/>
  <c r="S238" i="21"/>
  <c r="T238" i="21" s="1"/>
  <c r="S237" i="21"/>
  <c r="T237" i="21" s="1"/>
  <c r="S236" i="21"/>
  <c r="T236" i="21" s="1"/>
  <c r="S233" i="21"/>
  <c r="T233" i="21" s="1"/>
  <c r="S232" i="21"/>
  <c r="T232" i="21" s="1"/>
  <c r="S231" i="21"/>
  <c r="T231" i="21" s="1"/>
  <c r="S230" i="21"/>
  <c r="T230" i="21" s="1"/>
  <c r="S229" i="21"/>
  <c r="T229" i="21" s="1"/>
  <c r="N241" i="21"/>
  <c r="O241" i="21" s="1"/>
  <c r="N166" i="21"/>
  <c r="O166" i="21" s="1"/>
  <c r="N240" i="21"/>
  <c r="O240" i="21" s="1"/>
  <c r="N165" i="21"/>
  <c r="N239" i="21"/>
  <c r="O239" i="21" s="1"/>
  <c r="N238" i="21"/>
  <c r="O238" i="21" s="1"/>
  <c r="N237" i="21"/>
  <c r="O237" i="21" s="1"/>
  <c r="N236" i="21"/>
  <c r="O236" i="21" s="1"/>
  <c r="N233" i="21"/>
  <c r="O233" i="21" s="1"/>
  <c r="N232" i="21"/>
  <c r="N231" i="21"/>
  <c r="N230" i="21"/>
  <c r="O230" i="21" s="1"/>
  <c r="N229" i="21"/>
  <c r="O229" i="21" s="1"/>
  <c r="N228" i="21"/>
  <c r="O228" i="21" s="1"/>
  <c r="S228" i="21"/>
  <c r="T228" i="21" s="1"/>
  <c r="D226" i="21"/>
  <c r="N76" i="21"/>
  <c r="D76" i="21"/>
  <c r="S76" i="21"/>
  <c r="T76" i="21" s="1"/>
  <c r="I76" i="21"/>
  <c r="D46" i="21"/>
  <c r="S46" i="21"/>
  <c r="T46" i="21" s="1"/>
  <c r="I46" i="21"/>
  <c r="J46" i="21" s="1"/>
  <c r="N46" i="21"/>
  <c r="S181" i="21"/>
  <c r="T181" i="21" s="1"/>
  <c r="I181" i="21"/>
  <c r="J181" i="21" s="1"/>
  <c r="D181" i="21"/>
  <c r="E181" i="21" s="1"/>
  <c r="N181" i="21"/>
  <c r="O181" i="21" s="1"/>
  <c r="S151" i="21"/>
  <c r="T151" i="21" s="1"/>
  <c r="I151" i="21"/>
  <c r="J151" i="21" s="1"/>
  <c r="N151" i="21"/>
  <c r="O151" i="21" s="1"/>
  <c r="D151" i="21"/>
  <c r="N227" i="21"/>
  <c r="E22" i="75"/>
  <c r="C10" i="74"/>
  <c r="G22" i="75"/>
  <c r="P3" i="28"/>
  <c r="G3" i="28"/>
  <c r="D22" i="75"/>
  <c r="J196" i="21"/>
  <c r="T196" i="21"/>
  <c r="O196" i="21"/>
  <c r="S226" i="21"/>
  <c r="T226" i="21" s="1"/>
  <c r="N226" i="21"/>
  <c r="O226" i="21" s="1"/>
  <c r="N211" i="21"/>
  <c r="O211" i="21" s="1"/>
  <c r="S211" i="21"/>
  <c r="T211" i="21" s="1"/>
  <c r="AN2" i="77"/>
  <c r="BD2" i="77"/>
  <c r="H2" i="77"/>
  <c r="BT2" i="77"/>
  <c r="F22" i="77"/>
  <c r="F22" i="75"/>
  <c r="L2" i="77"/>
  <c r="AB2" i="77"/>
  <c r="AR2" i="77"/>
  <c r="BH2" i="77"/>
  <c r="BX2" i="77"/>
  <c r="CN2" i="77"/>
  <c r="P2" i="77"/>
  <c r="AF2" i="77"/>
  <c r="AV2" i="77"/>
  <c r="BL2" i="77"/>
  <c r="CB2" i="77"/>
  <c r="CR2" i="77"/>
  <c r="T2" i="77"/>
  <c r="AJ2" i="77"/>
  <c r="AZ2" i="77"/>
  <c r="BP2" i="77"/>
  <c r="CF2" i="77"/>
  <c r="H2" i="75"/>
  <c r="AN2" i="75"/>
  <c r="BT2" i="75"/>
  <c r="BD2" i="75"/>
  <c r="X2" i="75"/>
  <c r="CJ2" i="75"/>
  <c r="L2" i="75"/>
  <c r="AB2" i="75"/>
  <c r="AR2" i="75"/>
  <c r="BH2" i="75"/>
  <c r="BX2" i="75"/>
  <c r="CN2" i="75"/>
  <c r="P2" i="75"/>
  <c r="AF2" i="75"/>
  <c r="AV2" i="75"/>
  <c r="BL2" i="75"/>
  <c r="CB2" i="75"/>
  <c r="CR2" i="75"/>
  <c r="T2" i="75"/>
  <c r="AJ2" i="75"/>
  <c r="AZ2" i="75"/>
  <c r="BP2" i="75"/>
  <c r="CF2" i="75"/>
  <c r="L22" i="67"/>
  <c r="F21" i="74" s="1"/>
  <c r="M22" i="67"/>
  <c r="G21" i="74" s="1"/>
  <c r="N22" i="67"/>
  <c r="H21" i="74" s="1"/>
  <c r="O22" i="67"/>
  <c r="I21" i="74" s="1"/>
  <c r="P22" i="67"/>
  <c r="J21" i="74" s="1"/>
  <c r="H26" i="78" s="1"/>
  <c r="Q22" i="67"/>
  <c r="K21" i="74" s="1"/>
  <c r="I26" i="78" s="1"/>
  <c r="O26" i="78" s="1"/>
  <c r="R22" i="67"/>
  <c r="L21" i="74" s="1"/>
  <c r="S22" i="67"/>
  <c r="M21" i="74" s="1"/>
  <c r="T22" i="67"/>
  <c r="N21" i="74" s="1"/>
  <c r="U22" i="67"/>
  <c r="O21" i="74" s="1"/>
  <c r="V22" i="67"/>
  <c r="P21" i="74" s="1"/>
  <c r="W22" i="67"/>
  <c r="Q21" i="74" s="1"/>
  <c r="X22" i="67"/>
  <c r="R21" i="74" s="1"/>
  <c r="Y22" i="67"/>
  <c r="S21" i="74" s="1"/>
  <c r="Z22" i="67"/>
  <c r="T21" i="74" s="1"/>
  <c r="AA22" i="67"/>
  <c r="U21" i="74" s="1"/>
  <c r="AB22" i="67"/>
  <c r="V21" i="74" s="1"/>
  <c r="AC22" i="67"/>
  <c r="W21" i="74" s="1"/>
  <c r="AD22" i="67"/>
  <c r="X21" i="74" s="1"/>
  <c r="AE22" i="67"/>
  <c r="Y21" i="74" s="1"/>
  <c r="AF22" i="67"/>
  <c r="Z21" i="74" s="1"/>
  <c r="AG22" i="67"/>
  <c r="AA21" i="74" s="1"/>
  <c r="AH22" i="67"/>
  <c r="AB21" i="74" s="1"/>
  <c r="AI22" i="67"/>
  <c r="AC21" i="74" s="1"/>
  <c r="AJ22" i="67"/>
  <c r="AD21" i="74" s="1"/>
  <c r="H64" i="78" s="1"/>
  <c r="AK22" i="67"/>
  <c r="AE21" i="74" s="1"/>
  <c r="AL22" i="67"/>
  <c r="AF21" i="74" s="1"/>
  <c r="AM22" i="67"/>
  <c r="AG21" i="74" s="1"/>
  <c r="AN22" i="67"/>
  <c r="AH21" i="74" s="1"/>
  <c r="H74" i="78" s="1"/>
  <c r="AO22" i="67"/>
  <c r="AI21" i="74" s="1"/>
  <c r="AP22" i="67"/>
  <c r="AJ21" i="74" s="1"/>
  <c r="AQ22" i="67"/>
  <c r="AK21" i="74" s="1"/>
  <c r="AR22" i="67"/>
  <c r="AL21" i="74" s="1"/>
  <c r="H81" i="78" s="1"/>
  <c r="AS22" i="67"/>
  <c r="AM21" i="74" s="1"/>
  <c r="AT22" i="67"/>
  <c r="AN21" i="74" s="1"/>
  <c r="AU22" i="67"/>
  <c r="AO21" i="74" s="1"/>
  <c r="AV22" i="67"/>
  <c r="AP21" i="74" s="1"/>
  <c r="Q89" i="78" s="1"/>
  <c r="AW22" i="67"/>
  <c r="AQ21" i="74" s="1"/>
  <c r="R89" i="78" s="1"/>
  <c r="X89" i="78" s="1"/>
  <c r="AX22" i="67"/>
  <c r="AR21" i="74" s="1"/>
  <c r="AY22" i="67"/>
  <c r="AS21" i="74" s="1"/>
  <c r="AZ22" i="67"/>
  <c r="AT21" i="74" s="1"/>
  <c r="Q97" i="78" s="1"/>
  <c r="BA22" i="67"/>
  <c r="AU21" i="74" s="1"/>
  <c r="R97" i="78" s="1"/>
  <c r="X97" i="78" s="1"/>
  <c r="BB22" i="67"/>
  <c r="AV21" i="74" s="1"/>
  <c r="BC22" i="67"/>
  <c r="AW21" i="74" s="1"/>
  <c r="BD22" i="67"/>
  <c r="AX21" i="74" s="1"/>
  <c r="H105" i="78" s="1"/>
  <c r="BE22" i="67"/>
  <c r="AY21" i="74" s="1"/>
  <c r="I105" i="78" s="1"/>
  <c r="O105" i="78" s="1"/>
  <c r="BF22" i="67"/>
  <c r="AZ21" i="74" s="1"/>
  <c r="BG22" i="67"/>
  <c r="BA21" i="74" s="1"/>
  <c r="BH22" i="67"/>
  <c r="BB21" i="74" s="1"/>
  <c r="H113" i="78" s="1"/>
  <c r="BI22" i="67"/>
  <c r="BC21" i="74" s="1"/>
  <c r="I113" i="78" s="1"/>
  <c r="O113" i="78" s="1"/>
  <c r="BJ22" i="67"/>
  <c r="BD21" i="74" s="1"/>
  <c r="BK22" i="67"/>
  <c r="BE21" i="74" s="1"/>
  <c r="BL22" i="67"/>
  <c r="BF21" i="74" s="1"/>
  <c r="H121" i="78" s="1"/>
  <c r="BM22" i="67"/>
  <c r="BG21" i="74" s="1"/>
  <c r="I121" i="78" s="1"/>
  <c r="O121" i="78" s="1"/>
  <c r="BN22" i="67"/>
  <c r="BH21" i="74" s="1"/>
  <c r="BO22" i="67"/>
  <c r="BI21" i="74" s="1"/>
  <c r="BP22" i="67"/>
  <c r="BJ21" i="74" s="1"/>
  <c r="BQ22" i="67"/>
  <c r="BK21" i="74" s="1"/>
  <c r="BR22" i="67"/>
  <c r="BL21" i="74" s="1"/>
  <c r="BS22" i="67"/>
  <c r="BM21" i="74" s="1"/>
  <c r="BT22" i="67"/>
  <c r="BN21" i="74" s="1"/>
  <c r="H135" i="78" s="1"/>
  <c r="BU22" i="67"/>
  <c r="BO21" i="74" s="1"/>
  <c r="I135" i="78" s="1"/>
  <c r="O135" i="78" s="1"/>
  <c r="BV22" i="67"/>
  <c r="BP21" i="74" s="1"/>
  <c r="BW22" i="67"/>
  <c r="BQ21" i="74" s="1"/>
  <c r="BX22" i="67"/>
  <c r="BR21" i="74" s="1"/>
  <c r="H140" i="78" s="1"/>
  <c r="BY22" i="67"/>
  <c r="BS21" i="74" s="1"/>
  <c r="BZ22" i="67"/>
  <c r="BT21" i="74" s="1"/>
  <c r="CA22" i="67"/>
  <c r="BU21" i="74" s="1"/>
  <c r="J140" i="78" s="1"/>
  <c r="O140" i="78" s="1"/>
  <c r="CB22" i="67"/>
  <c r="BV21" i="74" s="1"/>
  <c r="CC22" i="67"/>
  <c r="BW21" i="74" s="1"/>
  <c r="CD22" i="67"/>
  <c r="BX21" i="74" s="1"/>
  <c r="CE22" i="67"/>
  <c r="BY21" i="74" s="1"/>
  <c r="CF22" i="67"/>
  <c r="BZ21" i="74" s="1"/>
  <c r="CG22" i="67"/>
  <c r="CA21" i="74" s="1"/>
  <c r="CH22" i="67"/>
  <c r="CB21" i="74" s="1"/>
  <c r="CI22" i="67"/>
  <c r="CC21" i="74" s="1"/>
  <c r="CJ22" i="67"/>
  <c r="CD21" i="74" s="1"/>
  <c r="CK22" i="67"/>
  <c r="CE21" i="74" s="1"/>
  <c r="CL22" i="67"/>
  <c r="CF21" i="74" s="1"/>
  <c r="CM22" i="67"/>
  <c r="CG21" i="74" s="1"/>
  <c r="CN22" i="67"/>
  <c r="CH21" i="74" s="1"/>
  <c r="CO22" i="67"/>
  <c r="CI21" i="74" s="1"/>
  <c r="CP22" i="67"/>
  <c r="CQ22" i="67"/>
  <c r="CK21" i="74" s="1"/>
  <c r="CR22" i="67"/>
  <c r="CS22" i="67"/>
  <c r="CT22" i="67"/>
  <c r="CU22" i="67"/>
  <c r="CO21" i="74" s="1"/>
  <c r="CV22" i="67"/>
  <c r="CW22" i="67"/>
  <c r="CX22" i="67"/>
  <c r="CY22" i="67"/>
  <c r="CS21" i="74" s="1"/>
  <c r="CZ22" i="67"/>
  <c r="DA22" i="67"/>
  <c r="DB22" i="67"/>
  <c r="DC22" i="67"/>
  <c r="CW21" i="74" s="1"/>
  <c r="K22" i="67"/>
  <c r="E21" i="74" s="1"/>
  <c r="J22" i="67"/>
  <c r="I22" i="67"/>
  <c r="C21" i="74" s="1"/>
  <c r="H22" i="67"/>
  <c r="L22" i="64"/>
  <c r="F7" i="74" s="1"/>
  <c r="Q12" i="78" s="1"/>
  <c r="M22" i="64"/>
  <c r="G7" i="74" s="1"/>
  <c r="N22" i="64"/>
  <c r="H7" i="74" s="1"/>
  <c r="O22" i="64"/>
  <c r="I7" i="74" s="1"/>
  <c r="P22" i="64"/>
  <c r="J7" i="74" s="1"/>
  <c r="Q22" i="64"/>
  <c r="K7" i="74" s="1"/>
  <c r="R26" i="78" s="1"/>
  <c r="X26" i="78" s="1"/>
  <c r="R22" i="64"/>
  <c r="L7" i="74" s="1"/>
  <c r="S22" i="64"/>
  <c r="M7" i="74" s="1"/>
  <c r="T22" i="64"/>
  <c r="N7" i="74" s="1"/>
  <c r="U22" i="64"/>
  <c r="O7" i="74" s="1"/>
  <c r="V22" i="64"/>
  <c r="P7" i="74" s="1"/>
  <c r="W22" i="64"/>
  <c r="Q7" i="74" s="1"/>
  <c r="X22" i="64"/>
  <c r="R7" i="74" s="1"/>
  <c r="Y22" i="64"/>
  <c r="S7" i="74" s="1"/>
  <c r="Z22" i="64"/>
  <c r="T7" i="74" s="1"/>
  <c r="AA22" i="64"/>
  <c r="U7" i="74" s="1"/>
  <c r="AB22" i="64"/>
  <c r="V7" i="74" s="1"/>
  <c r="AC22" i="64"/>
  <c r="W7" i="74" s="1"/>
  <c r="AD22" i="64"/>
  <c r="X7" i="74" s="1"/>
  <c r="AE22" i="64"/>
  <c r="Y7" i="74" s="1"/>
  <c r="AF22" i="64"/>
  <c r="Z7" i="74" s="1"/>
  <c r="Q53" i="78" s="1"/>
  <c r="AG22" i="64"/>
  <c r="AA7" i="74" s="1"/>
  <c r="R53" i="78" s="1"/>
  <c r="X53" i="78" s="1"/>
  <c r="AH22" i="64"/>
  <c r="AB7" i="74" s="1"/>
  <c r="AI22" i="64"/>
  <c r="AC7" i="74" s="1"/>
  <c r="AJ22" i="64"/>
  <c r="AD7" i="74" s="1"/>
  <c r="Q63" i="78" s="1"/>
  <c r="AK22" i="64"/>
  <c r="AE7" i="74" s="1"/>
  <c r="R63" i="78" s="1"/>
  <c r="X63" i="78" s="1"/>
  <c r="AL22" i="64"/>
  <c r="AF7" i="74" s="1"/>
  <c r="AM22" i="64"/>
  <c r="AG7" i="74" s="1"/>
  <c r="AN22" i="64"/>
  <c r="AH7" i="74" s="1"/>
  <c r="Q70" i="78" s="1"/>
  <c r="AO22" i="64"/>
  <c r="AI7" i="74" s="1"/>
  <c r="R70" i="78" s="1"/>
  <c r="X70" i="78" s="1"/>
  <c r="AP22" i="64"/>
  <c r="AJ7" i="74" s="1"/>
  <c r="AQ22" i="64"/>
  <c r="AK7" i="74" s="1"/>
  <c r="AR22" i="64"/>
  <c r="AL7" i="74" s="1"/>
  <c r="Q78" i="78" s="1"/>
  <c r="AS22" i="64"/>
  <c r="AM7" i="74" s="1"/>
  <c r="AT22" i="64"/>
  <c r="AN7" i="74" s="1"/>
  <c r="AU22" i="64"/>
  <c r="AO7" i="74" s="1"/>
  <c r="AV22" i="64"/>
  <c r="AP7" i="74" s="1"/>
  <c r="Q87" i="78" s="1"/>
  <c r="AW22" i="64"/>
  <c r="AQ7" i="74" s="1"/>
  <c r="AX22" i="64"/>
  <c r="AR7" i="74" s="1"/>
  <c r="AY22" i="64"/>
  <c r="AS7" i="74" s="1"/>
  <c r="AZ22" i="64"/>
  <c r="AT7" i="74" s="1"/>
  <c r="BA22" i="64"/>
  <c r="AU7" i="74" s="1"/>
  <c r="BB22" i="64"/>
  <c r="AV7" i="74" s="1"/>
  <c r="BC22" i="64"/>
  <c r="AW7" i="74" s="1"/>
  <c r="BD22" i="64"/>
  <c r="AX7" i="74" s="1"/>
  <c r="BE22" i="64"/>
  <c r="AY7" i="74" s="1"/>
  <c r="BF22" i="64"/>
  <c r="AZ7" i="74" s="1"/>
  <c r="BG22" i="64"/>
  <c r="BA7" i="74" s="1"/>
  <c r="BH22" i="64"/>
  <c r="BB7" i="74" s="1"/>
  <c r="Q107" i="78" s="1"/>
  <c r="BI22" i="64"/>
  <c r="BC7" i="74" s="1"/>
  <c r="BJ22" i="64"/>
  <c r="BD7" i="74" s="1"/>
  <c r="BK22" i="64"/>
  <c r="BE7" i="74" s="1"/>
  <c r="BL22" i="64"/>
  <c r="BF7" i="74" s="1"/>
  <c r="Q119" i="78" s="1"/>
  <c r="BM22" i="64"/>
  <c r="BG7" i="74" s="1"/>
  <c r="BN22" i="64"/>
  <c r="BH7" i="74" s="1"/>
  <c r="BO22" i="64"/>
  <c r="BI7" i="74" s="1"/>
  <c r="BP22" i="64"/>
  <c r="BJ7" i="74" s="1"/>
  <c r="BQ22" i="64"/>
  <c r="BK7" i="74" s="1"/>
  <c r="BR22" i="64"/>
  <c r="BL7" i="74" s="1"/>
  <c r="BS22" i="64"/>
  <c r="BM7" i="74" s="1"/>
  <c r="BT22" i="64"/>
  <c r="BN7" i="74" s="1"/>
  <c r="Q134" i="78" s="1"/>
  <c r="BU22" i="64"/>
  <c r="BO7" i="74" s="1"/>
  <c r="BV22" i="64"/>
  <c r="BP7" i="74" s="1"/>
  <c r="BW22" i="64"/>
  <c r="BQ7" i="74" s="1"/>
  <c r="BX22" i="64"/>
  <c r="BR7" i="74" s="1"/>
  <c r="BY22" i="64"/>
  <c r="BS7" i="74" s="1"/>
  <c r="BZ22" i="64"/>
  <c r="BT7" i="74" s="1"/>
  <c r="CA22" i="64"/>
  <c r="BU7" i="74" s="1"/>
  <c r="CB22" i="64"/>
  <c r="BV7" i="74" s="1"/>
  <c r="CC22" i="64"/>
  <c r="BW7" i="74" s="1"/>
  <c r="CD22" i="64"/>
  <c r="BX7" i="74" s="1"/>
  <c r="CE22" i="64"/>
  <c r="BY7" i="74" s="1"/>
  <c r="CF22" i="64"/>
  <c r="BZ7" i="74" s="1"/>
  <c r="CG22" i="64"/>
  <c r="CA7" i="74" s="1"/>
  <c r="CH22" i="64"/>
  <c r="CB7" i="74" s="1"/>
  <c r="CI22" i="64"/>
  <c r="CC7" i="74" s="1"/>
  <c r="CJ22" i="64"/>
  <c r="CD7" i="74" s="1"/>
  <c r="S141" i="78" s="1"/>
  <c r="X141" i="78" s="1"/>
  <c r="CK22" i="64"/>
  <c r="CE7" i="74" s="1"/>
  <c r="CL22" i="64"/>
  <c r="CF7" i="74" s="1"/>
  <c r="CM22" i="64"/>
  <c r="CG7" i="74" s="1"/>
  <c r="CN22" i="64"/>
  <c r="CH7" i="74" s="1"/>
  <c r="CO22" i="64"/>
  <c r="CI7" i="74" s="1"/>
  <c r="CP22" i="64"/>
  <c r="CJ7" i="74" s="1"/>
  <c r="CQ22" i="64"/>
  <c r="CK7" i="74" s="1"/>
  <c r="CR22" i="64"/>
  <c r="CL7" i="74" s="1"/>
  <c r="CS22" i="64"/>
  <c r="CM7" i="74" s="1"/>
  <c r="CT22" i="64"/>
  <c r="CN7" i="74" s="1"/>
  <c r="CU22" i="64"/>
  <c r="CO7" i="74" s="1"/>
  <c r="CV22" i="64"/>
  <c r="CP7" i="74" s="1"/>
  <c r="CW22" i="64"/>
  <c r="CQ7" i="74" s="1"/>
  <c r="CX22" i="64"/>
  <c r="CR7" i="74" s="1"/>
  <c r="CY22" i="64"/>
  <c r="CS7" i="74" s="1"/>
  <c r="CZ22" i="64"/>
  <c r="CT7" i="74" s="1"/>
  <c r="DA22" i="64"/>
  <c r="CU7" i="74" s="1"/>
  <c r="DB22" i="64"/>
  <c r="CV7" i="74" s="1"/>
  <c r="DC22" i="64"/>
  <c r="CW7" i="74" s="1"/>
  <c r="K22" i="64"/>
  <c r="E7" i="74" s="1"/>
  <c r="J22" i="64"/>
  <c r="D7" i="74" s="1"/>
  <c r="I22" i="64"/>
  <c r="C7" i="74" s="1"/>
  <c r="H22" i="64"/>
  <c r="M22" i="58"/>
  <c r="G15" i="74" s="1"/>
  <c r="N22" i="58"/>
  <c r="H15" i="74" s="1"/>
  <c r="O22" i="58"/>
  <c r="I15" i="74" s="1"/>
  <c r="P22" i="58"/>
  <c r="J15" i="74" s="1"/>
  <c r="Q22" i="58"/>
  <c r="K15" i="74" s="1"/>
  <c r="R22" i="58"/>
  <c r="L15" i="74" s="1"/>
  <c r="S22" i="58"/>
  <c r="M15" i="74" s="1"/>
  <c r="T22" i="58"/>
  <c r="N15" i="74" s="1"/>
  <c r="U22" i="58"/>
  <c r="O15" i="74" s="1"/>
  <c r="V22" i="58"/>
  <c r="P15" i="74" s="1"/>
  <c r="W22" i="58"/>
  <c r="Q15" i="74" s="1"/>
  <c r="X22" i="58"/>
  <c r="R15" i="74" s="1"/>
  <c r="Y22" i="58"/>
  <c r="S15" i="74" s="1"/>
  <c r="Z22" i="58"/>
  <c r="T15" i="74" s="1"/>
  <c r="AA22" i="58"/>
  <c r="U15" i="74" s="1"/>
  <c r="AB22" i="58"/>
  <c r="V15" i="74" s="1"/>
  <c r="AC22" i="58"/>
  <c r="W15" i="74" s="1"/>
  <c r="AD22" i="58"/>
  <c r="X15" i="74" s="1"/>
  <c r="AE22" i="58"/>
  <c r="Y15" i="74" s="1"/>
  <c r="AF22" i="58"/>
  <c r="Z15" i="74" s="1"/>
  <c r="Q55" i="78" s="1"/>
  <c r="AG22" i="58"/>
  <c r="AA15" i="74" s="1"/>
  <c r="R55" i="78" s="1"/>
  <c r="X55" i="78" s="1"/>
  <c r="AH22" i="58"/>
  <c r="AB15" i="74" s="1"/>
  <c r="AI22" i="58"/>
  <c r="AC15" i="74" s="1"/>
  <c r="AJ22" i="58"/>
  <c r="AD15" i="74" s="1"/>
  <c r="Q61" i="78" s="1"/>
  <c r="AK22" i="58"/>
  <c r="AE15" i="74" s="1"/>
  <c r="R61" i="78" s="1"/>
  <c r="X61" i="78" s="1"/>
  <c r="AL22" i="58"/>
  <c r="AF15" i="74" s="1"/>
  <c r="AM22" i="58"/>
  <c r="AG15" i="74" s="1"/>
  <c r="AN22" i="58"/>
  <c r="AH15" i="74" s="1"/>
  <c r="AO22" i="58"/>
  <c r="AI15" i="74" s="1"/>
  <c r="AP22" i="58"/>
  <c r="AJ15" i="74" s="1"/>
  <c r="AQ22" i="58"/>
  <c r="AK15" i="74" s="1"/>
  <c r="AR22" i="58"/>
  <c r="AL15" i="74" s="1"/>
  <c r="H78" i="78" s="1"/>
  <c r="AS22" i="58"/>
  <c r="AM15" i="74" s="1"/>
  <c r="I78" i="78" s="1"/>
  <c r="AT22" i="58"/>
  <c r="AN15" i="74" s="1"/>
  <c r="J78" i="78" s="1"/>
  <c r="AU22" i="58"/>
  <c r="AO15" i="74" s="1"/>
  <c r="AV22" i="58"/>
  <c r="AP15" i="74" s="1"/>
  <c r="H86" i="78" s="1"/>
  <c r="AW22" i="58"/>
  <c r="AQ15" i="74" s="1"/>
  <c r="AX22" i="58"/>
  <c r="AR15" i="74" s="1"/>
  <c r="AY22" i="58"/>
  <c r="AS15" i="74" s="1"/>
  <c r="J86" i="78" s="1"/>
  <c r="O86" i="78" s="1"/>
  <c r="AZ22" i="58"/>
  <c r="AT15" i="74" s="1"/>
  <c r="H93" i="78" s="1"/>
  <c r="BA22" i="58"/>
  <c r="AU15" i="74" s="1"/>
  <c r="I93" i="78" s="1"/>
  <c r="O93" i="78" s="1"/>
  <c r="BB22" i="58"/>
  <c r="AV15" i="74" s="1"/>
  <c r="BC22" i="58"/>
  <c r="AW15" i="74" s="1"/>
  <c r="BD22" i="58"/>
  <c r="AX15" i="74" s="1"/>
  <c r="H101" i="78" s="1"/>
  <c r="BE22" i="58"/>
  <c r="AY15" i="74" s="1"/>
  <c r="I101" i="78" s="1"/>
  <c r="O101" i="78" s="1"/>
  <c r="BF22" i="58"/>
  <c r="AZ15" i="74" s="1"/>
  <c r="BG22" i="58"/>
  <c r="BA15" i="74" s="1"/>
  <c r="BH22" i="58"/>
  <c r="BB15" i="74" s="1"/>
  <c r="BI22" i="58"/>
  <c r="BC15" i="74" s="1"/>
  <c r="R112" i="78" s="1"/>
  <c r="X112" i="78" s="1"/>
  <c r="BJ22" i="58"/>
  <c r="BD15" i="74" s="1"/>
  <c r="BK22" i="58"/>
  <c r="BE15" i="74" s="1"/>
  <c r="BL22" i="58"/>
  <c r="BF15" i="74" s="1"/>
  <c r="H116" i="78" s="1"/>
  <c r="BM22" i="58"/>
  <c r="BG15" i="74" s="1"/>
  <c r="I116" i="78" s="1"/>
  <c r="O116" i="78" s="1"/>
  <c r="BN22" i="58"/>
  <c r="BH15" i="74" s="1"/>
  <c r="BO22" i="58"/>
  <c r="BI15" i="74" s="1"/>
  <c r="BP22" i="58"/>
  <c r="BJ15" i="74" s="1"/>
  <c r="H129" i="78" s="1"/>
  <c r="BQ22" i="58"/>
  <c r="BK15" i="74" s="1"/>
  <c r="I129" i="78" s="1"/>
  <c r="O129" i="78" s="1"/>
  <c r="BR22" i="58"/>
  <c r="BL15" i="74" s="1"/>
  <c r="BS22" i="58"/>
  <c r="BM15" i="74" s="1"/>
  <c r="BT22" i="58"/>
  <c r="BN15" i="74" s="1"/>
  <c r="H132" i="78" s="1"/>
  <c r="BU22" i="58"/>
  <c r="BO15" i="74" s="1"/>
  <c r="I132" i="78" s="1"/>
  <c r="O132" i="78" s="1"/>
  <c r="BV22" i="58"/>
  <c r="BP15" i="74" s="1"/>
  <c r="BW22" i="58"/>
  <c r="BQ15" i="74" s="1"/>
  <c r="BX22" i="58"/>
  <c r="BR15" i="74" s="1"/>
  <c r="BY22" i="58"/>
  <c r="BS15" i="74" s="1"/>
  <c r="BZ22" i="58"/>
  <c r="BT15" i="74" s="1"/>
  <c r="CA22" i="58"/>
  <c r="BU15" i="74" s="1"/>
  <c r="CB22" i="58"/>
  <c r="BV15" i="74" s="1"/>
  <c r="CC22" i="58"/>
  <c r="BW15" i="74" s="1"/>
  <c r="CD22" i="58"/>
  <c r="BX15" i="74" s="1"/>
  <c r="CE22" i="58"/>
  <c r="BY15" i="74" s="1"/>
  <c r="CF22" i="58"/>
  <c r="BZ15" i="74" s="1"/>
  <c r="CG22" i="58"/>
  <c r="CA15" i="74" s="1"/>
  <c r="CH22" i="58"/>
  <c r="CB15" i="74" s="1"/>
  <c r="CI22" i="58"/>
  <c r="CC15" i="74" s="1"/>
  <c r="CJ22" i="58"/>
  <c r="CD15" i="74" s="1"/>
  <c r="CK22" i="58"/>
  <c r="CE15" i="74" s="1"/>
  <c r="CL22" i="58"/>
  <c r="CF15" i="74" s="1"/>
  <c r="CM22" i="58"/>
  <c r="CG15" i="74" s="1"/>
  <c r="CN22" i="58"/>
  <c r="CH15" i="74" s="1"/>
  <c r="CO22" i="58"/>
  <c r="CI15" i="74" s="1"/>
  <c r="CP22" i="58"/>
  <c r="CJ15" i="74" s="1"/>
  <c r="CQ22" i="58"/>
  <c r="CK15" i="74" s="1"/>
  <c r="S155" i="78" s="1"/>
  <c r="X155" i="78" s="1"/>
  <c r="CR22" i="58"/>
  <c r="CL15" i="74" s="1"/>
  <c r="CS22" i="58"/>
  <c r="CM15" i="74" s="1"/>
  <c r="CT22" i="58"/>
  <c r="CN15" i="74" s="1"/>
  <c r="CU22" i="58"/>
  <c r="CO15" i="74" s="1"/>
  <c r="CV22" i="58"/>
  <c r="CP15" i="74" s="1"/>
  <c r="CW22" i="58"/>
  <c r="CQ15" i="74" s="1"/>
  <c r="CX22" i="58"/>
  <c r="CR15" i="74" s="1"/>
  <c r="CY22" i="58"/>
  <c r="CS15" i="74" s="1"/>
  <c r="CZ22" i="58"/>
  <c r="CT15" i="74" s="1"/>
  <c r="DA22" i="58"/>
  <c r="CU15" i="74" s="1"/>
  <c r="DB22" i="58"/>
  <c r="CV15" i="74" s="1"/>
  <c r="DC22" i="58"/>
  <c r="CW15" i="74" s="1"/>
  <c r="K22" i="58"/>
  <c r="E15" i="74" s="1"/>
  <c r="J22" i="58"/>
  <c r="D15" i="74" s="1"/>
  <c r="I22" i="58"/>
  <c r="C15" i="74" s="1"/>
  <c r="H22" i="58"/>
  <c r="B15" i="74" s="1"/>
  <c r="L22" i="62"/>
  <c r="F19" i="74" s="1"/>
  <c r="M22" i="62"/>
  <c r="G19" i="74" s="1"/>
  <c r="N22" i="62"/>
  <c r="O22" i="62"/>
  <c r="P22" i="62"/>
  <c r="Q22" i="62"/>
  <c r="K19" i="74" s="1"/>
  <c r="R22" i="62"/>
  <c r="S22" i="62"/>
  <c r="T22" i="62"/>
  <c r="N19" i="74" s="1"/>
  <c r="U22" i="62"/>
  <c r="V22" i="62"/>
  <c r="W22" i="62"/>
  <c r="X22" i="62"/>
  <c r="R19" i="74" s="1"/>
  <c r="Y22" i="62"/>
  <c r="S19" i="74" s="1"/>
  <c r="Z22" i="62"/>
  <c r="T19" i="74" s="1"/>
  <c r="AA22" i="62"/>
  <c r="AB22" i="62"/>
  <c r="V19" i="74" s="1"/>
  <c r="AC22" i="62"/>
  <c r="W19" i="74" s="1"/>
  <c r="AD22" i="62"/>
  <c r="X19" i="74" s="1"/>
  <c r="AE22" i="62"/>
  <c r="AF22" i="62"/>
  <c r="Z19" i="74" s="1"/>
  <c r="Q56" i="78" s="1"/>
  <c r="AG22" i="62"/>
  <c r="AA19" i="74" s="1"/>
  <c r="AH22" i="62"/>
  <c r="AB19" i="74" s="1"/>
  <c r="AI22" i="62"/>
  <c r="AC19" i="74" s="1"/>
  <c r="S56" i="78" s="1"/>
  <c r="X56" i="78" s="1"/>
  <c r="AJ22" i="62"/>
  <c r="AD19" i="74" s="1"/>
  <c r="AK22" i="62"/>
  <c r="AE19" i="74" s="1"/>
  <c r="I65" i="78" s="1"/>
  <c r="O65" i="78" s="1"/>
  <c r="AL22" i="62"/>
  <c r="AF19" i="74" s="1"/>
  <c r="AM22" i="62"/>
  <c r="AG19" i="74" s="1"/>
  <c r="AN22" i="62"/>
  <c r="AH19" i="74" s="1"/>
  <c r="H70" i="78" s="1"/>
  <c r="AO22" i="62"/>
  <c r="AI19" i="74" s="1"/>
  <c r="AP22" i="62"/>
  <c r="AJ19" i="74" s="1"/>
  <c r="AQ22" i="62"/>
  <c r="AK19" i="74" s="1"/>
  <c r="AR22" i="62"/>
  <c r="AL19" i="74" s="1"/>
  <c r="AS22" i="62"/>
  <c r="AM19" i="74" s="1"/>
  <c r="AT22" i="62"/>
  <c r="AN19" i="74" s="1"/>
  <c r="AU22" i="62"/>
  <c r="AO19" i="74" s="1"/>
  <c r="J77" i="78" s="1"/>
  <c r="O77" i="78" s="1"/>
  <c r="AV22" i="62"/>
  <c r="AP19" i="74" s="1"/>
  <c r="H85" i="78" s="1"/>
  <c r="AW22" i="62"/>
  <c r="AQ19" i="74" s="1"/>
  <c r="AX22" i="62"/>
  <c r="AR19" i="74" s="1"/>
  <c r="AY22" i="62"/>
  <c r="AS19" i="74" s="1"/>
  <c r="AZ22" i="62"/>
  <c r="AT19" i="74" s="1"/>
  <c r="H92" i="78" s="1"/>
  <c r="BA22" i="62"/>
  <c r="AU19" i="74" s="1"/>
  <c r="BB22" i="62"/>
  <c r="AV19" i="74" s="1"/>
  <c r="BC22" i="62"/>
  <c r="AW19" i="74" s="1"/>
  <c r="BD22" i="62"/>
  <c r="AX19" i="74" s="1"/>
  <c r="H100" i="78" s="1"/>
  <c r="BE22" i="62"/>
  <c r="AY19" i="74" s="1"/>
  <c r="I100" i="78" s="1"/>
  <c r="BF22" i="62"/>
  <c r="AZ19" i="74" s="1"/>
  <c r="J100" i="78" s="1"/>
  <c r="BG22" i="62"/>
  <c r="BA19" i="74" s="1"/>
  <c r="BH22" i="62"/>
  <c r="BB19" i="74" s="1"/>
  <c r="BI22" i="62"/>
  <c r="BC19" i="74" s="1"/>
  <c r="BJ22" i="62"/>
  <c r="BD19" i="74" s="1"/>
  <c r="BK22" i="62"/>
  <c r="BE19" i="74" s="1"/>
  <c r="BL22" i="62"/>
  <c r="BF19" i="74" s="1"/>
  <c r="BM22" i="62"/>
  <c r="BG19" i="74" s="1"/>
  <c r="BN22" i="62"/>
  <c r="BH19" i="74" s="1"/>
  <c r="BO22" i="62"/>
  <c r="BI19" i="74" s="1"/>
  <c r="BP22" i="62"/>
  <c r="BJ19" i="74" s="1"/>
  <c r="Q126" i="78" s="1"/>
  <c r="BQ22" i="62"/>
  <c r="BK19" i="74" s="1"/>
  <c r="R126" i="78" s="1"/>
  <c r="X126" i="78" s="1"/>
  <c r="BR22" i="62"/>
  <c r="BL19" i="74" s="1"/>
  <c r="BS22" i="62"/>
  <c r="BM19" i="74" s="1"/>
  <c r="BT22" i="62"/>
  <c r="BN19" i="74" s="1"/>
  <c r="BU22" i="62"/>
  <c r="BO19" i="74" s="1"/>
  <c r="BV22" i="62"/>
  <c r="BP19" i="74" s="1"/>
  <c r="BW22" i="62"/>
  <c r="BQ19" i="74" s="1"/>
  <c r="BX22" i="62"/>
  <c r="BR19" i="74" s="1"/>
  <c r="BY22" i="62"/>
  <c r="BS19" i="74" s="1"/>
  <c r="BZ22" i="62"/>
  <c r="BT19" i="74" s="1"/>
  <c r="CA22" i="62"/>
  <c r="BU19" i="74" s="1"/>
  <c r="CB22" i="62"/>
  <c r="BV19" i="74" s="1"/>
  <c r="CC22" i="62"/>
  <c r="BW19" i="74" s="1"/>
  <c r="CD22" i="62"/>
  <c r="BX19" i="74" s="1"/>
  <c r="CE22" i="62"/>
  <c r="BY19" i="74" s="1"/>
  <c r="CF22" i="62"/>
  <c r="BZ19" i="74" s="1"/>
  <c r="CG22" i="62"/>
  <c r="CA19" i="74" s="1"/>
  <c r="CH22" i="62"/>
  <c r="CB19" i="74" s="1"/>
  <c r="CI22" i="62"/>
  <c r="CC19" i="74" s="1"/>
  <c r="CJ22" i="62"/>
  <c r="CD19" i="74" s="1"/>
  <c r="CK22" i="62"/>
  <c r="CE19" i="74" s="1"/>
  <c r="CL22" i="62"/>
  <c r="CF19" i="74" s="1"/>
  <c r="CM22" i="62"/>
  <c r="CG19" i="74" s="1"/>
  <c r="CN22" i="62"/>
  <c r="CH19" i="74" s="1"/>
  <c r="CO22" i="62"/>
  <c r="CI19" i="74" s="1"/>
  <c r="CP22" i="62"/>
  <c r="CJ19" i="74" s="1"/>
  <c r="CQ22" i="62"/>
  <c r="CK19" i="74" s="1"/>
  <c r="CR22" i="62"/>
  <c r="CL19" i="74" s="1"/>
  <c r="CS22" i="62"/>
  <c r="CM19" i="74" s="1"/>
  <c r="CT22" i="62"/>
  <c r="CN19" i="74" s="1"/>
  <c r="CU22" i="62"/>
  <c r="CO19" i="74" s="1"/>
  <c r="CV22" i="62"/>
  <c r="CP19" i="74" s="1"/>
  <c r="CW22" i="62"/>
  <c r="CQ19" i="74" s="1"/>
  <c r="CX22" i="62"/>
  <c r="CR19" i="74" s="1"/>
  <c r="CY22" i="62"/>
  <c r="CS19" i="74" s="1"/>
  <c r="CZ22" i="62"/>
  <c r="CT19" i="74" s="1"/>
  <c r="DA22" i="62"/>
  <c r="DB22" i="62"/>
  <c r="DC22" i="62"/>
  <c r="K22" i="62"/>
  <c r="J22" i="62"/>
  <c r="D19" i="74" s="1"/>
  <c r="I22" i="62"/>
  <c r="C19" i="74" s="1"/>
  <c r="L22" i="66"/>
  <c r="F8" i="74" s="1"/>
  <c r="M22" i="66"/>
  <c r="G8" i="74" s="1"/>
  <c r="N22" i="66"/>
  <c r="H8" i="74" s="1"/>
  <c r="O22" i="66"/>
  <c r="I8" i="74" s="1"/>
  <c r="P22" i="66"/>
  <c r="J8" i="74" s="1"/>
  <c r="Q22" i="66"/>
  <c r="K8" i="74" s="1"/>
  <c r="R22" i="66"/>
  <c r="L8" i="74" s="1"/>
  <c r="S22" i="66"/>
  <c r="M8" i="74" s="1"/>
  <c r="T22" i="66"/>
  <c r="N8" i="74" s="1"/>
  <c r="U22" i="66"/>
  <c r="O8" i="74" s="1"/>
  <c r="V22" i="66"/>
  <c r="P8" i="74" s="1"/>
  <c r="W22" i="66"/>
  <c r="Q8" i="74" s="1"/>
  <c r="X22" i="66"/>
  <c r="R8" i="74" s="1"/>
  <c r="Y22" i="66"/>
  <c r="S8" i="74" s="1"/>
  <c r="Z22" i="66"/>
  <c r="T8" i="74" s="1"/>
  <c r="AA22" i="66"/>
  <c r="U8" i="74" s="1"/>
  <c r="AB22" i="66"/>
  <c r="V8" i="74" s="1"/>
  <c r="AC22" i="66"/>
  <c r="W8" i="74" s="1"/>
  <c r="AD22" i="66"/>
  <c r="X8" i="74" s="1"/>
  <c r="AE22" i="66"/>
  <c r="Y8" i="74" s="1"/>
  <c r="AF22" i="66"/>
  <c r="Z8" i="74" s="1"/>
  <c r="Q51" i="78" s="1"/>
  <c r="AG22" i="66"/>
  <c r="AA8" i="74" s="1"/>
  <c r="AH22" i="66"/>
  <c r="AB8" i="74" s="1"/>
  <c r="AI22" i="66"/>
  <c r="AC8" i="74" s="1"/>
  <c r="AJ22" i="66"/>
  <c r="AD8" i="74" s="1"/>
  <c r="Q60" i="78" s="1"/>
  <c r="AK22" i="66"/>
  <c r="AE8" i="74" s="1"/>
  <c r="R60" i="78" s="1"/>
  <c r="X60" i="78" s="1"/>
  <c r="AL22" i="66"/>
  <c r="AF8" i="74" s="1"/>
  <c r="AM22" i="66"/>
  <c r="AG8" i="74" s="1"/>
  <c r="AN22" i="66"/>
  <c r="AH8" i="74" s="1"/>
  <c r="Q69" i="78" s="1"/>
  <c r="AO22" i="66"/>
  <c r="AI8" i="74" s="1"/>
  <c r="R69" i="78" s="1"/>
  <c r="X69" i="78" s="1"/>
  <c r="AP22" i="66"/>
  <c r="AJ8" i="74" s="1"/>
  <c r="AQ22" i="66"/>
  <c r="AK8" i="74" s="1"/>
  <c r="AR22" i="66"/>
  <c r="AL8" i="74" s="1"/>
  <c r="Q77" i="78" s="1"/>
  <c r="AS22" i="66"/>
  <c r="AM8" i="74" s="1"/>
  <c r="AT22" i="66"/>
  <c r="AN8" i="74" s="1"/>
  <c r="AU22" i="66"/>
  <c r="AO8" i="74" s="1"/>
  <c r="AV22" i="66"/>
  <c r="AP8" i="74" s="1"/>
  <c r="Q86" i="78" s="1"/>
  <c r="AW22" i="66"/>
  <c r="AQ8" i="74" s="1"/>
  <c r="AX22" i="66"/>
  <c r="AR8" i="74" s="1"/>
  <c r="AY22" i="66"/>
  <c r="AS8" i="74" s="1"/>
  <c r="AZ22" i="66"/>
  <c r="AT8" i="74" s="1"/>
  <c r="Q94" i="78" s="1"/>
  <c r="BA22" i="66"/>
  <c r="AU8" i="74" s="1"/>
  <c r="BB22" i="66"/>
  <c r="AV8" i="74" s="1"/>
  <c r="BC22" i="66"/>
  <c r="AW8" i="74" s="1"/>
  <c r="BD22" i="66"/>
  <c r="AX8" i="74" s="1"/>
  <c r="BE22" i="66"/>
  <c r="AY8" i="74" s="1"/>
  <c r="BF22" i="66"/>
  <c r="AZ8" i="74" s="1"/>
  <c r="BG22" i="66"/>
  <c r="BA8" i="74" s="1"/>
  <c r="BH22" i="66"/>
  <c r="BB8" i="74" s="1"/>
  <c r="H107" i="78" s="1"/>
  <c r="BI22" i="66"/>
  <c r="BC8" i="74" s="1"/>
  <c r="BJ22" i="66"/>
  <c r="BD8" i="74" s="1"/>
  <c r="BK22" i="66"/>
  <c r="BE8" i="74" s="1"/>
  <c r="BL22" i="66"/>
  <c r="BF8" i="74" s="1"/>
  <c r="Q121" i="78" s="1"/>
  <c r="BM22" i="66"/>
  <c r="BG8" i="74" s="1"/>
  <c r="R121" i="78" s="1"/>
  <c r="X121" i="78" s="1"/>
  <c r="BN22" i="66"/>
  <c r="BH8" i="74" s="1"/>
  <c r="BO22" i="66"/>
  <c r="BI8" i="74" s="1"/>
  <c r="BP22" i="66"/>
  <c r="BJ8" i="74" s="1"/>
  <c r="Q124" i="78" s="1"/>
  <c r="BQ22" i="66"/>
  <c r="BK8" i="74" s="1"/>
  <c r="BR22" i="66"/>
  <c r="BL8" i="74" s="1"/>
  <c r="BS22" i="66"/>
  <c r="BM8" i="74" s="1"/>
  <c r="BT22" i="66"/>
  <c r="BN8" i="74" s="1"/>
  <c r="Q135" i="78" s="1"/>
  <c r="BU22" i="66"/>
  <c r="BO8" i="74" s="1"/>
  <c r="R135" i="78" s="1"/>
  <c r="X135" i="78" s="1"/>
  <c r="BV22" i="66"/>
  <c r="BP8" i="74" s="1"/>
  <c r="BW22" i="66"/>
  <c r="BQ8" i="74" s="1"/>
  <c r="BX22" i="66"/>
  <c r="BR8" i="74" s="1"/>
  <c r="BY22" i="66"/>
  <c r="BS8" i="74" s="1"/>
  <c r="BZ22" i="66"/>
  <c r="BT8" i="74" s="1"/>
  <c r="CA22" i="66"/>
  <c r="BU8" i="74" s="1"/>
  <c r="CB22" i="66"/>
  <c r="BV8" i="74" s="1"/>
  <c r="CC22" i="66"/>
  <c r="BW8" i="74" s="1"/>
  <c r="CD22" i="66"/>
  <c r="BX8" i="74" s="1"/>
  <c r="CE22" i="66"/>
  <c r="CF22" i="66"/>
  <c r="BZ8" i="74" s="1"/>
  <c r="CG22" i="66"/>
  <c r="CA8" i="74" s="1"/>
  <c r="CH22" i="66"/>
  <c r="CI22" i="66"/>
  <c r="CJ22" i="66"/>
  <c r="CD8" i="74" s="1"/>
  <c r="CK22" i="66"/>
  <c r="CE8" i="74" s="1"/>
  <c r="CL22" i="66"/>
  <c r="CM22" i="66"/>
  <c r="CN22" i="66"/>
  <c r="CH8" i="74" s="1"/>
  <c r="CO22" i="66"/>
  <c r="CP22" i="66"/>
  <c r="CQ22" i="66"/>
  <c r="CR22" i="66"/>
  <c r="CL8" i="74" s="1"/>
  <c r="CS22" i="66"/>
  <c r="CM8" i="74" s="1"/>
  <c r="CT22" i="66"/>
  <c r="CU22" i="66"/>
  <c r="CV22" i="66"/>
  <c r="CW22" i="66"/>
  <c r="CX22" i="66"/>
  <c r="CY22" i="66"/>
  <c r="CZ22" i="66"/>
  <c r="DA22" i="66"/>
  <c r="DB22" i="66"/>
  <c r="DC22" i="66"/>
  <c r="K22" i="66"/>
  <c r="E8" i="74" s="1"/>
  <c r="J22" i="66"/>
  <c r="D8" i="74" s="1"/>
  <c r="I22" i="66"/>
  <c r="H22" i="66"/>
  <c r="L22" i="71"/>
  <c r="F16" i="74" s="1"/>
  <c r="M22" i="71"/>
  <c r="G16" i="74" s="1"/>
  <c r="N22" i="71"/>
  <c r="H16" i="74" s="1"/>
  <c r="O22" i="71"/>
  <c r="I16" i="74" s="1"/>
  <c r="P22" i="71"/>
  <c r="J16" i="74" s="1"/>
  <c r="Q22" i="71"/>
  <c r="K16" i="74" s="1"/>
  <c r="R22" i="71"/>
  <c r="L16" i="74" s="1"/>
  <c r="S22" i="71"/>
  <c r="M16" i="74" s="1"/>
  <c r="T22" i="71"/>
  <c r="N16" i="74" s="1"/>
  <c r="U22" i="71"/>
  <c r="O16" i="74" s="1"/>
  <c r="V22" i="71"/>
  <c r="P16" i="74" s="1"/>
  <c r="W22" i="71"/>
  <c r="Q16" i="74" s="1"/>
  <c r="X22" i="71"/>
  <c r="R16" i="74" s="1"/>
  <c r="Y22" i="71"/>
  <c r="S16" i="74" s="1"/>
  <c r="Z22" i="71"/>
  <c r="T16" i="74" s="1"/>
  <c r="AA22" i="71"/>
  <c r="U16" i="74" s="1"/>
  <c r="AB22" i="71"/>
  <c r="V16" i="74" s="1"/>
  <c r="Q50" i="78" s="1"/>
  <c r="AC22" i="71"/>
  <c r="W16" i="74" s="1"/>
  <c r="AD22" i="71"/>
  <c r="X16" i="74" s="1"/>
  <c r="AE22" i="71"/>
  <c r="Y16" i="74" s="1"/>
  <c r="AF22" i="71"/>
  <c r="Z16" i="74" s="1"/>
  <c r="Q57" i="78" s="1"/>
  <c r="AG22" i="71"/>
  <c r="AA16" i="74" s="1"/>
  <c r="AH22" i="71"/>
  <c r="AB16" i="74" s="1"/>
  <c r="AI22" i="71"/>
  <c r="AC16" i="74" s="1"/>
  <c r="AJ22" i="71"/>
  <c r="AD16" i="74" s="1"/>
  <c r="Q64" i="78" s="1"/>
  <c r="AK22" i="71"/>
  <c r="AE16" i="74" s="1"/>
  <c r="R64" i="78" s="1"/>
  <c r="X64" i="78" s="1"/>
  <c r="AL22" i="71"/>
  <c r="AF16" i="74" s="1"/>
  <c r="AM22" i="71"/>
  <c r="AG16" i="74" s="1"/>
  <c r="AN22" i="71"/>
  <c r="AH16" i="74" s="1"/>
  <c r="Q72" i="78" s="1"/>
  <c r="AO22" i="71"/>
  <c r="AI16" i="74" s="1"/>
  <c r="R72" i="78" s="1"/>
  <c r="X72" i="78" s="1"/>
  <c r="AP22" i="71"/>
  <c r="AJ16" i="74" s="1"/>
  <c r="AQ22" i="71"/>
  <c r="AK16" i="74" s="1"/>
  <c r="AR22" i="71"/>
  <c r="AL16" i="74" s="1"/>
  <c r="H79" i="78" s="1"/>
  <c r="AS22" i="71"/>
  <c r="AM16" i="74" s="1"/>
  <c r="I79" i="78" s="1"/>
  <c r="AT22" i="71"/>
  <c r="AN16" i="74" s="1"/>
  <c r="J79" i="78" s="1"/>
  <c r="AU22" i="71"/>
  <c r="AO16" i="74" s="1"/>
  <c r="AV22" i="71"/>
  <c r="AP16" i="74" s="1"/>
  <c r="H87" i="78" s="1"/>
  <c r="AW22" i="71"/>
  <c r="AQ16" i="74" s="1"/>
  <c r="I87" i="78" s="1"/>
  <c r="O87" i="78" s="1"/>
  <c r="AX22" i="71"/>
  <c r="AR16" i="74" s="1"/>
  <c r="AY22" i="71"/>
  <c r="AS16" i="74" s="1"/>
  <c r="AZ22" i="71"/>
  <c r="AT16" i="74" s="1"/>
  <c r="H94" i="78" s="1"/>
  <c r="BA22" i="71"/>
  <c r="AU16" i="74" s="1"/>
  <c r="BB22" i="71"/>
  <c r="AV16" i="74" s="1"/>
  <c r="BC22" i="71"/>
  <c r="AW16" i="74" s="1"/>
  <c r="BD22" i="71"/>
  <c r="AX16" i="74" s="1"/>
  <c r="H102" i="78" s="1"/>
  <c r="BE22" i="71"/>
  <c r="AY16" i="74" s="1"/>
  <c r="BF22" i="71"/>
  <c r="AZ16" i="74" s="1"/>
  <c r="BG22" i="71"/>
  <c r="BA16" i="74" s="1"/>
  <c r="BH22" i="71"/>
  <c r="BB16" i="74" s="1"/>
  <c r="H109" i="78" s="1"/>
  <c r="BI22" i="71"/>
  <c r="BC16" i="74" s="1"/>
  <c r="BJ22" i="71"/>
  <c r="BD16" i="74" s="1"/>
  <c r="BK22" i="71"/>
  <c r="BE16" i="74" s="1"/>
  <c r="BL22" i="71"/>
  <c r="BF16" i="74" s="1"/>
  <c r="H117" i="78" s="1"/>
  <c r="BM22" i="71"/>
  <c r="BG16" i="74" s="1"/>
  <c r="I117" i="78" s="1"/>
  <c r="O117" i="78" s="1"/>
  <c r="BN22" i="71"/>
  <c r="BH16" i="74" s="1"/>
  <c r="BO22" i="71"/>
  <c r="BI16" i="74" s="1"/>
  <c r="BP22" i="71"/>
  <c r="BJ16" i="74" s="1"/>
  <c r="Q127" i="78" s="1"/>
  <c r="BQ22" i="71"/>
  <c r="BK16" i="74" s="1"/>
  <c r="BR22" i="71"/>
  <c r="BL16" i="74" s="1"/>
  <c r="BS22" i="71"/>
  <c r="BM16" i="74" s="1"/>
  <c r="BT22" i="71"/>
  <c r="BN16" i="74" s="1"/>
  <c r="H134" i="78" s="1"/>
  <c r="BU22" i="71"/>
  <c r="BO16" i="74" s="1"/>
  <c r="BV22" i="71"/>
  <c r="BP16" i="74" s="1"/>
  <c r="BW22" i="71"/>
  <c r="BQ16" i="74" s="1"/>
  <c r="BX22" i="71"/>
  <c r="BR16" i="74" s="1"/>
  <c r="BY22" i="71"/>
  <c r="BS16" i="74" s="1"/>
  <c r="BZ22" i="71"/>
  <c r="BT16" i="74" s="1"/>
  <c r="CA22" i="71"/>
  <c r="BU16" i="74" s="1"/>
  <c r="CB22" i="71"/>
  <c r="BV16" i="74" s="1"/>
  <c r="CC22" i="71"/>
  <c r="BW16" i="74" s="1"/>
  <c r="CD22" i="71"/>
  <c r="BX16" i="74" s="1"/>
  <c r="CE22" i="71"/>
  <c r="BY16" i="74" s="1"/>
  <c r="CF22" i="71"/>
  <c r="BZ16" i="74" s="1"/>
  <c r="CG22" i="71"/>
  <c r="CA16" i="74" s="1"/>
  <c r="CH22" i="71"/>
  <c r="CB16" i="74" s="1"/>
  <c r="CI22" i="71"/>
  <c r="CC16" i="74" s="1"/>
  <c r="CJ22" i="71"/>
  <c r="CD16" i="74" s="1"/>
  <c r="CK22" i="71"/>
  <c r="CE16" i="74" s="1"/>
  <c r="CL22" i="71"/>
  <c r="CF16" i="74" s="1"/>
  <c r="CM22" i="71"/>
  <c r="CN22" i="71"/>
  <c r="CH16" i="74" s="1"/>
  <c r="CO22" i="71"/>
  <c r="CI16" i="74" s="1"/>
  <c r="CP22" i="71"/>
  <c r="CQ22" i="71"/>
  <c r="CR22" i="71"/>
  <c r="CS22" i="71"/>
  <c r="CT22" i="71"/>
  <c r="CU22" i="71"/>
  <c r="CV22" i="71"/>
  <c r="CW22" i="71"/>
  <c r="CX22" i="71"/>
  <c r="CY22" i="71"/>
  <c r="CZ22" i="71"/>
  <c r="DA22" i="71"/>
  <c r="DB22" i="71"/>
  <c r="DC22" i="71"/>
  <c r="K22" i="71"/>
  <c r="J22" i="71"/>
  <c r="I22" i="71"/>
  <c r="H22" i="71"/>
  <c r="B16" i="74" s="1"/>
  <c r="B32" i="21"/>
  <c r="C226" i="21"/>
  <c r="N2" i="25"/>
  <c r="M2" i="25"/>
  <c r="L22" i="60"/>
  <c r="F13" i="74" s="1"/>
  <c r="M22" i="60"/>
  <c r="G13" i="74" s="1"/>
  <c r="N22" i="60"/>
  <c r="H13" i="74" s="1"/>
  <c r="O22" i="60"/>
  <c r="I13" i="74" s="1"/>
  <c r="P22" i="60"/>
  <c r="J13" i="74" s="1"/>
  <c r="Q22" i="60"/>
  <c r="K13" i="74" s="1"/>
  <c r="R22" i="60"/>
  <c r="L13" i="74" s="1"/>
  <c r="S22" i="60"/>
  <c r="M13" i="74" s="1"/>
  <c r="T22" i="60"/>
  <c r="N13" i="74" s="1"/>
  <c r="U22" i="60"/>
  <c r="O13" i="74" s="1"/>
  <c r="V22" i="60"/>
  <c r="P13" i="74" s="1"/>
  <c r="W22" i="60"/>
  <c r="Q13" i="74" s="1"/>
  <c r="X22" i="60"/>
  <c r="R13" i="74" s="1"/>
  <c r="Y22" i="60"/>
  <c r="S13" i="74" s="1"/>
  <c r="Z22" i="60"/>
  <c r="T13" i="74" s="1"/>
  <c r="AA22" i="60"/>
  <c r="U13" i="74" s="1"/>
  <c r="AB22" i="60"/>
  <c r="V13" i="74" s="1"/>
  <c r="AD22" i="60"/>
  <c r="X13" i="74" s="1"/>
  <c r="AE22" i="60"/>
  <c r="Y13" i="74" s="1"/>
  <c r="AF22" i="60"/>
  <c r="Z13" i="74" s="1"/>
  <c r="H52" i="78" s="1"/>
  <c r="AG22" i="60"/>
  <c r="AA13" i="74" s="1"/>
  <c r="AH22" i="60"/>
  <c r="AB13" i="74" s="1"/>
  <c r="J52" i="78" s="1"/>
  <c r="O52" i="78" s="1"/>
  <c r="AI22" i="60"/>
  <c r="AC13" i="74" s="1"/>
  <c r="AJ22" i="60"/>
  <c r="AD13" i="74" s="1"/>
  <c r="H63" i="78" s="1"/>
  <c r="AK22" i="60"/>
  <c r="AE13" i="74" s="1"/>
  <c r="I63" i="78" s="1"/>
  <c r="O63" i="78" s="1"/>
  <c r="AL22" i="60"/>
  <c r="AF13" i="74" s="1"/>
  <c r="AM22" i="60"/>
  <c r="AG13" i="74" s="1"/>
  <c r="K22" i="60"/>
  <c r="E13" i="74" s="1"/>
  <c r="H22" i="60"/>
  <c r="L22" i="63"/>
  <c r="F17" i="74" s="1"/>
  <c r="M22" i="63"/>
  <c r="G17" i="74" s="1"/>
  <c r="N22" i="63"/>
  <c r="H17" i="74" s="1"/>
  <c r="O22" i="63"/>
  <c r="I17" i="74" s="1"/>
  <c r="P22" i="63"/>
  <c r="J17" i="74" s="1"/>
  <c r="Q22" i="63"/>
  <c r="K17" i="74" s="1"/>
  <c r="R22" i="63"/>
  <c r="L17" i="74" s="1"/>
  <c r="S22" i="63"/>
  <c r="M17" i="74" s="1"/>
  <c r="T22" i="63"/>
  <c r="N17" i="74" s="1"/>
  <c r="U22" i="63"/>
  <c r="O17" i="74" s="1"/>
  <c r="V22" i="63"/>
  <c r="P17" i="74" s="1"/>
  <c r="W22" i="63"/>
  <c r="Q17" i="74" s="1"/>
  <c r="X22" i="63"/>
  <c r="R17" i="74" s="1"/>
  <c r="Y22" i="63"/>
  <c r="S17" i="74" s="1"/>
  <c r="Z22" i="63"/>
  <c r="T17" i="74" s="1"/>
  <c r="AA22" i="63"/>
  <c r="U17" i="74" s="1"/>
  <c r="AB22" i="63"/>
  <c r="V17" i="74" s="1"/>
  <c r="AC22" i="63"/>
  <c r="W17" i="74" s="1"/>
  <c r="AD22" i="63"/>
  <c r="X17" i="74" s="1"/>
  <c r="AE22" i="63"/>
  <c r="Y17" i="74" s="1"/>
  <c r="AF22" i="63"/>
  <c r="Z17" i="74" s="1"/>
  <c r="AG22" i="63"/>
  <c r="AA17" i="74" s="1"/>
  <c r="AH22" i="63"/>
  <c r="AB17" i="74" s="1"/>
  <c r="AI22" i="63"/>
  <c r="AC17" i="74" s="1"/>
  <c r="AJ22" i="63"/>
  <c r="AD17" i="74" s="1"/>
  <c r="AK22" i="63"/>
  <c r="AE17" i="74" s="1"/>
  <c r="AL22" i="63"/>
  <c r="AF17" i="74" s="1"/>
  <c r="AM22" i="63"/>
  <c r="AG17" i="74" s="1"/>
  <c r="AN22" i="63"/>
  <c r="AH17" i="74" s="1"/>
  <c r="AO22" i="63"/>
  <c r="AI17" i="74" s="1"/>
  <c r="AP22" i="63"/>
  <c r="AJ17" i="74" s="1"/>
  <c r="AQ22" i="63"/>
  <c r="AK17" i="74" s="1"/>
  <c r="AR22" i="63"/>
  <c r="AL17" i="74" s="1"/>
  <c r="AS22" i="63"/>
  <c r="AM17" i="74" s="1"/>
  <c r="AT22" i="63"/>
  <c r="AN17" i="74" s="1"/>
  <c r="AU22" i="63"/>
  <c r="AO17" i="74" s="1"/>
  <c r="AV22" i="63"/>
  <c r="AP17" i="74" s="1"/>
  <c r="AW22" i="63"/>
  <c r="AQ17" i="74" s="1"/>
  <c r="AX22" i="63"/>
  <c r="AR17" i="74" s="1"/>
  <c r="AY22" i="63"/>
  <c r="AS17" i="74" s="1"/>
  <c r="AZ22" i="63"/>
  <c r="AT17" i="74" s="1"/>
  <c r="BA22" i="63"/>
  <c r="AU17" i="74" s="1"/>
  <c r="BB22" i="63"/>
  <c r="AV17" i="74" s="1"/>
  <c r="BC22" i="63"/>
  <c r="AW17" i="74" s="1"/>
  <c r="BD22" i="63"/>
  <c r="AX17" i="74" s="1"/>
  <c r="BE22" i="63"/>
  <c r="AY17" i="74" s="1"/>
  <c r="BF22" i="63"/>
  <c r="AZ17" i="74" s="1"/>
  <c r="BG22" i="63"/>
  <c r="BA17" i="74" s="1"/>
  <c r="BH22" i="63"/>
  <c r="BB17" i="74" s="1"/>
  <c r="BI22" i="63"/>
  <c r="BC17" i="74" s="1"/>
  <c r="BJ22" i="63"/>
  <c r="BD17" i="74" s="1"/>
  <c r="BK22" i="63"/>
  <c r="BE17" i="74" s="1"/>
  <c r="BL22" i="63"/>
  <c r="BF17" i="74" s="1"/>
  <c r="BM22" i="63"/>
  <c r="BG17" i="74" s="1"/>
  <c r="BN22" i="63"/>
  <c r="BH17" i="74" s="1"/>
  <c r="BO22" i="63"/>
  <c r="BI17" i="74" s="1"/>
  <c r="BP22" i="63"/>
  <c r="BJ17" i="74" s="1"/>
  <c r="BQ22" i="63"/>
  <c r="BK17" i="74" s="1"/>
  <c r="BR22" i="63"/>
  <c r="BL17" i="74" s="1"/>
  <c r="BS22" i="63"/>
  <c r="BM17" i="74" s="1"/>
  <c r="BT22" i="63"/>
  <c r="BN17" i="74" s="1"/>
  <c r="BU22" i="63"/>
  <c r="BO17" i="74" s="1"/>
  <c r="BV22" i="63"/>
  <c r="BP17" i="74" s="1"/>
  <c r="BW22" i="63"/>
  <c r="BQ17" i="74" s="1"/>
  <c r="BX22" i="63"/>
  <c r="BR17" i="74" s="1"/>
  <c r="BY22" i="63"/>
  <c r="BS17" i="74" s="1"/>
  <c r="BZ22" i="63"/>
  <c r="BT17" i="74" s="1"/>
  <c r="CA22" i="63"/>
  <c r="BU17" i="74" s="1"/>
  <c r="CB22" i="63"/>
  <c r="BV17" i="74" s="1"/>
  <c r="CC22" i="63"/>
  <c r="BW17" i="74" s="1"/>
  <c r="CD22" i="63"/>
  <c r="BX17" i="74" s="1"/>
  <c r="CE22" i="63"/>
  <c r="BY17" i="74" s="1"/>
  <c r="CF22" i="63"/>
  <c r="BZ17" i="74" s="1"/>
  <c r="CG22" i="63"/>
  <c r="CA17" i="74" s="1"/>
  <c r="CH22" i="63"/>
  <c r="CB17" i="74" s="1"/>
  <c r="CI22" i="63"/>
  <c r="CC17" i="74" s="1"/>
  <c r="CJ22" i="63"/>
  <c r="CD17" i="74" s="1"/>
  <c r="CK22" i="63"/>
  <c r="CE17" i="74" s="1"/>
  <c r="CL22" i="63"/>
  <c r="CF17" i="74" s="1"/>
  <c r="CM22" i="63"/>
  <c r="CG17" i="74" s="1"/>
  <c r="CN22" i="63"/>
  <c r="CH17" i="74" s="1"/>
  <c r="CO22" i="63"/>
  <c r="CI17" i="74" s="1"/>
  <c r="CP22" i="63"/>
  <c r="CJ17" i="74" s="1"/>
  <c r="CQ22" i="63"/>
  <c r="CK17" i="74" s="1"/>
  <c r="CR22" i="63"/>
  <c r="CL17" i="74" s="1"/>
  <c r="CS22" i="63"/>
  <c r="CM17" i="74" s="1"/>
  <c r="CT22" i="63"/>
  <c r="CN17" i="74" s="1"/>
  <c r="CU22" i="63"/>
  <c r="CO17" i="74" s="1"/>
  <c r="CV22" i="63"/>
  <c r="CP17" i="74" s="1"/>
  <c r="CW22" i="63"/>
  <c r="CQ17" i="74" s="1"/>
  <c r="CX22" i="63"/>
  <c r="CY22" i="63"/>
  <c r="CZ22" i="63"/>
  <c r="DA22" i="63"/>
  <c r="DB22" i="63"/>
  <c r="DC22" i="63"/>
  <c r="K22" i="63"/>
  <c r="E17" i="74" s="1"/>
  <c r="L22" i="70"/>
  <c r="F20" i="74" s="1"/>
  <c r="M22" i="70"/>
  <c r="G20" i="74" s="1"/>
  <c r="N22" i="70"/>
  <c r="H20" i="74" s="1"/>
  <c r="O22" i="70"/>
  <c r="I20" i="74" s="1"/>
  <c r="P22" i="70"/>
  <c r="J20" i="74" s="1"/>
  <c r="Q22" i="70"/>
  <c r="K20" i="74" s="1"/>
  <c r="R22" i="70"/>
  <c r="L20" i="74" s="1"/>
  <c r="S22" i="70"/>
  <c r="M20" i="74" s="1"/>
  <c r="T22" i="70"/>
  <c r="N20" i="74" s="1"/>
  <c r="U22" i="70"/>
  <c r="O20" i="74" s="1"/>
  <c r="V22" i="70"/>
  <c r="P20" i="74" s="1"/>
  <c r="W22" i="70"/>
  <c r="Q20" i="74" s="1"/>
  <c r="X22" i="70"/>
  <c r="R20" i="74" s="1"/>
  <c r="Y22" i="70"/>
  <c r="S20" i="74" s="1"/>
  <c r="Z22" i="70"/>
  <c r="T20" i="74" s="1"/>
  <c r="AA22" i="70"/>
  <c r="U20" i="74" s="1"/>
  <c r="AB22" i="70"/>
  <c r="V20" i="74" s="1"/>
  <c r="AC22" i="70"/>
  <c r="W20" i="74" s="1"/>
  <c r="AD22" i="70"/>
  <c r="X20" i="74" s="1"/>
  <c r="AE22" i="70"/>
  <c r="Y20" i="74" s="1"/>
  <c r="AF22" i="70"/>
  <c r="Z20" i="74" s="1"/>
  <c r="H56" i="78" s="1"/>
  <c r="AG22" i="70"/>
  <c r="AA20" i="74" s="1"/>
  <c r="I56" i="78" s="1"/>
  <c r="AH22" i="70"/>
  <c r="AB20" i="74" s="1"/>
  <c r="AI22" i="70"/>
  <c r="AC20" i="74" s="1"/>
  <c r="J56" i="78" s="1"/>
  <c r="AJ22" i="70"/>
  <c r="AD20" i="74" s="1"/>
  <c r="AK22" i="70"/>
  <c r="AE20" i="74" s="1"/>
  <c r="AL22" i="70"/>
  <c r="AF20" i="74" s="1"/>
  <c r="AM22" i="70"/>
  <c r="AG20" i="74" s="1"/>
  <c r="AN22" i="70"/>
  <c r="AH20" i="74" s="1"/>
  <c r="H72" i="78" s="1"/>
  <c r="K22" i="70"/>
  <c r="H22" i="70"/>
  <c r="AF3" i="22"/>
  <c r="T140" i="78" l="1"/>
  <c r="U140" i="78"/>
  <c r="M140" i="78"/>
  <c r="V140" i="78"/>
  <c r="K140" i="78"/>
  <c r="L140" i="78"/>
  <c r="V134" i="78"/>
  <c r="U134" i="78"/>
  <c r="M134" i="78"/>
  <c r="T134" i="78"/>
  <c r="K134" i="78"/>
  <c r="L134" i="78"/>
  <c r="L132" i="78"/>
  <c r="M132" i="78"/>
  <c r="V132" i="78"/>
  <c r="T132" i="78"/>
  <c r="U132" i="78"/>
  <c r="K132" i="78"/>
  <c r="L135" i="78"/>
  <c r="V135" i="78"/>
  <c r="K135" i="78"/>
  <c r="T135" i="78"/>
  <c r="U135" i="78"/>
  <c r="M135" i="78"/>
  <c r="U126" i="78"/>
  <c r="M126" i="78"/>
  <c r="L126" i="78"/>
  <c r="T126" i="78"/>
  <c r="K126" i="78"/>
  <c r="V126" i="78"/>
  <c r="T124" i="78"/>
  <c r="V124" i="78"/>
  <c r="U124" i="78"/>
  <c r="K124" i="78"/>
  <c r="M124" i="78"/>
  <c r="L124" i="78"/>
  <c r="T119" i="78"/>
  <c r="K119" i="78"/>
  <c r="U119" i="78"/>
  <c r="M119" i="78"/>
  <c r="L119" i="78"/>
  <c r="V119" i="78"/>
  <c r="K121" i="78"/>
  <c r="V121" i="78"/>
  <c r="L121" i="78"/>
  <c r="T121" i="78"/>
  <c r="U121" i="78"/>
  <c r="M121" i="78"/>
  <c r="Q109" i="78"/>
  <c r="T109" i="78" s="1"/>
  <c r="H115" i="78"/>
  <c r="T113" i="78"/>
  <c r="K113" i="78"/>
  <c r="U113" i="78"/>
  <c r="L113" i="78"/>
  <c r="V113" i="78"/>
  <c r="M113" i="78"/>
  <c r="T107" i="78"/>
  <c r="V107" i="78"/>
  <c r="U107" i="78"/>
  <c r="M107" i="78"/>
  <c r="L107" i="78"/>
  <c r="K107" i="78"/>
  <c r="U101" i="78"/>
  <c r="L101" i="78"/>
  <c r="T101" i="78"/>
  <c r="K101" i="78"/>
  <c r="V101" i="78"/>
  <c r="M101" i="78"/>
  <c r="AL93" i="78"/>
  <c r="U102" i="78"/>
  <c r="V102" i="78"/>
  <c r="T102" i="78"/>
  <c r="M102" i="78"/>
  <c r="K102" i="78"/>
  <c r="L102" i="78"/>
  <c r="O100" i="78"/>
  <c r="AL91" i="78" s="1"/>
  <c r="U92" i="78"/>
  <c r="T92" i="78"/>
  <c r="L92" i="78"/>
  <c r="K92" i="78"/>
  <c r="M92" i="78"/>
  <c r="V92" i="78"/>
  <c r="V26" i="78"/>
  <c r="U26" i="78"/>
  <c r="L26" i="78"/>
  <c r="K26" i="78"/>
  <c r="T26" i="78"/>
  <c r="M26" i="78"/>
  <c r="K97" i="78"/>
  <c r="T97" i="78"/>
  <c r="M97" i="78"/>
  <c r="L97" i="78"/>
  <c r="V97" i="78"/>
  <c r="U97" i="78"/>
  <c r="V93" i="78"/>
  <c r="U93" i="78"/>
  <c r="K93" i="78"/>
  <c r="L93" i="78"/>
  <c r="T93" i="78"/>
  <c r="M93" i="78"/>
  <c r="K94" i="78"/>
  <c r="L94" i="78"/>
  <c r="V94" i="78"/>
  <c r="T94" i="78"/>
  <c r="U94" i="78"/>
  <c r="M94" i="78"/>
  <c r="K86" i="78"/>
  <c r="M86" i="78"/>
  <c r="L86" i="78"/>
  <c r="U86" i="78"/>
  <c r="T86" i="78"/>
  <c r="V86" i="78"/>
  <c r="K85" i="78"/>
  <c r="V85" i="78"/>
  <c r="M85" i="78"/>
  <c r="T85" i="78"/>
  <c r="U85" i="78"/>
  <c r="L85" i="78"/>
  <c r="V87" i="78"/>
  <c r="U87" i="78"/>
  <c r="K87" i="78"/>
  <c r="L87" i="78"/>
  <c r="T87" i="78"/>
  <c r="M87" i="78"/>
  <c r="M77" i="78"/>
  <c r="V77" i="78"/>
  <c r="L77" i="78"/>
  <c r="U77" i="78"/>
  <c r="K77" i="78"/>
  <c r="T77" i="78"/>
  <c r="O79" i="78"/>
  <c r="AL88" i="78" s="1"/>
  <c r="O78" i="78"/>
  <c r="AL87" i="78" s="1"/>
  <c r="V78" i="78"/>
  <c r="K78" i="78"/>
  <c r="T78" i="78"/>
  <c r="M78" i="78"/>
  <c r="U78" i="78"/>
  <c r="L78" i="78"/>
  <c r="AL85" i="78"/>
  <c r="AL80" i="78"/>
  <c r="M69" i="78"/>
  <c r="L69" i="78"/>
  <c r="U69" i="78"/>
  <c r="K69" i="78"/>
  <c r="T69" i="78"/>
  <c r="V69" i="78"/>
  <c r="T72" i="78"/>
  <c r="L72" i="78"/>
  <c r="K72" i="78"/>
  <c r="M72" i="78"/>
  <c r="V72" i="78"/>
  <c r="U72" i="78"/>
  <c r="K70" i="78"/>
  <c r="M70" i="78"/>
  <c r="L70" i="78"/>
  <c r="U70" i="78"/>
  <c r="V70" i="78"/>
  <c r="T70" i="78"/>
  <c r="K74" i="78"/>
  <c r="V74" i="78"/>
  <c r="T74" i="78"/>
  <c r="M74" i="78"/>
  <c r="U74" i="78"/>
  <c r="L74" i="78"/>
  <c r="L64" i="78"/>
  <c r="V64" i="78"/>
  <c r="U64" i="78"/>
  <c r="AG93" i="78"/>
  <c r="K64" i="78"/>
  <c r="T64" i="78"/>
  <c r="M64" i="78"/>
  <c r="AG79" i="78"/>
  <c r="AL79" i="78"/>
  <c r="M63" i="78"/>
  <c r="L63" i="78"/>
  <c r="V63" i="78"/>
  <c r="K63" i="78"/>
  <c r="T63" i="78"/>
  <c r="U63" i="78"/>
  <c r="K61" i="78"/>
  <c r="U61" i="78"/>
  <c r="T61" i="78"/>
  <c r="V61" i="78"/>
  <c r="M61" i="78"/>
  <c r="L61" i="78"/>
  <c r="O56" i="78"/>
  <c r="AL92" i="78" s="1"/>
  <c r="K56" i="78"/>
  <c r="L56" i="78"/>
  <c r="U56" i="78"/>
  <c r="AG92" i="78"/>
  <c r="T56" i="78"/>
  <c r="V56" i="78"/>
  <c r="M56" i="78"/>
  <c r="K55" i="78"/>
  <c r="T55" i="78"/>
  <c r="V55" i="78"/>
  <c r="M55" i="78"/>
  <c r="U55" i="78"/>
  <c r="AG87" i="78"/>
  <c r="L55" i="78"/>
  <c r="AG85" i="78"/>
  <c r="AG80" i="78"/>
  <c r="V50" i="78"/>
  <c r="M50" i="78"/>
  <c r="U50" i="78"/>
  <c r="L50" i="78"/>
  <c r="AG88" i="78"/>
  <c r="K50" i="78"/>
  <c r="T50" i="78"/>
  <c r="C210" i="21"/>
  <c r="C211" i="21"/>
  <c r="D32" i="21"/>
  <c r="S32" i="21"/>
  <c r="N32" i="21"/>
  <c r="I32" i="21"/>
  <c r="C182" i="21"/>
  <c r="C195" i="21"/>
  <c r="C196" i="21"/>
  <c r="D16" i="74"/>
  <c r="F22" i="71"/>
  <c r="D22" i="71"/>
  <c r="E22" i="71"/>
  <c r="C16" i="74"/>
  <c r="E16" i="74"/>
  <c r="G22" i="71"/>
  <c r="D22" i="70"/>
  <c r="B20" i="74"/>
  <c r="E20" i="74"/>
  <c r="G22" i="70"/>
  <c r="D22" i="64"/>
  <c r="B7" i="74"/>
  <c r="F22" i="67"/>
  <c r="D21" i="74"/>
  <c r="D22" i="67"/>
  <c r="B21" i="74"/>
  <c r="E22" i="66"/>
  <c r="C8" i="74"/>
  <c r="D22" i="66"/>
  <c r="B8" i="74"/>
  <c r="D22" i="60"/>
  <c r="B13" i="74"/>
  <c r="E22" i="62"/>
  <c r="E22" i="58"/>
  <c r="D22" i="58"/>
  <c r="F22" i="64"/>
  <c r="G22" i="67"/>
  <c r="E22" i="67"/>
  <c r="F22" i="66"/>
  <c r="CV2" i="66"/>
  <c r="CF2" i="66"/>
  <c r="BP2" i="66"/>
  <c r="AZ2" i="66"/>
  <c r="AJ2" i="66"/>
  <c r="T2" i="66"/>
  <c r="BD2" i="66"/>
  <c r="H2" i="66"/>
  <c r="CB2" i="66"/>
  <c r="BL2" i="66"/>
  <c r="AV2" i="66"/>
  <c r="AF2" i="66"/>
  <c r="P2" i="66"/>
  <c r="BT2" i="66"/>
  <c r="X2" i="66"/>
  <c r="CN2" i="66"/>
  <c r="BX2" i="66"/>
  <c r="BH2" i="66"/>
  <c r="AR2" i="66"/>
  <c r="AB2" i="66"/>
  <c r="L2" i="66"/>
  <c r="CJ2" i="66"/>
  <c r="AN2" i="66"/>
  <c r="G22" i="66"/>
  <c r="G22" i="64"/>
  <c r="E22" i="64"/>
  <c r="G22" i="63"/>
  <c r="F22" i="62"/>
  <c r="CV2" i="62"/>
  <c r="CF2" i="62"/>
  <c r="BP2" i="62"/>
  <c r="AZ2" i="62"/>
  <c r="AJ2" i="62"/>
  <c r="T2" i="62"/>
  <c r="BT2" i="62"/>
  <c r="AN2" i="62"/>
  <c r="CB2" i="62"/>
  <c r="BL2" i="62"/>
  <c r="AV2" i="62"/>
  <c r="AF2" i="62"/>
  <c r="P2" i="62"/>
  <c r="BD2" i="62"/>
  <c r="H2" i="62"/>
  <c r="CN2" i="62"/>
  <c r="BX2" i="62"/>
  <c r="BH2" i="62"/>
  <c r="AR2" i="62"/>
  <c r="AB2" i="62"/>
  <c r="L2" i="62"/>
  <c r="CJ2" i="62"/>
  <c r="X2" i="62"/>
  <c r="G22" i="62"/>
  <c r="G22" i="60"/>
  <c r="F22" i="58"/>
  <c r="G22" i="58"/>
  <c r="BD3" i="70"/>
  <c r="AZ3" i="70"/>
  <c r="AV3" i="70"/>
  <c r="AR3" i="70"/>
  <c r="AN3" i="70"/>
  <c r="AJ3" i="70"/>
  <c r="AF3" i="70"/>
  <c r="AB3" i="70"/>
  <c r="X3" i="70"/>
  <c r="T3" i="70"/>
  <c r="P3" i="70"/>
  <c r="L3" i="70"/>
  <c r="H3" i="70"/>
  <c r="BD3" i="69"/>
  <c r="AZ3" i="69"/>
  <c r="AV3" i="69"/>
  <c r="AR3" i="69"/>
  <c r="AN3" i="69"/>
  <c r="AJ3" i="69"/>
  <c r="AF3" i="69"/>
  <c r="AB3" i="69"/>
  <c r="X3" i="69"/>
  <c r="T3" i="69"/>
  <c r="P3" i="69"/>
  <c r="L3" i="69"/>
  <c r="H3" i="69"/>
  <c r="BD3" i="68"/>
  <c r="AZ3" i="68"/>
  <c r="AV3" i="68"/>
  <c r="AR3" i="68"/>
  <c r="AN3" i="68"/>
  <c r="AJ3" i="68"/>
  <c r="AF3" i="68"/>
  <c r="AB3" i="68"/>
  <c r="X3" i="68"/>
  <c r="T3" i="68"/>
  <c r="P3" i="68"/>
  <c r="H3" i="68"/>
  <c r="BD3" i="67"/>
  <c r="AZ3" i="67"/>
  <c r="AV3" i="67"/>
  <c r="AR3" i="67"/>
  <c r="AN3" i="67"/>
  <c r="AJ3" i="67"/>
  <c r="AF3" i="67"/>
  <c r="AB3" i="67"/>
  <c r="X3" i="67"/>
  <c r="T3" i="67"/>
  <c r="P3" i="67"/>
  <c r="L3" i="67"/>
  <c r="H3" i="67"/>
  <c r="BD3" i="66"/>
  <c r="AZ3" i="66"/>
  <c r="AV3" i="66"/>
  <c r="AR3" i="66"/>
  <c r="AN3" i="66"/>
  <c r="AJ3" i="66"/>
  <c r="AF3" i="66"/>
  <c r="AB3" i="66"/>
  <c r="X3" i="66"/>
  <c r="T3" i="66"/>
  <c r="P3" i="66"/>
  <c r="L3" i="66"/>
  <c r="H3" i="66"/>
  <c r="BD3" i="65"/>
  <c r="AZ3" i="65"/>
  <c r="AV3" i="65"/>
  <c r="AR3" i="65"/>
  <c r="AN3" i="65"/>
  <c r="AJ3" i="65"/>
  <c r="AF3" i="65"/>
  <c r="AB3" i="65"/>
  <c r="X3" i="65"/>
  <c r="T3" i="65"/>
  <c r="P3" i="65"/>
  <c r="L3" i="65"/>
  <c r="H3" i="65"/>
  <c r="BD3" i="64"/>
  <c r="AZ3" i="64"/>
  <c r="AV3" i="64"/>
  <c r="AR3" i="64"/>
  <c r="AN3" i="64"/>
  <c r="AJ3" i="64"/>
  <c r="AF3" i="64"/>
  <c r="AB3" i="64"/>
  <c r="X3" i="64"/>
  <c r="T3" i="64"/>
  <c r="P3" i="64"/>
  <c r="L3" i="64"/>
  <c r="H3" i="64"/>
  <c r="BD3" i="63"/>
  <c r="AZ3" i="63"/>
  <c r="AV3" i="63"/>
  <c r="AR3" i="63"/>
  <c r="AN3" i="63"/>
  <c r="AJ3" i="63"/>
  <c r="AF3" i="63"/>
  <c r="AB3" i="63"/>
  <c r="X3" i="63"/>
  <c r="T3" i="63"/>
  <c r="P3" i="63"/>
  <c r="L3" i="63"/>
  <c r="BD3" i="62"/>
  <c r="AZ3" i="62"/>
  <c r="AV3" i="62"/>
  <c r="AR3" i="62"/>
  <c r="AN3" i="62"/>
  <c r="AJ3" i="62"/>
  <c r="AF3" i="62"/>
  <c r="AB3" i="62"/>
  <c r="X3" i="62"/>
  <c r="T3" i="62"/>
  <c r="P3" i="62"/>
  <c r="L3" i="62"/>
  <c r="H3" i="62"/>
  <c r="BD3" i="61"/>
  <c r="AZ3" i="61"/>
  <c r="AV3" i="61"/>
  <c r="AR3" i="61"/>
  <c r="AN3" i="61"/>
  <c r="AJ3" i="61"/>
  <c r="AF3" i="61"/>
  <c r="AB3" i="61"/>
  <c r="X3" i="61"/>
  <c r="T3" i="61"/>
  <c r="P3" i="61"/>
  <c r="L3" i="61"/>
  <c r="H3" i="61"/>
  <c r="BD3" i="60"/>
  <c r="AZ3" i="60"/>
  <c r="AV3" i="60"/>
  <c r="AR3" i="60"/>
  <c r="AN3" i="60"/>
  <c r="AJ3" i="60"/>
  <c r="AF3" i="60"/>
  <c r="AB3" i="60"/>
  <c r="X3" i="60"/>
  <c r="T3" i="60"/>
  <c r="P3" i="60"/>
  <c r="L3" i="60"/>
  <c r="H3" i="60"/>
  <c r="H3" i="63"/>
  <c r="BD3" i="59"/>
  <c r="AZ3" i="59"/>
  <c r="AV3" i="59"/>
  <c r="AR3" i="59"/>
  <c r="AN3" i="59"/>
  <c r="AJ3" i="59"/>
  <c r="AF3" i="59"/>
  <c r="AB3" i="59"/>
  <c r="X3" i="59"/>
  <c r="T3" i="59"/>
  <c r="P3" i="59"/>
  <c r="L3" i="59"/>
  <c r="H3" i="59"/>
  <c r="BD3" i="58"/>
  <c r="AZ3" i="58"/>
  <c r="AV3" i="58"/>
  <c r="AR3" i="58"/>
  <c r="AN3" i="58"/>
  <c r="AJ3" i="58"/>
  <c r="AF3" i="58"/>
  <c r="AB3" i="58"/>
  <c r="X3" i="58"/>
  <c r="T3" i="58"/>
  <c r="P3" i="58"/>
  <c r="L3" i="58"/>
  <c r="H3" i="58"/>
  <c r="BD3" i="22"/>
  <c r="AZ3" i="22"/>
  <c r="AV3" i="22"/>
  <c r="AR3" i="22"/>
  <c r="AN3" i="22"/>
  <c r="AJ3" i="22"/>
  <c r="AB3" i="22"/>
  <c r="X3" i="22"/>
  <c r="T3" i="22"/>
  <c r="L3" i="22"/>
  <c r="BH3" i="22"/>
  <c r="BL3" i="22"/>
  <c r="BP3" i="22"/>
  <c r="BT3" i="22"/>
  <c r="BX3" i="22"/>
  <c r="CB3" i="22"/>
  <c r="CF3" i="22"/>
  <c r="CJ3" i="22"/>
  <c r="CN3" i="22"/>
  <c r="CR3" i="22"/>
  <c r="CV3" i="22"/>
  <c r="CZ3" i="22"/>
  <c r="AG91" i="78" l="1"/>
  <c r="U109" i="78"/>
  <c r="M109" i="78"/>
  <c r="L109" i="78"/>
  <c r="K109" i="78"/>
  <c r="V109" i="78"/>
  <c r="K115" i="78"/>
  <c r="U115" i="78"/>
  <c r="T115" i="78"/>
  <c r="L115" i="78"/>
  <c r="M115" i="78"/>
  <c r="V115" i="78"/>
  <c r="L3" i="77"/>
  <c r="L3" i="75"/>
  <c r="H3" i="75"/>
  <c r="H3" i="77"/>
  <c r="AF3" i="75"/>
  <c r="AF3" i="77"/>
  <c r="P3" i="75"/>
  <c r="P3" i="77"/>
  <c r="AJ3" i="75"/>
  <c r="AJ3" i="77"/>
  <c r="T3" i="75"/>
  <c r="T3" i="77"/>
  <c r="AB3" i="77"/>
  <c r="AB3" i="75"/>
  <c r="AN3" i="75"/>
  <c r="AN3" i="77"/>
  <c r="X3" i="75"/>
  <c r="X3" i="77"/>
  <c r="X22" i="65" l="1"/>
  <c r="R12" i="74" s="1"/>
  <c r="Y22" i="65"/>
  <c r="S12" i="74" s="1"/>
  <c r="Z22" i="65"/>
  <c r="T12" i="74" s="1"/>
  <c r="AA22" i="65"/>
  <c r="U12" i="74" s="1"/>
  <c r="AB22" i="65"/>
  <c r="V12" i="74" s="1"/>
  <c r="AC22" i="65"/>
  <c r="W12" i="74" s="1"/>
  <c r="AD22" i="65"/>
  <c r="X12" i="74" s="1"/>
  <c r="AE22" i="65"/>
  <c r="Y12" i="74" s="1"/>
  <c r="AF22" i="65"/>
  <c r="Z12" i="74" s="1"/>
  <c r="H53" i="78" s="1"/>
  <c r="AG22" i="65"/>
  <c r="AA12" i="74" s="1"/>
  <c r="I53" i="78" s="1"/>
  <c r="O53" i="78" s="1"/>
  <c r="AH22" i="65"/>
  <c r="AB12" i="74" s="1"/>
  <c r="AI22" i="65"/>
  <c r="AC12" i="74" s="1"/>
  <c r="AJ22" i="65"/>
  <c r="AD12" i="74" s="1"/>
  <c r="H60" i="78" s="1"/>
  <c r="AK22" i="65"/>
  <c r="AE12" i="74" s="1"/>
  <c r="I60" i="78" s="1"/>
  <c r="O60" i="78" s="1"/>
  <c r="AL22" i="65"/>
  <c r="AF12" i="74" s="1"/>
  <c r="AM22" i="65"/>
  <c r="AG12" i="74" s="1"/>
  <c r="AN22" i="65"/>
  <c r="AH12" i="74" s="1"/>
  <c r="H68" i="78" s="1"/>
  <c r="AO22" i="65"/>
  <c r="AI12" i="74" s="1"/>
  <c r="I68" i="78" s="1"/>
  <c r="O68" i="78" s="1"/>
  <c r="AP22" i="65"/>
  <c r="AJ12" i="74" s="1"/>
  <c r="AQ22" i="65"/>
  <c r="AK12" i="74" s="1"/>
  <c r="AR22" i="65"/>
  <c r="AL12" i="74" s="1"/>
  <c r="H75" i="78" s="1"/>
  <c r="AS22" i="65"/>
  <c r="AM12" i="74" s="1"/>
  <c r="I75" i="78" s="1"/>
  <c r="O75" i="78" s="1"/>
  <c r="AT22" i="65"/>
  <c r="AN12" i="74" s="1"/>
  <c r="AU22" i="65"/>
  <c r="AO12" i="74" s="1"/>
  <c r="AV22" i="65"/>
  <c r="AP12" i="74" s="1"/>
  <c r="AW22" i="65"/>
  <c r="AQ12" i="74" s="1"/>
  <c r="AX22" i="65"/>
  <c r="AR12" i="74" s="1"/>
  <c r="AY22" i="65"/>
  <c r="AS12" i="74" s="1"/>
  <c r="AZ22" i="65"/>
  <c r="AT12" i="74" s="1"/>
  <c r="Q96" i="78" s="1"/>
  <c r="BB22" i="65"/>
  <c r="AV12" i="74" s="1"/>
  <c r="BC22" i="65"/>
  <c r="AW12" i="74" s="1"/>
  <c r="S96" i="78" s="1"/>
  <c r="X96" i="78" s="1"/>
  <c r="BD22" i="65"/>
  <c r="AX12" i="74" s="1"/>
  <c r="Q99" i="78" s="1"/>
  <c r="BE22" i="65"/>
  <c r="AY12" i="74" s="1"/>
  <c r="BF22" i="65"/>
  <c r="AZ12" i="74" s="1"/>
  <c r="BG22" i="65"/>
  <c r="BA12" i="74" s="1"/>
  <c r="BH22" i="65"/>
  <c r="BB12" i="74" s="1"/>
  <c r="BI22" i="65"/>
  <c r="BC12" i="74" s="1"/>
  <c r="BJ22" i="65"/>
  <c r="BD12" i="74" s="1"/>
  <c r="BK22" i="65"/>
  <c r="BE12" i="74" s="1"/>
  <c r="BL22" i="65"/>
  <c r="BF12" i="74" s="1"/>
  <c r="Q116" i="78" s="1"/>
  <c r="BM22" i="65"/>
  <c r="BG12" i="74" s="1"/>
  <c r="R116" i="78" s="1"/>
  <c r="X116" i="78" s="1"/>
  <c r="BN22" i="65"/>
  <c r="BH12" i="74" s="1"/>
  <c r="BO22" i="65"/>
  <c r="BI12" i="74" s="1"/>
  <c r="BP22" i="65"/>
  <c r="BJ12" i="74" s="1"/>
  <c r="H127" i="78" s="1"/>
  <c r="BQ22" i="65"/>
  <c r="BK12" i="74" s="1"/>
  <c r="I127" i="78" s="1"/>
  <c r="O127" i="78" s="1"/>
  <c r="BR22" i="65"/>
  <c r="BL12" i="74" s="1"/>
  <c r="BS22" i="65"/>
  <c r="BM12" i="74" s="1"/>
  <c r="BT22" i="65"/>
  <c r="BN12" i="74" s="1"/>
  <c r="BU22" i="65"/>
  <c r="BO12" i="74" s="1"/>
  <c r="R136" i="78" s="1"/>
  <c r="X136" i="78" s="1"/>
  <c r="BV22" i="65"/>
  <c r="BP12" i="74" s="1"/>
  <c r="BW22" i="65"/>
  <c r="BQ12" i="74" s="1"/>
  <c r="BX22" i="65"/>
  <c r="BR12" i="74" s="1"/>
  <c r="BY22" i="65"/>
  <c r="BS12" i="74" s="1"/>
  <c r="BZ22" i="65"/>
  <c r="BT12" i="74" s="1"/>
  <c r="CA22" i="65"/>
  <c r="BU12" i="74" s="1"/>
  <c r="CB22" i="65"/>
  <c r="BV12" i="74" s="1"/>
  <c r="CC22" i="65"/>
  <c r="BW12" i="74" s="1"/>
  <c r="CD22" i="65"/>
  <c r="BX12" i="74" s="1"/>
  <c r="CE22" i="65"/>
  <c r="BY12" i="74" s="1"/>
  <c r="CF22" i="65"/>
  <c r="BZ12" i="74" s="1"/>
  <c r="CG22" i="65"/>
  <c r="CA12" i="74" s="1"/>
  <c r="CH22" i="65"/>
  <c r="CB12" i="74" s="1"/>
  <c r="CI22" i="65"/>
  <c r="CC12" i="74" s="1"/>
  <c r="CJ22" i="65"/>
  <c r="CD12" i="74" s="1"/>
  <c r="CK22" i="65"/>
  <c r="CE12" i="74" s="1"/>
  <c r="CL22" i="65"/>
  <c r="CF12" i="74" s="1"/>
  <c r="CM22" i="65"/>
  <c r="CG12" i="74" s="1"/>
  <c r="CN22" i="65"/>
  <c r="CH12" i="74" s="1"/>
  <c r="CO22" i="65"/>
  <c r="CI12" i="74" s="1"/>
  <c r="CP22" i="65"/>
  <c r="CJ12" i="74" s="1"/>
  <c r="CQ22" i="65"/>
  <c r="CK12" i="74" s="1"/>
  <c r="CR22" i="65"/>
  <c r="CL12" i="74" s="1"/>
  <c r="CS22" i="65"/>
  <c r="CM12" i="74" s="1"/>
  <c r="CT22" i="65"/>
  <c r="CN12" i="74" s="1"/>
  <c r="CU22" i="65"/>
  <c r="CO12" i="74" s="1"/>
  <c r="CV22" i="65"/>
  <c r="CP12" i="74" s="1"/>
  <c r="CW22" i="65"/>
  <c r="CX22" i="65"/>
  <c r="CY22" i="65"/>
  <c r="CZ22" i="65"/>
  <c r="DA22" i="65"/>
  <c r="DB22" i="65"/>
  <c r="DC22" i="65"/>
  <c r="H22" i="65"/>
  <c r="B12" i="74" s="1"/>
  <c r="I22" i="65"/>
  <c r="C12" i="74" s="1"/>
  <c r="J22" i="65"/>
  <c r="D12" i="74" s="1"/>
  <c r="K22" i="65"/>
  <c r="E12" i="74" s="1"/>
  <c r="L22" i="65"/>
  <c r="F12" i="74" s="1"/>
  <c r="M22" i="65"/>
  <c r="G12" i="74" s="1"/>
  <c r="N22" i="65"/>
  <c r="H12" i="74" s="1"/>
  <c r="O22" i="65"/>
  <c r="I12" i="74" s="1"/>
  <c r="P22" i="65"/>
  <c r="J12" i="74" s="1"/>
  <c r="Q20" i="78" s="1"/>
  <c r="Q22" i="65"/>
  <c r="K12" i="74" s="1"/>
  <c r="R22" i="65"/>
  <c r="L12" i="74" s="1"/>
  <c r="S22" i="65"/>
  <c r="M12" i="74" s="1"/>
  <c r="W22" i="65"/>
  <c r="Q12" i="74" s="1"/>
  <c r="T22" i="65"/>
  <c r="N12" i="74" s="1"/>
  <c r="R9" i="74"/>
  <c r="S9" i="74"/>
  <c r="B9" i="74"/>
  <c r="C9" i="74"/>
  <c r="D9" i="74"/>
  <c r="F9" i="74"/>
  <c r="G9" i="74"/>
  <c r="H9" i="74"/>
  <c r="I9" i="74"/>
  <c r="J9" i="74"/>
  <c r="K9" i="74"/>
  <c r="L9" i="74"/>
  <c r="M9" i="74"/>
  <c r="Q9" i="74"/>
  <c r="N9" i="74"/>
  <c r="T127" i="78" l="1"/>
  <c r="M127" i="78"/>
  <c r="K127" i="78"/>
  <c r="L127" i="78"/>
  <c r="V127" i="78"/>
  <c r="U127" i="78"/>
  <c r="L116" i="78"/>
  <c r="T116" i="78"/>
  <c r="K116" i="78"/>
  <c r="U116" i="78"/>
  <c r="V116" i="78"/>
  <c r="M116" i="78"/>
  <c r="K99" i="78"/>
  <c r="T99" i="78"/>
  <c r="U99" i="78"/>
  <c r="M99" i="78"/>
  <c r="L99" i="78"/>
  <c r="V99" i="78"/>
  <c r="T20" i="78"/>
  <c r="M20" i="78"/>
  <c r="L20" i="78"/>
  <c r="K20" i="78"/>
  <c r="U20" i="78"/>
  <c r="V20" i="78"/>
  <c r="K75" i="78"/>
  <c r="M75" i="78"/>
  <c r="T75" i="78"/>
  <c r="V75" i="78"/>
  <c r="U75" i="78"/>
  <c r="L75" i="78"/>
  <c r="L68" i="78"/>
  <c r="K68" i="78"/>
  <c r="V68" i="78"/>
  <c r="U68" i="78"/>
  <c r="T68" i="78"/>
  <c r="M68" i="78"/>
  <c r="AL84" i="78"/>
  <c r="V60" i="78"/>
  <c r="L60" i="78"/>
  <c r="K60" i="78"/>
  <c r="U60" i="78"/>
  <c r="T60" i="78"/>
  <c r="M60" i="78"/>
  <c r="M53" i="78"/>
  <c r="L53" i="78"/>
  <c r="AG84" i="78"/>
  <c r="U53" i="78"/>
  <c r="V53" i="78"/>
  <c r="K53" i="78"/>
  <c r="T53" i="78"/>
  <c r="G22" i="61"/>
  <c r="E9" i="74"/>
  <c r="D22" i="65"/>
  <c r="G22" i="65"/>
  <c r="D22" i="61"/>
  <c r="L22" i="59"/>
  <c r="F18" i="74" s="1"/>
  <c r="M22" i="59"/>
  <c r="G18" i="74" s="1"/>
  <c r="N22" i="59"/>
  <c r="H18" i="74" s="1"/>
  <c r="O22" i="59"/>
  <c r="I18" i="74" s="1"/>
  <c r="P22" i="59"/>
  <c r="J18" i="74" s="1"/>
  <c r="Q22" i="59"/>
  <c r="K18" i="74" s="1"/>
  <c r="R22" i="59"/>
  <c r="L18" i="74" s="1"/>
  <c r="S22" i="59"/>
  <c r="M18" i="74" s="1"/>
  <c r="T22" i="59"/>
  <c r="N18" i="74" s="1"/>
  <c r="U22" i="59"/>
  <c r="O18" i="74" s="1"/>
  <c r="V22" i="59"/>
  <c r="P18" i="74" s="1"/>
  <c r="W22" i="59"/>
  <c r="Q18" i="74" s="1"/>
  <c r="X22" i="59"/>
  <c r="R18" i="74" s="1"/>
  <c r="Y22" i="59"/>
  <c r="S18" i="74" s="1"/>
  <c r="Z22" i="59"/>
  <c r="T18" i="74" s="1"/>
  <c r="AA22" i="59"/>
  <c r="U18" i="74" s="1"/>
  <c r="AB22" i="59"/>
  <c r="V18" i="74" s="1"/>
  <c r="AC22" i="59"/>
  <c r="W18" i="74" s="1"/>
  <c r="AD22" i="59"/>
  <c r="X18" i="74" s="1"/>
  <c r="AE22" i="59"/>
  <c r="Y18" i="74" s="1"/>
  <c r="AF22" i="59"/>
  <c r="Z18" i="74" s="1"/>
  <c r="H57" i="78" s="1"/>
  <c r="AG22" i="59"/>
  <c r="AA18" i="74" s="1"/>
  <c r="AH22" i="59"/>
  <c r="AB18" i="74" s="1"/>
  <c r="AI22" i="59"/>
  <c r="AC18" i="74" s="1"/>
  <c r="AJ22" i="59"/>
  <c r="AD18" i="74" s="1"/>
  <c r="H66" i="78" s="1"/>
  <c r="AK22" i="59"/>
  <c r="AE18" i="74" s="1"/>
  <c r="AL22" i="59"/>
  <c r="AF18" i="74" s="1"/>
  <c r="AM22" i="59"/>
  <c r="AG18" i="74" s="1"/>
  <c r="AN22" i="59"/>
  <c r="AH18" i="74" s="1"/>
  <c r="Q73" i="78" s="1"/>
  <c r="AO22" i="59"/>
  <c r="AI18" i="74" s="1"/>
  <c r="R73" i="78" s="1"/>
  <c r="X73" i="78" s="1"/>
  <c r="AP22" i="59"/>
  <c r="AJ18" i="74" s="1"/>
  <c r="AQ22" i="59"/>
  <c r="AK18" i="74" s="1"/>
  <c r="AR22" i="59"/>
  <c r="AL18" i="74" s="1"/>
  <c r="Q81" i="78" s="1"/>
  <c r="AS22" i="59"/>
  <c r="AM18" i="74" s="1"/>
  <c r="R81" i="78" s="1"/>
  <c r="X81" i="78" s="1"/>
  <c r="AT22" i="59"/>
  <c r="AN18" i="74" s="1"/>
  <c r="AU22" i="59"/>
  <c r="AO18" i="74" s="1"/>
  <c r="AV22" i="59"/>
  <c r="AP18" i="74" s="1"/>
  <c r="Q88" i="78" s="1"/>
  <c r="AW22" i="59"/>
  <c r="AQ18" i="74" s="1"/>
  <c r="AX22" i="59"/>
  <c r="AR18" i="74" s="1"/>
  <c r="AY22" i="59"/>
  <c r="AS18" i="74" s="1"/>
  <c r="AZ22" i="59"/>
  <c r="AT18" i="74" s="1"/>
  <c r="H95" i="78" s="1"/>
  <c r="BD22" i="59"/>
  <c r="AX18" i="74" s="1"/>
  <c r="BE22" i="59"/>
  <c r="AY18" i="74" s="1"/>
  <c r="BF22" i="59"/>
  <c r="AZ18" i="74" s="1"/>
  <c r="BG22" i="59"/>
  <c r="BA18" i="74" s="1"/>
  <c r="BH22" i="59"/>
  <c r="BB18" i="74" s="1"/>
  <c r="H110" i="78" s="1"/>
  <c r="BI22" i="59"/>
  <c r="BC18" i="74" s="1"/>
  <c r="I110" i="78" s="1"/>
  <c r="O110" i="78" s="1"/>
  <c r="BJ22" i="59"/>
  <c r="BD18" i="74" s="1"/>
  <c r="BK22" i="59"/>
  <c r="BE18" i="74" s="1"/>
  <c r="BL22" i="59"/>
  <c r="BF18" i="74" s="1"/>
  <c r="H118" i="78" s="1"/>
  <c r="BM22" i="59"/>
  <c r="BG18" i="74" s="1"/>
  <c r="I118" i="78" s="1"/>
  <c r="O118" i="78" s="1"/>
  <c r="BN22" i="59"/>
  <c r="BH18" i="74" s="1"/>
  <c r="BO22" i="59"/>
  <c r="BI18" i="74" s="1"/>
  <c r="BP22" i="59"/>
  <c r="BJ18" i="74" s="1"/>
  <c r="Q128" i="78" s="1"/>
  <c r="BQ22" i="59"/>
  <c r="BK18" i="74" s="1"/>
  <c r="R128" i="78" s="1"/>
  <c r="X128" i="78" s="1"/>
  <c r="BR22" i="59"/>
  <c r="BL18" i="74" s="1"/>
  <c r="BS22" i="59"/>
  <c r="BM18" i="74" s="1"/>
  <c r="K22" i="59"/>
  <c r="H22" i="59"/>
  <c r="L22" i="69"/>
  <c r="F11" i="74" s="1"/>
  <c r="G11" i="74"/>
  <c r="N22" i="69"/>
  <c r="H11" i="74" s="1"/>
  <c r="O22" i="69"/>
  <c r="I11" i="74" s="1"/>
  <c r="P22" i="69"/>
  <c r="J11" i="74" s="1"/>
  <c r="K11" i="74"/>
  <c r="L11" i="74"/>
  <c r="M11" i="74"/>
  <c r="T22" i="69"/>
  <c r="N11" i="74" s="1"/>
  <c r="U22" i="69"/>
  <c r="O11" i="74" s="1"/>
  <c r="V22" i="69"/>
  <c r="P11" i="74" s="1"/>
  <c r="W22" i="69"/>
  <c r="Q11" i="74" s="1"/>
  <c r="X22" i="69"/>
  <c r="R11" i="74" s="1"/>
  <c r="Y22" i="69"/>
  <c r="S11" i="74" s="1"/>
  <c r="Z22" i="69"/>
  <c r="T11" i="74" s="1"/>
  <c r="AA22" i="69"/>
  <c r="U11" i="74" s="1"/>
  <c r="AB22" i="69"/>
  <c r="V11" i="74" s="1"/>
  <c r="AC22" i="69"/>
  <c r="W11" i="74" s="1"/>
  <c r="AD22" i="69"/>
  <c r="X11" i="74" s="1"/>
  <c r="AE22" i="69"/>
  <c r="Y11" i="74" s="1"/>
  <c r="AF22" i="69"/>
  <c r="Z11" i="74" s="1"/>
  <c r="H51" i="78" s="1"/>
  <c r="AG22" i="69"/>
  <c r="AA11" i="74" s="1"/>
  <c r="AH22" i="69"/>
  <c r="AB11" i="74" s="1"/>
  <c r="AI22" i="69"/>
  <c r="AC11" i="74" s="1"/>
  <c r="AJ22" i="69"/>
  <c r="AD11" i="74" s="1"/>
  <c r="AK22" i="69"/>
  <c r="AE11" i="74" s="1"/>
  <c r="AL22" i="69"/>
  <c r="AF11" i="74" s="1"/>
  <c r="AM22" i="69"/>
  <c r="AG11" i="74" s="1"/>
  <c r="AN22" i="69"/>
  <c r="AH11" i="74" s="1"/>
  <c r="H67" i="78" s="1"/>
  <c r="AO22" i="69"/>
  <c r="AI11" i="74" s="1"/>
  <c r="I67" i="78" s="1"/>
  <c r="O67" i="78" s="1"/>
  <c r="AP22" i="69"/>
  <c r="AJ11" i="74" s="1"/>
  <c r="AQ22" i="69"/>
  <c r="AK11" i="74" s="1"/>
  <c r="AR22" i="69"/>
  <c r="AL11" i="74" s="1"/>
  <c r="Q80" i="78" s="1"/>
  <c r="AS22" i="69"/>
  <c r="AM11" i="74" s="1"/>
  <c r="R80" i="78" s="1"/>
  <c r="X80" i="78" s="1"/>
  <c r="AT22" i="69"/>
  <c r="AN11" i="74" s="1"/>
  <c r="AU22" i="69"/>
  <c r="AO11" i="74" s="1"/>
  <c r="AV22" i="69"/>
  <c r="AP11" i="74" s="1"/>
  <c r="Q83" i="78" s="1"/>
  <c r="AW22" i="69"/>
  <c r="AQ11" i="74" s="1"/>
  <c r="R83" i="78" s="1"/>
  <c r="X83" i="78" s="1"/>
  <c r="AX22" i="69"/>
  <c r="AR11" i="74" s="1"/>
  <c r="AY22" i="69"/>
  <c r="AS11" i="74" s="1"/>
  <c r="AZ22" i="69"/>
  <c r="AT11" i="74" s="1"/>
  <c r="Q91" i="78" s="1"/>
  <c r="BA22" i="69"/>
  <c r="AU11" i="74" s="1"/>
  <c r="BB22" i="69"/>
  <c r="AV11" i="74" s="1"/>
  <c r="BC22" i="69"/>
  <c r="AW11" i="74" s="1"/>
  <c r="BD22" i="69"/>
  <c r="AX11" i="74" s="1"/>
  <c r="Q100" i="78" s="1"/>
  <c r="BE22" i="69"/>
  <c r="AY11" i="74" s="1"/>
  <c r="R100" i="78" s="1"/>
  <c r="X100" i="78" s="1"/>
  <c r="BF22" i="69"/>
  <c r="AZ11" i="74" s="1"/>
  <c r="BG22" i="69"/>
  <c r="BA11" i="74" s="1"/>
  <c r="BJ22" i="69"/>
  <c r="BD11" i="74" s="1"/>
  <c r="BK22" i="69"/>
  <c r="BE11" i="74" s="1"/>
  <c r="BL22" i="69"/>
  <c r="BF11" i="74" s="1"/>
  <c r="Q117" i="78" s="1"/>
  <c r="BM22" i="69"/>
  <c r="BG11" i="74" s="1"/>
  <c r="BN22" i="69"/>
  <c r="BH11" i="74" s="1"/>
  <c r="BO22" i="69"/>
  <c r="BI11" i="74" s="1"/>
  <c r="BP22" i="69"/>
  <c r="BJ11" i="74" s="1"/>
  <c r="Q129" i="78" s="1"/>
  <c r="BQ22" i="69"/>
  <c r="BK11" i="74" s="1"/>
  <c r="R129" i="78" s="1"/>
  <c r="X129" i="78" s="1"/>
  <c r="BR22" i="69"/>
  <c r="BL11" i="74" s="1"/>
  <c r="BS22" i="69"/>
  <c r="BM11" i="74" s="1"/>
  <c r="BT22" i="69"/>
  <c r="BU22" i="69"/>
  <c r="BO11" i="74" s="1"/>
  <c r="R133" i="78" s="1"/>
  <c r="X133" i="78" s="1"/>
  <c r="BV22" i="69"/>
  <c r="BP11" i="74" s="1"/>
  <c r="BW22" i="69"/>
  <c r="BQ11" i="74" s="1"/>
  <c r="BX22" i="69"/>
  <c r="BR11" i="74" s="1"/>
  <c r="BY22" i="69"/>
  <c r="BS11" i="74" s="1"/>
  <c r="BZ22" i="69"/>
  <c r="BT11" i="74" s="1"/>
  <c r="CA22" i="69"/>
  <c r="BU11" i="74" s="1"/>
  <c r="CB22" i="69"/>
  <c r="BV11" i="74" s="1"/>
  <c r="CC22" i="69"/>
  <c r="BW11" i="74" s="1"/>
  <c r="CD22" i="69"/>
  <c r="BX11" i="74" s="1"/>
  <c r="CE22" i="69"/>
  <c r="BY11" i="74" s="1"/>
  <c r="CF22" i="69"/>
  <c r="BZ11" i="74" s="1"/>
  <c r="CG22" i="69"/>
  <c r="CA11" i="74" s="1"/>
  <c r="CH22" i="69"/>
  <c r="CB11" i="74" s="1"/>
  <c r="CI22" i="69"/>
  <c r="CC11" i="74" s="1"/>
  <c r="CJ22" i="69"/>
  <c r="CD11" i="74" s="1"/>
  <c r="CK22" i="69"/>
  <c r="CE11" i="74" s="1"/>
  <c r="Q147" i="78" s="1"/>
  <c r="CL22" i="69"/>
  <c r="CM22" i="69"/>
  <c r="CN22" i="69"/>
  <c r="CH11" i="74" s="1"/>
  <c r="S147" i="78" s="1" a="1"/>
  <c r="S147" i="78" s="1"/>
  <c r="X147" i="78" s="1"/>
  <c r="CO22" i="69"/>
  <c r="CI11" i="74" s="1"/>
  <c r="Q154" i="78" s="1"/>
  <c r="CP22" i="69"/>
  <c r="CQ22" i="69"/>
  <c r="CR22" i="69"/>
  <c r="CL11" i="74" s="1"/>
  <c r="S154" i="78" s="1"/>
  <c r="X154" i="78" s="1"/>
  <c r="CS22" i="69"/>
  <c r="CM11" i="74" s="1"/>
  <c r="CT22" i="69"/>
  <c r="CU22" i="69"/>
  <c r="CV22" i="69"/>
  <c r="CP11" i="74" s="1"/>
  <c r="CW22" i="69"/>
  <c r="CQ11" i="74" s="1"/>
  <c r="CX22" i="69"/>
  <c r="CY22" i="69"/>
  <c r="CZ22" i="69"/>
  <c r="DA22" i="69"/>
  <c r="DB22" i="69"/>
  <c r="DC22" i="69"/>
  <c r="K22" i="69"/>
  <c r="K22" i="68"/>
  <c r="O22" i="68"/>
  <c r="I6" i="74" s="1"/>
  <c r="L22" i="68"/>
  <c r="F6" i="74" s="1"/>
  <c r="M22" i="68"/>
  <c r="G6" i="74" s="1"/>
  <c r="N22" i="68"/>
  <c r="H6" i="74" s="1"/>
  <c r="P22" i="68"/>
  <c r="J6" i="74" s="1"/>
  <c r="Q22" i="68"/>
  <c r="K6" i="74" s="1"/>
  <c r="R22" i="68"/>
  <c r="L6" i="74" s="1"/>
  <c r="S22" i="68"/>
  <c r="M6" i="74" s="1"/>
  <c r="T22" i="68"/>
  <c r="N6" i="74" s="1"/>
  <c r="U22" i="68"/>
  <c r="O6" i="74" s="1"/>
  <c r="V22" i="68"/>
  <c r="P6" i="74" s="1"/>
  <c r="W22" i="68"/>
  <c r="Q6" i="74" s="1"/>
  <c r="X22" i="68"/>
  <c r="R6" i="74" s="1"/>
  <c r="Y22" i="68"/>
  <c r="S6" i="74" s="1"/>
  <c r="Z22" i="68"/>
  <c r="T6" i="74" s="1"/>
  <c r="AA22" i="68"/>
  <c r="U6" i="74" s="1"/>
  <c r="AB22" i="68"/>
  <c r="V6" i="74" s="1"/>
  <c r="Q46" i="78" s="1"/>
  <c r="AC22" i="68"/>
  <c r="W6" i="74" s="1"/>
  <c r="AD22" i="68"/>
  <c r="X6" i="74" s="1"/>
  <c r="AE22" i="68"/>
  <c r="Y6" i="74" s="1"/>
  <c r="AF22" i="68"/>
  <c r="Z6" i="74" s="1"/>
  <c r="Q52" i="78" s="1"/>
  <c r="AG22" i="68"/>
  <c r="AA6" i="74" s="1"/>
  <c r="R52" i="78" s="1"/>
  <c r="X52" i="78" s="1"/>
  <c r="AH22" i="68"/>
  <c r="AB6" i="74" s="1"/>
  <c r="AI22" i="68"/>
  <c r="AC6" i="74" s="1"/>
  <c r="AJ22" i="68"/>
  <c r="AD6" i="74" s="1"/>
  <c r="Q65" i="78" s="1"/>
  <c r="AK22" i="68"/>
  <c r="AE6" i="74" s="1"/>
  <c r="R65" i="78" s="1"/>
  <c r="X65" i="78" s="1"/>
  <c r="AL22" i="68"/>
  <c r="AF6" i="74" s="1"/>
  <c r="AM22" i="68"/>
  <c r="AG6" i="74" s="1"/>
  <c r="AN22" i="68"/>
  <c r="AH6" i="74" s="1"/>
  <c r="AO22" i="68"/>
  <c r="AI6" i="74" s="1"/>
  <c r="AP22" i="68"/>
  <c r="AJ6" i="74" s="1"/>
  <c r="AQ22" i="68"/>
  <c r="AK6" i="74" s="1"/>
  <c r="AR22" i="68"/>
  <c r="AL6" i="74" s="1"/>
  <c r="Q79" i="78" s="1"/>
  <c r="AS22" i="68"/>
  <c r="AM6" i="74" s="1"/>
  <c r="R79" i="78" s="1"/>
  <c r="X79" i="78" s="1"/>
  <c r="AT22" i="68"/>
  <c r="AN6" i="74" s="1"/>
  <c r="AU22" i="68"/>
  <c r="AO6" i="74" s="1"/>
  <c r="AV22" i="68"/>
  <c r="AP6" i="74" s="1"/>
  <c r="AW22" i="68"/>
  <c r="AQ6" i="74" s="1"/>
  <c r="AX22" i="68"/>
  <c r="AR6" i="74" s="1"/>
  <c r="AY22" i="68"/>
  <c r="AS6" i="74" s="1"/>
  <c r="AZ22" i="68"/>
  <c r="AT6" i="74" s="1"/>
  <c r="Q95" i="78" s="1"/>
  <c r="BA22" i="68"/>
  <c r="AU6" i="74" s="1"/>
  <c r="R95" i="78" s="1"/>
  <c r="X95" i="78" s="1"/>
  <c r="BB22" i="68"/>
  <c r="AV6" i="74" s="1"/>
  <c r="BC22" i="68"/>
  <c r="AW6" i="74" s="1"/>
  <c r="BD22" i="68"/>
  <c r="AX6" i="74" s="1"/>
  <c r="Q105" i="78" s="1"/>
  <c r="BE22" i="68"/>
  <c r="AY6" i="74" s="1"/>
  <c r="BF22" i="68"/>
  <c r="AZ6" i="74" s="1"/>
  <c r="BG22" i="68"/>
  <c r="BA6" i="74" s="1"/>
  <c r="BH22" i="68"/>
  <c r="BB6" i="74" s="1"/>
  <c r="BI22" i="68"/>
  <c r="BC6" i="74" s="1"/>
  <c r="BJ22" i="68"/>
  <c r="BD6" i="74" s="1"/>
  <c r="BK22" i="68"/>
  <c r="BE6" i="74" s="1"/>
  <c r="BL22" i="68"/>
  <c r="BF6" i="74" s="1"/>
  <c r="BM22" i="68"/>
  <c r="BG6" i="74" s="1"/>
  <c r="BN22" i="68"/>
  <c r="BH6" i="74" s="1"/>
  <c r="BO22" i="68"/>
  <c r="BI6" i="74" s="1"/>
  <c r="BP22" i="68"/>
  <c r="BJ6" i="74" s="1"/>
  <c r="Q125" i="78" s="1"/>
  <c r="BQ22" i="68"/>
  <c r="BK6" i="74" s="1"/>
  <c r="R125" i="78" s="1"/>
  <c r="X125" i="78" s="1"/>
  <c r="BR22" i="68"/>
  <c r="BL6" i="74" s="1"/>
  <c r="BS22" i="68"/>
  <c r="BM6" i="74" s="1"/>
  <c r="BT22" i="68"/>
  <c r="BN6" i="74" s="1"/>
  <c r="H131" i="78" s="1"/>
  <c r="BU22" i="68"/>
  <c r="BO6" i="74" s="1"/>
  <c r="I131" i="78" s="1"/>
  <c r="O131" i="78" s="1"/>
  <c r="BV22" i="68"/>
  <c r="BP6" i="74" s="1"/>
  <c r="BW22" i="68"/>
  <c r="BQ6" i="74" s="1"/>
  <c r="BX22" i="68"/>
  <c r="BR6" i="74" s="1"/>
  <c r="BY22" i="68"/>
  <c r="BS6" i="74" s="1"/>
  <c r="BZ22" i="68"/>
  <c r="BT6" i="74" s="1"/>
  <c r="CA22" i="68"/>
  <c r="BU6" i="74" s="1"/>
  <c r="CB22" i="68"/>
  <c r="BV6" i="74" s="1"/>
  <c r="CC22" i="68"/>
  <c r="BW6" i="74" s="1"/>
  <c r="CD22" i="68"/>
  <c r="BX6" i="74" s="1"/>
  <c r="CE22" i="68"/>
  <c r="CF22" i="68"/>
  <c r="BZ6" i="74" s="1"/>
  <c r="CG22" i="68"/>
  <c r="CH22" i="68"/>
  <c r="CI22" i="68"/>
  <c r="CJ22" i="68"/>
  <c r="CD6" i="74" s="1"/>
  <c r="S139" i="78" s="1"/>
  <c r="X139" i="78" s="1"/>
  <c r="CK22" i="68"/>
  <c r="CE6" i="74" s="1"/>
  <c r="CL22" i="68"/>
  <c r="CM22" i="68"/>
  <c r="CN22" i="68"/>
  <c r="CH6" i="74" s="1"/>
  <c r="CO22" i="68"/>
  <c r="CI6" i="74" s="1"/>
  <c r="CP22" i="68"/>
  <c r="CQ22" i="68"/>
  <c r="CR22" i="68"/>
  <c r="CL6" i="74" s="1"/>
  <c r="CS22" i="68"/>
  <c r="CM6" i="74" s="1"/>
  <c r="CT22" i="68"/>
  <c r="CU22" i="68"/>
  <c r="CV22" i="68"/>
  <c r="CP6" i="74" s="1"/>
  <c r="CW22" i="68"/>
  <c r="CX22" i="68"/>
  <c r="CY22" i="68"/>
  <c r="CZ22" i="68"/>
  <c r="DA22" i="68"/>
  <c r="DB22" i="68"/>
  <c r="DC22" i="68"/>
  <c r="H22" i="68"/>
  <c r="L22" i="22"/>
  <c r="F14" i="74" s="1"/>
  <c r="H12" i="78" s="1"/>
  <c r="AH79" i="78" s="1"/>
  <c r="AI79" i="78" s="1"/>
  <c r="M22" i="22"/>
  <c r="G14" i="74" s="1"/>
  <c r="I12" i="78" s="1"/>
  <c r="N22" i="22"/>
  <c r="H14" i="74" s="1"/>
  <c r="O22" i="22"/>
  <c r="I14" i="74" s="1"/>
  <c r="P22" i="22"/>
  <c r="J14" i="74" s="1"/>
  <c r="H21" i="78" s="1"/>
  <c r="Q22" i="22"/>
  <c r="K14" i="74" s="1"/>
  <c r="I21" i="78" s="1"/>
  <c r="R22" i="22"/>
  <c r="L14" i="74" s="1"/>
  <c r="S22" i="22"/>
  <c r="M14" i="74" s="1"/>
  <c r="T22" i="22"/>
  <c r="N14" i="74" s="1"/>
  <c r="H28" i="78" s="1"/>
  <c r="U22" i="22"/>
  <c r="O14" i="74" s="1"/>
  <c r="I28" i="78" s="1"/>
  <c r="V22" i="22"/>
  <c r="P14" i="74" s="1"/>
  <c r="W22" i="22"/>
  <c r="Q14" i="74" s="1"/>
  <c r="X22" i="22"/>
  <c r="R14" i="74" s="1"/>
  <c r="H40" i="78" s="1"/>
  <c r="Y22" i="22"/>
  <c r="S14" i="74" s="1"/>
  <c r="I40" i="78" s="1"/>
  <c r="Z22" i="22"/>
  <c r="T14" i="74" s="1"/>
  <c r="AA22" i="22"/>
  <c r="U14" i="74" s="1"/>
  <c r="AB22" i="22"/>
  <c r="V14" i="74" s="1"/>
  <c r="H44" i="78" s="1"/>
  <c r="AC22" i="22"/>
  <c r="W14" i="74" s="1"/>
  <c r="I44" i="78" s="1"/>
  <c r="AD22" i="22"/>
  <c r="X14" i="74" s="1"/>
  <c r="AE22" i="22"/>
  <c r="Y14" i="74" s="1"/>
  <c r="AF22" i="22"/>
  <c r="Z14" i="74" s="1"/>
  <c r="H58" i="78" s="1"/>
  <c r="AG22" i="22"/>
  <c r="AA14" i="74" s="1"/>
  <c r="I58" i="78" s="1"/>
  <c r="AH22" i="22"/>
  <c r="AB14" i="74" s="1"/>
  <c r="AI22" i="22"/>
  <c r="AC14" i="74" s="1"/>
  <c r="AJ22" i="22"/>
  <c r="AD14" i="74" s="1"/>
  <c r="H59" i="78" s="1"/>
  <c r="AK22" i="22"/>
  <c r="AE14" i="74" s="1"/>
  <c r="I59" i="78" s="1"/>
  <c r="AL22" i="22"/>
  <c r="AF14" i="74" s="1"/>
  <c r="AM22" i="22"/>
  <c r="AG14" i="74" s="1"/>
  <c r="AN22" i="22"/>
  <c r="AH14" i="74" s="1"/>
  <c r="H73" i="78" s="1"/>
  <c r="AO22" i="22"/>
  <c r="AI14" i="74" s="1"/>
  <c r="I73" i="78" s="1"/>
  <c r="AP22" i="22"/>
  <c r="AJ14" i="74" s="1"/>
  <c r="AQ22" i="22"/>
  <c r="AK14" i="74" s="1"/>
  <c r="AR22" i="22"/>
  <c r="AL14" i="74" s="1"/>
  <c r="H80" i="78" s="1"/>
  <c r="AS22" i="22"/>
  <c r="AM14" i="74" s="1"/>
  <c r="I80" i="78" s="1"/>
  <c r="AT22" i="22"/>
  <c r="AN14" i="74" s="1"/>
  <c r="AU22" i="22"/>
  <c r="AO14" i="74" s="1"/>
  <c r="AV22" i="22"/>
  <c r="AP14" i="74" s="1"/>
  <c r="H89" i="78" s="1"/>
  <c r="AW22" i="22"/>
  <c r="AQ14" i="74" s="1"/>
  <c r="I89" i="78" s="1"/>
  <c r="AX22" i="22"/>
  <c r="AR14" i="74" s="1"/>
  <c r="AY22" i="22"/>
  <c r="AS14" i="74" s="1"/>
  <c r="AZ22" i="22"/>
  <c r="AT14" i="74" s="1"/>
  <c r="H96" i="78" s="1"/>
  <c r="BA22" i="22"/>
  <c r="AU14" i="74" s="1"/>
  <c r="I96" i="78" s="1"/>
  <c r="BB22" i="22"/>
  <c r="AV14" i="74" s="1"/>
  <c r="BC22" i="22"/>
  <c r="AW14" i="74" s="1"/>
  <c r="BD22" i="22"/>
  <c r="AX14" i="74" s="1"/>
  <c r="H104" i="78" s="1"/>
  <c r="BE22" i="22"/>
  <c r="AY14" i="74" s="1"/>
  <c r="I104" i="78" s="1"/>
  <c r="BF22" i="22"/>
  <c r="AZ14" i="74" s="1"/>
  <c r="BG22" i="22"/>
  <c r="BA14" i="74" s="1"/>
  <c r="BH22" i="22"/>
  <c r="BB14" i="74" s="1"/>
  <c r="H112" i="78" s="1"/>
  <c r="BI22" i="22"/>
  <c r="BC14" i="74" s="1"/>
  <c r="I112" i="78" s="1"/>
  <c r="BJ22" i="22"/>
  <c r="BD14" i="74" s="1"/>
  <c r="BK22" i="22"/>
  <c r="BE14" i="74" s="1"/>
  <c r="BL22" i="22"/>
  <c r="BF14" i="74" s="1"/>
  <c r="H120" i="78" s="1"/>
  <c r="BM22" i="22"/>
  <c r="BG14" i="74" s="1"/>
  <c r="I120" i="78" s="1"/>
  <c r="BN22" i="22"/>
  <c r="BH14" i="74" s="1"/>
  <c r="BO22" i="22"/>
  <c r="BI14" i="74" s="1"/>
  <c r="BP22" i="22"/>
  <c r="BJ14" i="74" s="1"/>
  <c r="H125" i="78" s="1"/>
  <c r="BQ22" i="22"/>
  <c r="BK14" i="74" s="1"/>
  <c r="I125" i="78" s="1"/>
  <c r="BR22" i="22"/>
  <c r="BL14" i="74" s="1"/>
  <c r="J125" i="78" s="1"/>
  <c r="BS22" i="22"/>
  <c r="BT22" i="22"/>
  <c r="BN14" i="74" s="1"/>
  <c r="H133" i="78" s="1"/>
  <c r="BU22" i="22"/>
  <c r="BO14" i="74" s="1"/>
  <c r="I133" i="78" s="1"/>
  <c r="O133" i="78" s="1"/>
  <c r="BV22" i="22"/>
  <c r="BP14" i="74" s="1"/>
  <c r="BW22" i="22"/>
  <c r="BQ14" i="74" s="1"/>
  <c r="BX22" i="22"/>
  <c r="BR14" i="74" s="1"/>
  <c r="H139" i="78" s="1"/>
  <c r="BY22" i="22"/>
  <c r="BS14" i="74" s="1"/>
  <c r="I139" i="78" s="1"/>
  <c r="O139" i="78" s="1"/>
  <c r="BZ22" i="22"/>
  <c r="BT14" i="74" s="1"/>
  <c r="CA22" i="22"/>
  <c r="BU14" i="74" s="1"/>
  <c r="CB22" i="22"/>
  <c r="BV14" i="74" s="1"/>
  <c r="CC22" i="22"/>
  <c r="BW14" i="74" s="1"/>
  <c r="CD22" i="22"/>
  <c r="BX14" i="74" s="1"/>
  <c r="CE22" i="22"/>
  <c r="BY14" i="74" s="1"/>
  <c r="CF22" i="22"/>
  <c r="BZ14" i="74" s="1"/>
  <c r="CG22" i="22"/>
  <c r="CA14" i="74" s="1"/>
  <c r="CH22" i="22"/>
  <c r="CB14" i="74" s="1"/>
  <c r="CI22" i="22"/>
  <c r="CC14" i="74" s="1"/>
  <c r="CJ22" i="22"/>
  <c r="CD14" i="74" s="1"/>
  <c r="CK22" i="22"/>
  <c r="CE14" i="74" s="1"/>
  <c r="CL22" i="22"/>
  <c r="CF14" i="74" s="1"/>
  <c r="CM22" i="22"/>
  <c r="CG14" i="74" s="1"/>
  <c r="CN22" i="22"/>
  <c r="CH14" i="74" s="1"/>
  <c r="CO22" i="22"/>
  <c r="CI14" i="74" s="1"/>
  <c r="CP22" i="22"/>
  <c r="CJ14" i="74" s="1"/>
  <c r="CQ22" i="22"/>
  <c r="CK14" i="74" s="1"/>
  <c r="CR22" i="22"/>
  <c r="CL14" i="74" s="1"/>
  <c r="CS22" i="22"/>
  <c r="CM14" i="74" s="1"/>
  <c r="CT22" i="22"/>
  <c r="CN14" i="74" s="1"/>
  <c r="CU22" i="22"/>
  <c r="CO14" i="74" s="1"/>
  <c r="CV22" i="22"/>
  <c r="CP14" i="74" s="1"/>
  <c r="CW22" i="22"/>
  <c r="CQ14" i="74" s="1"/>
  <c r="CX22" i="22"/>
  <c r="CR14" i="74" s="1"/>
  <c r="CY22" i="22"/>
  <c r="CS14" i="74" s="1"/>
  <c r="CZ22" i="22"/>
  <c r="CT14" i="74" s="1"/>
  <c r="DA22" i="22"/>
  <c r="CU14" i="74" s="1"/>
  <c r="DB22" i="22"/>
  <c r="CV14" i="74" s="1"/>
  <c r="DC22" i="22"/>
  <c r="CW14" i="74" s="1"/>
  <c r="K22" i="22"/>
  <c r="E14" i="74" s="1"/>
  <c r="I22" i="59"/>
  <c r="C18" i="74" s="1"/>
  <c r="M154" i="78" l="1"/>
  <c r="K154" i="78"/>
  <c r="L154" i="78"/>
  <c r="U154" i="78"/>
  <c r="V154" i="78"/>
  <c r="T154" i="78"/>
  <c r="K147" i="78"/>
  <c r="T147" i="78"/>
  <c r="M147" i="78"/>
  <c r="U147" i="78"/>
  <c r="L147" i="78"/>
  <c r="V147" i="78"/>
  <c r="T139" i="78"/>
  <c r="U139" i="78"/>
  <c r="L139" i="78"/>
  <c r="V139" i="78"/>
  <c r="M139" i="78"/>
  <c r="K139" i="78"/>
  <c r="O125" i="78"/>
  <c r="L131" i="78"/>
  <c r="K131" i="78"/>
  <c r="U131" i="78"/>
  <c r="V131" i="78"/>
  <c r="T131" i="78"/>
  <c r="M131" i="78"/>
  <c r="T129" i="78"/>
  <c r="K129" i="78"/>
  <c r="U129" i="78"/>
  <c r="M129" i="78"/>
  <c r="V129" i="78"/>
  <c r="L129" i="78"/>
  <c r="J120" i="78"/>
  <c r="O120" i="78" s="1"/>
  <c r="J112" i="78"/>
  <c r="O112" i="78" s="1"/>
  <c r="J104" i="78"/>
  <c r="O104" i="78" s="1"/>
  <c r="J96" i="78"/>
  <c r="O96" i="78" s="1"/>
  <c r="J89" i="78"/>
  <c r="O89" i="78" s="1"/>
  <c r="J80" i="78"/>
  <c r="O80" i="78" s="1"/>
  <c r="J73" i="78"/>
  <c r="O73" i="78" s="1"/>
  <c r="J59" i="78"/>
  <c r="O59" i="78" s="1"/>
  <c r="J58" i="78"/>
  <c r="O58" i="78" s="1"/>
  <c r="J44" i="78"/>
  <c r="O44" i="78" s="1"/>
  <c r="J40" i="78"/>
  <c r="O40" i="78" s="1"/>
  <c r="J28" i="78"/>
  <c r="O28" i="78" s="1"/>
  <c r="J21" i="78"/>
  <c r="O21" i="78" s="1"/>
  <c r="J12" i="78"/>
  <c r="O12" i="78" s="1"/>
  <c r="BO23" i="74"/>
  <c r="I23" i="74"/>
  <c r="T125" i="78"/>
  <c r="L125" i="78"/>
  <c r="V125" i="78"/>
  <c r="U125" i="78"/>
  <c r="M125" i="78"/>
  <c r="K125" i="78"/>
  <c r="T44" i="78"/>
  <c r="L44" i="78"/>
  <c r="K44" i="78"/>
  <c r="M44" i="78"/>
  <c r="V44" i="78"/>
  <c r="U44" i="78"/>
  <c r="U40" i="78"/>
  <c r="M40" i="78"/>
  <c r="K40" i="78"/>
  <c r="V40" i="78"/>
  <c r="T40" i="78"/>
  <c r="L40" i="78"/>
  <c r="T28" i="78"/>
  <c r="K28" i="78"/>
  <c r="M28" i="78"/>
  <c r="V28" i="78"/>
  <c r="L28" i="78"/>
  <c r="U28" i="78"/>
  <c r="V21" i="78"/>
  <c r="L21" i="78"/>
  <c r="K21" i="78"/>
  <c r="M21" i="78"/>
  <c r="U21" i="78"/>
  <c r="T21" i="78"/>
  <c r="T12" i="78"/>
  <c r="AD79" i="78" s="1"/>
  <c r="K12" i="78"/>
  <c r="L12" i="78"/>
  <c r="M12" i="78"/>
  <c r="V12" i="78"/>
  <c r="AF79" i="78" s="1"/>
  <c r="U12" i="78"/>
  <c r="AE79" i="78" s="1"/>
  <c r="K128" i="78"/>
  <c r="M128" i="78"/>
  <c r="U128" i="78"/>
  <c r="L128" i="78"/>
  <c r="T128" i="78"/>
  <c r="V128" i="78"/>
  <c r="S120" i="78"/>
  <c r="S108" i="78"/>
  <c r="Q108" i="78"/>
  <c r="AH81" i="78" s="1"/>
  <c r="AI81" i="78" s="1"/>
  <c r="Q120" i="78"/>
  <c r="U120" i="78" s="1"/>
  <c r="R120" i="78"/>
  <c r="R108" i="78"/>
  <c r="L118" i="78"/>
  <c r="U118" i="78"/>
  <c r="M118" i="78"/>
  <c r="K118" i="78"/>
  <c r="T118" i="78"/>
  <c r="V118" i="78"/>
  <c r="BG23" i="74"/>
  <c r="R117" i="78"/>
  <c r="X117" i="78" s="1"/>
  <c r="K117" i="78"/>
  <c r="M117" i="78"/>
  <c r="U117" i="78"/>
  <c r="T117" i="78"/>
  <c r="L117" i="78"/>
  <c r="V117" i="78"/>
  <c r="L110" i="78"/>
  <c r="T110" i="78"/>
  <c r="M110" i="78"/>
  <c r="V110" i="78"/>
  <c r="K110" i="78"/>
  <c r="U110" i="78"/>
  <c r="M112" i="78"/>
  <c r="V112" i="78"/>
  <c r="T112" i="78"/>
  <c r="U112" i="78"/>
  <c r="AE87" i="78" s="1"/>
  <c r="L112" i="78"/>
  <c r="K112" i="78"/>
  <c r="AH87" i="78"/>
  <c r="AI87" i="78" s="1"/>
  <c r="M105" i="78"/>
  <c r="U105" i="78"/>
  <c r="K105" i="78"/>
  <c r="L105" i="78"/>
  <c r="T105" i="78"/>
  <c r="V105" i="78"/>
  <c r="U89" i="78"/>
  <c r="M89" i="78"/>
  <c r="T89" i="78"/>
  <c r="L89" i="78"/>
  <c r="V89" i="78"/>
  <c r="K89" i="78"/>
  <c r="L104" i="78"/>
  <c r="K104" i="78"/>
  <c r="M104" i="78"/>
  <c r="U104" i="78"/>
  <c r="V104" i="78"/>
  <c r="T104" i="78"/>
  <c r="U100" i="78"/>
  <c r="K100" i="78"/>
  <c r="V100" i="78"/>
  <c r="L100" i="78"/>
  <c r="T100" i="78"/>
  <c r="M100" i="78"/>
  <c r="U91" i="78"/>
  <c r="K91" i="78"/>
  <c r="V91" i="78"/>
  <c r="M91" i="78"/>
  <c r="L91" i="78"/>
  <c r="T91" i="78"/>
  <c r="K95" i="78"/>
  <c r="U95" i="78"/>
  <c r="V95" i="78"/>
  <c r="T95" i="78"/>
  <c r="M95" i="78"/>
  <c r="L95" i="78"/>
  <c r="AH78" i="78"/>
  <c r="V96" i="78"/>
  <c r="T96" i="78"/>
  <c r="K96" i="78"/>
  <c r="M96" i="78"/>
  <c r="L96" i="78"/>
  <c r="U96" i="78"/>
  <c r="V83" i="78"/>
  <c r="K83" i="78"/>
  <c r="M83" i="78"/>
  <c r="T83" i="78"/>
  <c r="U83" i="78"/>
  <c r="L83" i="78"/>
  <c r="L88" i="78"/>
  <c r="V88" i="78"/>
  <c r="M88" i="78"/>
  <c r="K88" i="78"/>
  <c r="U88" i="78"/>
  <c r="T88" i="78"/>
  <c r="AH92" i="78"/>
  <c r="AI92" i="78" s="1"/>
  <c r="AL83" i="78"/>
  <c r="V80" i="78"/>
  <c r="K80" i="78"/>
  <c r="U80" i="78"/>
  <c r="T80" i="78"/>
  <c r="M80" i="78"/>
  <c r="L80" i="78"/>
  <c r="AH83" i="78"/>
  <c r="L79" i="78"/>
  <c r="K79" i="78"/>
  <c r="T79" i="78"/>
  <c r="U79" i="78"/>
  <c r="M79" i="78"/>
  <c r="V79" i="78"/>
  <c r="AL90" i="78"/>
  <c r="M81" i="78"/>
  <c r="U81" i="78"/>
  <c r="T81" i="78"/>
  <c r="K81" i="78"/>
  <c r="V81" i="78"/>
  <c r="L81" i="78"/>
  <c r="AH93" i="78"/>
  <c r="AI93" i="78" s="1"/>
  <c r="V67" i="78"/>
  <c r="M67" i="78"/>
  <c r="T67" i="78"/>
  <c r="U67" i="78"/>
  <c r="L67" i="78"/>
  <c r="K67" i="78"/>
  <c r="K73" i="78"/>
  <c r="T73" i="78"/>
  <c r="U73" i="78"/>
  <c r="V73" i="78"/>
  <c r="M73" i="78"/>
  <c r="L73" i="78"/>
  <c r="AH90" i="78"/>
  <c r="V65" i="78"/>
  <c r="M65" i="78"/>
  <c r="U65" i="78"/>
  <c r="T65" i="78"/>
  <c r="K65" i="78"/>
  <c r="L65" i="78"/>
  <c r="K59" i="78"/>
  <c r="U59" i="78"/>
  <c r="L59" i="78"/>
  <c r="V59" i="78"/>
  <c r="T59" i="78"/>
  <c r="M59" i="78"/>
  <c r="AH82" i="78"/>
  <c r="AI82" i="78" s="1"/>
  <c r="K66" i="78"/>
  <c r="M66" i="78"/>
  <c r="L66" i="78"/>
  <c r="V66" i="78"/>
  <c r="T66" i="78"/>
  <c r="U66" i="78"/>
  <c r="K58" i="78"/>
  <c r="M58" i="78"/>
  <c r="T58" i="78"/>
  <c r="L58" i="78"/>
  <c r="U58" i="78"/>
  <c r="V58" i="78"/>
  <c r="AH89" i="78"/>
  <c r="AI89" i="78" s="1"/>
  <c r="L57" i="78"/>
  <c r="M57" i="78"/>
  <c r="U57" i="78"/>
  <c r="T57" i="78"/>
  <c r="AG90" i="78"/>
  <c r="V57" i="78"/>
  <c r="K57" i="78"/>
  <c r="AH88" i="78"/>
  <c r="AI88" i="78" s="1"/>
  <c r="AH85" i="78"/>
  <c r="AI85" i="78" s="1"/>
  <c r="K52" i="78"/>
  <c r="M52" i="78"/>
  <c r="U52" i="78"/>
  <c r="L52" i="78"/>
  <c r="T52" i="78"/>
  <c r="V52" i="78"/>
  <c r="M51" i="78"/>
  <c r="U51" i="78"/>
  <c r="AH80" i="78"/>
  <c r="AI80" i="78" s="1"/>
  <c r="V51" i="78"/>
  <c r="K51" i="78"/>
  <c r="L51" i="78"/>
  <c r="T51" i="78"/>
  <c r="L46" i="78"/>
  <c r="V46" i="78"/>
  <c r="U46" i="78"/>
  <c r="AH84" i="78"/>
  <c r="AI84" i="78" s="1"/>
  <c r="K46" i="78"/>
  <c r="T46" i="78"/>
  <c r="M46" i="78"/>
  <c r="BB23" i="74"/>
  <c r="BS23" i="74"/>
  <c r="BK23" i="74"/>
  <c r="BA23" i="74"/>
  <c r="AW23" i="74"/>
  <c r="AS23" i="74"/>
  <c r="AO23" i="74"/>
  <c r="AK23" i="74"/>
  <c r="AG23" i="74"/>
  <c r="AC23" i="74"/>
  <c r="Y23" i="74"/>
  <c r="U23" i="74"/>
  <c r="Q23" i="74"/>
  <c r="M23" i="74"/>
  <c r="AU23" i="74"/>
  <c r="AQ23" i="74"/>
  <c r="AM23" i="74"/>
  <c r="AI23" i="74"/>
  <c r="AE23" i="74"/>
  <c r="AA23" i="74"/>
  <c r="W23" i="74"/>
  <c r="S23" i="74"/>
  <c r="K23" i="74"/>
  <c r="G23" i="74"/>
  <c r="BC23" i="74"/>
  <c r="AY23" i="74"/>
  <c r="BR23" i="74"/>
  <c r="BF23" i="74"/>
  <c r="AZ23" i="74"/>
  <c r="AV23" i="74"/>
  <c r="AR23" i="74"/>
  <c r="AN23" i="74"/>
  <c r="AJ23" i="74"/>
  <c r="AF23" i="74"/>
  <c r="AB23" i="74"/>
  <c r="X23" i="74"/>
  <c r="T23" i="74"/>
  <c r="L23" i="74"/>
  <c r="H23" i="74"/>
  <c r="BQ23" i="74"/>
  <c r="BM23" i="74"/>
  <c r="BI23" i="74"/>
  <c r="BE23" i="74"/>
  <c r="BT23" i="74"/>
  <c r="BP23" i="74"/>
  <c r="BL23" i="74"/>
  <c r="BH23" i="74"/>
  <c r="BD23" i="74"/>
  <c r="AX23" i="74"/>
  <c r="AT23" i="74"/>
  <c r="AP23" i="74"/>
  <c r="AL23" i="74"/>
  <c r="AH23" i="74"/>
  <c r="AD23" i="74"/>
  <c r="Z23" i="74"/>
  <c r="V23" i="74"/>
  <c r="R23" i="74"/>
  <c r="N23" i="74"/>
  <c r="J23" i="74"/>
  <c r="F23" i="74"/>
  <c r="BN11" i="74"/>
  <c r="BJ23" i="74"/>
  <c r="G22" i="69"/>
  <c r="D22" i="59"/>
  <c r="D22" i="68"/>
  <c r="E6" i="74"/>
  <c r="G22" i="68"/>
  <c r="B18" i="74"/>
  <c r="G22" i="59"/>
  <c r="E18" i="74"/>
  <c r="E11" i="74"/>
  <c r="E23" i="74" s="1"/>
  <c r="E22" i="59"/>
  <c r="G22" i="22"/>
  <c r="L2" i="25"/>
  <c r="K2" i="25"/>
  <c r="J2" i="25"/>
  <c r="C151" i="21" s="1"/>
  <c r="I2" i="25"/>
  <c r="C136" i="21" s="1"/>
  <c r="H2" i="25"/>
  <c r="C121" i="21" s="1"/>
  <c r="G2" i="25"/>
  <c r="C106" i="21" s="1"/>
  <c r="C91" i="21"/>
  <c r="E2" i="25"/>
  <c r="C61" i="21"/>
  <c r="C2" i="25"/>
  <c r="C46" i="21" s="1"/>
  <c r="B2" i="25"/>
  <c r="C31" i="21" s="1"/>
  <c r="A2" i="25"/>
  <c r="AD80" i="78" l="1"/>
  <c r="BN23" i="74"/>
  <c r="Q133" i="78"/>
  <c r="AH86" i="78" s="1"/>
  <c r="AD87" i="78"/>
  <c r="AJ87" i="78" s="1"/>
  <c r="AB87" i="78" s="1"/>
  <c r="AP65" i="78" s="1"/>
  <c r="AF87" i="78"/>
  <c r="AF80" i="78"/>
  <c r="AJ79" i="78"/>
  <c r="AB79" i="78" s="1"/>
  <c r="AP57" i="78" s="1"/>
  <c r="AE80" i="78"/>
  <c r="X108" i="78"/>
  <c r="X120" i="78"/>
  <c r="AG78" i="78"/>
  <c r="AI78" i="78" s="1"/>
  <c r="K120" i="78"/>
  <c r="T120" i="78"/>
  <c r="L120" i="78"/>
  <c r="V120" i="78"/>
  <c r="M120" i="78"/>
  <c r="V108" i="78"/>
  <c r="L108" i="78"/>
  <c r="AE81" i="78" s="1"/>
  <c r="K108" i="78"/>
  <c r="AD81" i="78" s="1"/>
  <c r="T108" i="78"/>
  <c r="M108" i="78"/>
  <c r="AF81" i="78" s="1"/>
  <c r="U108" i="78"/>
  <c r="AE78" i="78" s="1"/>
  <c r="AE88" i="78"/>
  <c r="AD85" i="78"/>
  <c r="AE85" i="78"/>
  <c r="AD88" i="78"/>
  <c r="AD93" i="78"/>
  <c r="AF92" i="78"/>
  <c r="AF93" i="78"/>
  <c r="AE93" i="78"/>
  <c r="AD92" i="78"/>
  <c r="AE92" i="78"/>
  <c r="AD84" i="78"/>
  <c r="AF85" i="78"/>
  <c r="AF84" i="78"/>
  <c r="AE84" i="78"/>
  <c r="AF88" i="78"/>
  <c r="AF82" i="78"/>
  <c r="AD82" i="78"/>
  <c r="AE82" i="78"/>
  <c r="AD90" i="78"/>
  <c r="AI90" i="78"/>
  <c r="AE90" i="78"/>
  <c r="AF90" i="78"/>
  <c r="AE89" i="78"/>
  <c r="AD89" i="78"/>
  <c r="AF89" i="78"/>
  <c r="C180" i="21"/>
  <c r="C181" i="21"/>
  <c r="C16" i="21"/>
  <c r="C15" i="21"/>
  <c r="C165" i="21"/>
  <c r="C166" i="21"/>
  <c r="C76" i="21"/>
  <c r="C74" i="21"/>
  <c r="Y11" i="28"/>
  <c r="Y19" i="28"/>
  <c r="Y27" i="28"/>
  <c r="Y35" i="28"/>
  <c r="Y43" i="28"/>
  <c r="Y51" i="28"/>
  <c r="Y59" i="28"/>
  <c r="Y67" i="28"/>
  <c r="Y75" i="28"/>
  <c r="Y83" i="28"/>
  <c r="Y91" i="28"/>
  <c r="Y99" i="28"/>
  <c r="Y107" i="28"/>
  <c r="Y115" i="28"/>
  <c r="Y123" i="28"/>
  <c r="Y3" i="28"/>
  <c r="B1" i="28"/>
  <c r="AD78" i="78" l="1"/>
  <c r="AJ78" i="78" s="1"/>
  <c r="AJ80" i="78"/>
  <c r="AB80" i="78" s="1"/>
  <c r="AP58" i="78" s="1"/>
  <c r="K133" i="78"/>
  <c r="T133" i="78"/>
  <c r="AD83" i="78" s="1"/>
  <c r="M133" i="78"/>
  <c r="U133" i="78"/>
  <c r="AE83" i="78" s="1"/>
  <c r="V133" i="78"/>
  <c r="AF83" i="78" s="1"/>
  <c r="AG83" i="78"/>
  <c r="AI83" i="78" s="1"/>
  <c r="L133" i="78"/>
  <c r="AL78" i="78"/>
  <c r="AF78" i="78"/>
  <c r="AJ88" i="78"/>
  <c r="AB88" i="78" s="1"/>
  <c r="AP66" i="78" s="1"/>
  <c r="AJ85" i="78"/>
  <c r="AB85" i="78" s="1"/>
  <c r="AP63" i="78" s="1"/>
  <c r="AJ81" i="78"/>
  <c r="AB81" i="78" s="1"/>
  <c r="AP59" i="78" s="1"/>
  <c r="AJ93" i="78"/>
  <c r="AB93" i="78" s="1"/>
  <c r="AP71" i="78" s="1"/>
  <c r="AJ92" i="78"/>
  <c r="AB92" i="78" s="1"/>
  <c r="AP70" i="78" s="1"/>
  <c r="AJ84" i="78"/>
  <c r="AB84" i="78" s="1"/>
  <c r="AP62" i="78" s="1"/>
  <c r="AJ82" i="78"/>
  <c r="AB82" i="78" s="1"/>
  <c r="AP60" i="78" s="1"/>
  <c r="AJ90" i="78"/>
  <c r="AB90" i="78" s="1"/>
  <c r="AP68" i="78" s="1"/>
  <c r="AJ89" i="78"/>
  <c r="AB89" i="78" s="1"/>
  <c r="AP67" i="78" s="1"/>
  <c r="F1" i="28"/>
  <c r="E1" i="28"/>
  <c r="G1" i="28"/>
  <c r="AJ83" i="78" l="1"/>
  <c r="AB83" i="78" s="1"/>
  <c r="AP61" i="78" s="1"/>
  <c r="AB78" i="78"/>
  <c r="AP56" i="78" s="1"/>
  <c r="D1" i="28"/>
  <c r="C1" i="28"/>
  <c r="D176" i="28" l="1"/>
  <c r="D177" i="28"/>
  <c r="D172" i="28"/>
  <c r="S172" i="28" s="1"/>
  <c r="D173" i="28"/>
  <c r="D174" i="28"/>
  <c r="D175" i="28"/>
  <c r="J100" i="28"/>
  <c r="S110" i="28"/>
  <c r="S114" i="28"/>
  <c r="D3" i="28"/>
  <c r="H3" i="28" s="1"/>
  <c r="S25" i="28"/>
  <c r="H6" i="28"/>
  <c r="S57" i="28"/>
  <c r="S41" i="28"/>
  <c r="S49" i="28"/>
  <c r="S17" i="28"/>
  <c r="S33" i="28"/>
  <c r="R123" i="28"/>
  <c r="S67" i="28"/>
  <c r="S59" i="28"/>
  <c r="S83" i="28"/>
  <c r="S38" i="28"/>
  <c r="S43" i="28"/>
  <c r="S40" i="28"/>
  <c r="S14" i="28"/>
  <c r="S44" i="28"/>
  <c r="S50" i="28"/>
  <c r="S45" i="28"/>
  <c r="S19" i="28"/>
  <c r="S37" i="28"/>
  <c r="S42" i="28"/>
  <c r="S23" i="28"/>
  <c r="S91" i="28"/>
  <c r="S26" i="28"/>
  <c r="S56" i="28"/>
  <c r="S53" i="28"/>
  <c r="S29" i="28"/>
  <c r="S31" i="28"/>
  <c r="H7" i="28"/>
  <c r="S34" i="28"/>
  <c r="S18" i="28"/>
  <c r="S22" i="28"/>
  <c r="S51" i="28"/>
  <c r="S36" i="28"/>
  <c r="S48" i="28"/>
  <c r="S54" i="28"/>
  <c r="S58" i="28"/>
  <c r="S55" i="28"/>
  <c r="S39" i="28"/>
  <c r="S52" i="28"/>
  <c r="S27" i="28"/>
  <c r="S32" i="28"/>
  <c r="H8" i="28"/>
  <c r="S35" i="28"/>
  <c r="S28" i="28"/>
  <c r="S46" i="28"/>
  <c r="S47" i="28"/>
  <c r="S24" i="28"/>
  <c r="S30" i="28"/>
  <c r="S99" i="28"/>
  <c r="S15" i="28"/>
  <c r="S115" i="28"/>
  <c r="S20" i="28"/>
  <c r="H4" i="28"/>
  <c r="S21" i="28"/>
  <c r="S12" i="28"/>
  <c r="S11" i="28"/>
  <c r="S13" i="28"/>
  <c r="S16" i="28"/>
  <c r="H5" i="28"/>
  <c r="Q138" i="28"/>
  <c r="Q153" i="28"/>
  <c r="S130" i="28"/>
  <c r="S151" i="28"/>
  <c r="S144" i="28"/>
  <c r="S165" i="28"/>
  <c r="Q164" i="28"/>
  <c r="W177" i="28" l="1"/>
  <c r="S176" i="28"/>
  <c r="W176" i="28"/>
  <c r="Q177" i="28"/>
  <c r="R177" i="28"/>
  <c r="S177" i="28"/>
  <c r="Q176" i="28"/>
  <c r="R176" i="28"/>
  <c r="J177" i="28"/>
  <c r="J176" i="28"/>
  <c r="H177" i="28"/>
  <c r="I177" i="28"/>
  <c r="I176" i="28"/>
  <c r="H176" i="28"/>
  <c r="N176" i="28"/>
  <c r="N177" i="28"/>
  <c r="S175" i="28"/>
  <c r="W175" i="28"/>
  <c r="R175" i="28"/>
  <c r="H175" i="28"/>
  <c r="J175" i="28"/>
  <c r="N175" i="28"/>
  <c r="I175" i="28"/>
  <c r="Q175" i="28"/>
  <c r="M175" i="28" s="1"/>
  <c r="I174" i="28"/>
  <c r="Q174" i="28"/>
  <c r="J174" i="28"/>
  <c r="N174" i="28"/>
  <c r="R174" i="28"/>
  <c r="S174" i="28"/>
  <c r="W174" i="28"/>
  <c r="H174" i="28"/>
  <c r="S173" i="28"/>
  <c r="W173" i="28"/>
  <c r="R173" i="28"/>
  <c r="H173" i="28"/>
  <c r="N173" i="28"/>
  <c r="I173" i="28"/>
  <c r="Q173" i="28"/>
  <c r="J173" i="28"/>
  <c r="Q172" i="28"/>
  <c r="R172" i="28"/>
  <c r="J172" i="28"/>
  <c r="H172" i="28"/>
  <c r="I172" i="28"/>
  <c r="Q168" i="28"/>
  <c r="R168" i="28"/>
  <c r="S168" i="28"/>
  <c r="W168" i="28"/>
  <c r="Q166" i="28"/>
  <c r="R166" i="28"/>
  <c r="S166" i="28"/>
  <c r="W166" i="28"/>
  <c r="Q170" i="28"/>
  <c r="R170" i="28"/>
  <c r="S170" i="28"/>
  <c r="W170" i="28"/>
  <c r="Q167" i="28"/>
  <c r="R167" i="28"/>
  <c r="S167" i="28"/>
  <c r="W167" i="28"/>
  <c r="Q169" i="28"/>
  <c r="R169" i="28"/>
  <c r="S169" i="28"/>
  <c r="W169" i="28"/>
  <c r="Q171" i="28"/>
  <c r="R171" i="28"/>
  <c r="S171" i="28"/>
  <c r="W171" i="28"/>
  <c r="H170" i="28"/>
  <c r="L170" i="28" s="1"/>
  <c r="N170" i="28"/>
  <c r="I170" i="28"/>
  <c r="J170" i="28"/>
  <c r="H167" i="28"/>
  <c r="T167" i="28" s="1"/>
  <c r="J167" i="28"/>
  <c r="I167" i="28"/>
  <c r="N167" i="28"/>
  <c r="H169" i="28"/>
  <c r="N169" i="28"/>
  <c r="I169" i="28"/>
  <c r="J169" i="28"/>
  <c r="H168" i="28"/>
  <c r="N168" i="28"/>
  <c r="I168" i="28"/>
  <c r="J168" i="28"/>
  <c r="H166" i="28"/>
  <c r="I166" i="28"/>
  <c r="J166" i="28"/>
  <c r="N166" i="28"/>
  <c r="H171" i="28"/>
  <c r="J171" i="28"/>
  <c r="I171" i="28"/>
  <c r="N171" i="28"/>
  <c r="Q165" i="28"/>
  <c r="R165" i="28"/>
  <c r="J165" i="28"/>
  <c r="H165" i="28"/>
  <c r="I165" i="28"/>
  <c r="N172" i="28"/>
  <c r="Q157" i="28"/>
  <c r="R157" i="28"/>
  <c r="S157" i="28"/>
  <c r="W157" i="28"/>
  <c r="H157" i="28"/>
  <c r="M157" i="28" s="1"/>
  <c r="I157" i="28"/>
  <c r="J157" i="28"/>
  <c r="N157" i="28"/>
  <c r="R159" i="28"/>
  <c r="S159" i="28"/>
  <c r="Q159" i="28"/>
  <c r="S161" i="28"/>
  <c r="Q161" i="28"/>
  <c r="R161" i="28"/>
  <c r="Q162" i="28"/>
  <c r="R162" i="28"/>
  <c r="S162" i="28"/>
  <c r="S164" i="28"/>
  <c r="R164" i="28"/>
  <c r="R163" i="28"/>
  <c r="S163" i="28"/>
  <c r="Q163" i="28"/>
  <c r="Q158" i="28"/>
  <c r="R158" i="28"/>
  <c r="S158" i="28"/>
  <c r="S160" i="28"/>
  <c r="R160" i="28"/>
  <c r="Q160" i="28"/>
  <c r="J158" i="28"/>
  <c r="H161" i="28"/>
  <c r="I161" i="28"/>
  <c r="J161" i="28"/>
  <c r="H159" i="28"/>
  <c r="I159" i="28"/>
  <c r="J159" i="28"/>
  <c r="H162" i="28"/>
  <c r="I162" i="28"/>
  <c r="J162" i="28"/>
  <c r="H164" i="28"/>
  <c r="I164" i="28"/>
  <c r="J164" i="28"/>
  <c r="H163" i="28"/>
  <c r="I163" i="28"/>
  <c r="J163" i="28"/>
  <c r="H160" i="28"/>
  <c r="I160" i="28"/>
  <c r="J160" i="28"/>
  <c r="H158" i="28"/>
  <c r="I158" i="28"/>
  <c r="W158" i="28"/>
  <c r="N158" i="28"/>
  <c r="J155" i="28"/>
  <c r="H155" i="28"/>
  <c r="I155" i="28"/>
  <c r="J154" i="28"/>
  <c r="I154" i="28"/>
  <c r="H154" i="28"/>
  <c r="H152" i="28"/>
  <c r="I152" i="28"/>
  <c r="J152" i="28"/>
  <c r="I153" i="28"/>
  <c r="J153" i="28"/>
  <c r="H153" i="28"/>
  <c r="H156" i="28"/>
  <c r="I156" i="28"/>
  <c r="J156" i="28"/>
  <c r="Q156" i="28"/>
  <c r="R156" i="28"/>
  <c r="S156" i="28"/>
  <c r="S155" i="28"/>
  <c r="Q155" i="28"/>
  <c r="R155" i="28"/>
  <c r="S154" i="28"/>
  <c r="R154" i="28"/>
  <c r="Q154" i="28"/>
  <c r="Q152" i="28"/>
  <c r="R152" i="28"/>
  <c r="S152" i="28"/>
  <c r="R153" i="28"/>
  <c r="S153" i="28"/>
  <c r="Q151" i="28"/>
  <c r="R151" i="28"/>
  <c r="Q148" i="28"/>
  <c r="R148" i="28"/>
  <c r="S148" i="28"/>
  <c r="W148" i="28"/>
  <c r="Q145" i="28"/>
  <c r="R145" i="28"/>
  <c r="S145" i="28"/>
  <c r="W145" i="28"/>
  <c r="Q147" i="28"/>
  <c r="R147" i="28"/>
  <c r="S147" i="28"/>
  <c r="W147" i="28"/>
  <c r="Q150" i="28"/>
  <c r="R150" i="28"/>
  <c r="S150" i="28"/>
  <c r="W150" i="28"/>
  <c r="Q149" i="28"/>
  <c r="R149" i="28"/>
  <c r="S149" i="28"/>
  <c r="W149" i="28"/>
  <c r="Q146" i="28"/>
  <c r="R146" i="28"/>
  <c r="S146" i="28"/>
  <c r="W146" i="28"/>
  <c r="Q144" i="28"/>
  <c r="R144" i="28"/>
  <c r="J144" i="28"/>
  <c r="N144" i="28"/>
  <c r="N145" i="28"/>
  <c r="N148" i="28"/>
  <c r="N147" i="28"/>
  <c r="N150" i="28"/>
  <c r="N149" i="28"/>
  <c r="N146" i="28"/>
  <c r="H145" i="28"/>
  <c r="I145" i="28"/>
  <c r="J145" i="28"/>
  <c r="H148" i="28"/>
  <c r="J148" i="28"/>
  <c r="I148" i="28"/>
  <c r="J147" i="28"/>
  <c r="I147" i="28"/>
  <c r="H147" i="28"/>
  <c r="I150" i="28"/>
  <c r="J150" i="28"/>
  <c r="H150" i="28"/>
  <c r="H149" i="28"/>
  <c r="I149" i="28"/>
  <c r="J149" i="28"/>
  <c r="I146" i="28"/>
  <c r="J146" i="28"/>
  <c r="H146" i="28"/>
  <c r="H144" i="28"/>
  <c r="M144" i="28" s="1"/>
  <c r="I144" i="28"/>
  <c r="S141" i="28"/>
  <c r="Q141" i="28"/>
  <c r="R141" i="28"/>
  <c r="R143" i="28"/>
  <c r="Q143" i="28"/>
  <c r="S143" i="28"/>
  <c r="R138" i="28"/>
  <c r="S138" i="28"/>
  <c r="R139" i="28"/>
  <c r="Q139" i="28"/>
  <c r="S139" i="28"/>
  <c r="Q142" i="28"/>
  <c r="R142" i="28"/>
  <c r="S142" i="28"/>
  <c r="S140" i="28"/>
  <c r="Q140" i="28"/>
  <c r="R140" i="28"/>
  <c r="R132" i="28"/>
  <c r="Q132" i="28"/>
  <c r="S132" i="28"/>
  <c r="Q131" i="28"/>
  <c r="R131" i="28"/>
  <c r="S131" i="28"/>
  <c r="S134" i="28"/>
  <c r="Q134" i="28"/>
  <c r="R134" i="28"/>
  <c r="R136" i="28"/>
  <c r="Q136" i="28"/>
  <c r="S136" i="28"/>
  <c r="S133" i="28"/>
  <c r="Q133" i="28"/>
  <c r="R133" i="28"/>
  <c r="Q135" i="28"/>
  <c r="R135" i="28"/>
  <c r="S135" i="28"/>
  <c r="I130" i="28"/>
  <c r="Q137" i="28"/>
  <c r="R137" i="28"/>
  <c r="W141" i="28"/>
  <c r="W143" i="28"/>
  <c r="W138" i="28"/>
  <c r="W139" i="28"/>
  <c r="W142" i="28"/>
  <c r="W140" i="28"/>
  <c r="W137" i="28"/>
  <c r="S137" i="28"/>
  <c r="H137" i="28"/>
  <c r="I137" i="28"/>
  <c r="J137" i="28"/>
  <c r="N137" i="28"/>
  <c r="J138" i="28"/>
  <c r="N138" i="28"/>
  <c r="H138" i="28"/>
  <c r="V138" i="28" s="1"/>
  <c r="I138" i="28"/>
  <c r="N143" i="28"/>
  <c r="N142" i="28"/>
  <c r="R130" i="28"/>
  <c r="J130" i="28"/>
  <c r="Q130" i="28"/>
  <c r="H130" i="28"/>
  <c r="N136" i="28"/>
  <c r="H123" i="28"/>
  <c r="S123" i="28"/>
  <c r="S109" i="28"/>
  <c r="Q109" i="28"/>
  <c r="S108" i="28"/>
  <c r="Q108" i="28"/>
  <c r="R108" i="28"/>
  <c r="R109" i="28"/>
  <c r="Q110" i="28"/>
  <c r="R110" i="28"/>
  <c r="H100" i="28"/>
  <c r="I100" i="28"/>
  <c r="J151" i="28"/>
  <c r="H151" i="28"/>
  <c r="I151" i="28"/>
  <c r="H139" i="28"/>
  <c r="J139" i="28"/>
  <c r="J143" i="28"/>
  <c r="H143" i="28"/>
  <c r="I143" i="28"/>
  <c r="I141" i="28"/>
  <c r="J141" i="28"/>
  <c r="H141" i="28"/>
  <c r="H140" i="28"/>
  <c r="I140" i="28"/>
  <c r="J140" i="28"/>
  <c r="J142" i="28"/>
  <c r="I142" i="28"/>
  <c r="H142" i="28"/>
  <c r="I139" i="28"/>
  <c r="I134" i="28"/>
  <c r="J134" i="28"/>
  <c r="H134" i="28"/>
  <c r="H136" i="28"/>
  <c r="J136" i="28"/>
  <c r="I136" i="28"/>
  <c r="H133" i="28"/>
  <c r="I133" i="28"/>
  <c r="J133" i="28"/>
  <c r="J135" i="28"/>
  <c r="I135" i="28"/>
  <c r="H135" i="28"/>
  <c r="Q125" i="28"/>
  <c r="R125" i="28"/>
  <c r="S125" i="28"/>
  <c r="Q129" i="28"/>
  <c r="R129" i="28"/>
  <c r="S129" i="28"/>
  <c r="R126" i="28"/>
  <c r="S126" i="28"/>
  <c r="Q126" i="28"/>
  <c r="S127" i="28"/>
  <c r="R127" i="28"/>
  <c r="Q127" i="28"/>
  <c r="S128" i="28"/>
  <c r="Q128" i="28"/>
  <c r="R128" i="28"/>
  <c r="N129" i="28"/>
  <c r="N128" i="28"/>
  <c r="H124" i="28"/>
  <c r="I124" i="28"/>
  <c r="J124" i="28"/>
  <c r="I125" i="28"/>
  <c r="J125" i="28"/>
  <c r="H125" i="28"/>
  <c r="H127" i="28"/>
  <c r="J127" i="28"/>
  <c r="I127" i="28"/>
  <c r="I129" i="28"/>
  <c r="H129" i="28"/>
  <c r="J129" i="28"/>
  <c r="J126" i="28"/>
  <c r="I126" i="28"/>
  <c r="H126" i="28"/>
  <c r="H128" i="28"/>
  <c r="I128" i="28"/>
  <c r="J128" i="28"/>
  <c r="Q119" i="28"/>
  <c r="R119" i="28"/>
  <c r="S119" i="28"/>
  <c r="Q116" i="28"/>
  <c r="R116" i="28"/>
  <c r="S116" i="28"/>
  <c r="S122" i="28"/>
  <c r="Q122" i="28"/>
  <c r="R122" i="28"/>
  <c r="R121" i="28"/>
  <c r="S121" i="28"/>
  <c r="Q121" i="28"/>
  <c r="S118" i="28"/>
  <c r="Q118" i="28"/>
  <c r="R118" i="28"/>
  <c r="R117" i="28"/>
  <c r="S117" i="28"/>
  <c r="Q117" i="28"/>
  <c r="Q120" i="28"/>
  <c r="R120" i="28"/>
  <c r="S120" i="28"/>
  <c r="H119" i="28"/>
  <c r="J119" i="28"/>
  <c r="I119" i="28"/>
  <c r="H116" i="28"/>
  <c r="I116" i="28"/>
  <c r="J116" i="28"/>
  <c r="J122" i="28"/>
  <c r="I122" i="28"/>
  <c r="H122" i="28"/>
  <c r="I121" i="28"/>
  <c r="J121" i="28"/>
  <c r="H121" i="28"/>
  <c r="J118" i="28"/>
  <c r="I118" i="28"/>
  <c r="H118" i="28"/>
  <c r="I117" i="28"/>
  <c r="J117" i="28"/>
  <c r="H117" i="28"/>
  <c r="H120" i="28"/>
  <c r="I120" i="28"/>
  <c r="J120" i="28"/>
  <c r="I111" i="28"/>
  <c r="J111" i="28"/>
  <c r="H111" i="28"/>
  <c r="S113" i="28"/>
  <c r="I113" i="28"/>
  <c r="J113" i="28"/>
  <c r="H113" i="28"/>
  <c r="J110" i="28"/>
  <c r="H110" i="28"/>
  <c r="I110" i="28"/>
  <c r="I109" i="28"/>
  <c r="H109" i="28"/>
  <c r="J109" i="28"/>
  <c r="J114" i="28"/>
  <c r="H114" i="28"/>
  <c r="I114" i="28"/>
  <c r="H108" i="28"/>
  <c r="J108" i="28"/>
  <c r="I108" i="28"/>
  <c r="S112" i="28"/>
  <c r="H112" i="28"/>
  <c r="I112" i="28"/>
  <c r="J112" i="28"/>
  <c r="I107" i="28"/>
  <c r="J107" i="28"/>
  <c r="H107" i="28"/>
  <c r="Q105" i="28"/>
  <c r="R105" i="28"/>
  <c r="S105" i="28"/>
  <c r="Q101" i="28"/>
  <c r="R101" i="28"/>
  <c r="S101" i="28"/>
  <c r="Q104" i="28"/>
  <c r="S104" i="28"/>
  <c r="R104" i="28"/>
  <c r="R106" i="28"/>
  <c r="S106" i="28"/>
  <c r="Q106" i="28"/>
  <c r="S103" i="28"/>
  <c r="R103" i="28"/>
  <c r="Q103" i="28"/>
  <c r="R102" i="28"/>
  <c r="S102" i="28"/>
  <c r="Q102" i="28"/>
  <c r="J104" i="28"/>
  <c r="H104" i="28"/>
  <c r="I104" i="28"/>
  <c r="H105" i="28"/>
  <c r="I105" i="28"/>
  <c r="J105" i="28"/>
  <c r="H101" i="28"/>
  <c r="I101" i="28"/>
  <c r="J101" i="28"/>
  <c r="I106" i="28"/>
  <c r="J106" i="28"/>
  <c r="H106" i="28"/>
  <c r="J103" i="28"/>
  <c r="I103" i="28"/>
  <c r="H103" i="28"/>
  <c r="I102" i="28"/>
  <c r="J102" i="28"/>
  <c r="H102" i="28"/>
  <c r="Q85" i="28"/>
  <c r="R85" i="28"/>
  <c r="S85" i="28"/>
  <c r="R86" i="28"/>
  <c r="S86" i="28"/>
  <c r="Q86" i="28"/>
  <c r="H93" i="28"/>
  <c r="I93" i="28"/>
  <c r="J93" i="28"/>
  <c r="J95" i="28"/>
  <c r="H95" i="28"/>
  <c r="I95" i="28"/>
  <c r="H97" i="28"/>
  <c r="I97" i="28"/>
  <c r="J97" i="28"/>
  <c r="I94" i="28"/>
  <c r="J94" i="28"/>
  <c r="H94" i="28"/>
  <c r="H96" i="28"/>
  <c r="J96" i="28"/>
  <c r="I96" i="28"/>
  <c r="Q124" i="28"/>
  <c r="R124" i="28"/>
  <c r="S124" i="28"/>
  <c r="Q123" i="28"/>
  <c r="Q115" i="28"/>
  <c r="R115" i="28"/>
  <c r="Q107" i="28"/>
  <c r="R107" i="28"/>
  <c r="S107" i="28"/>
  <c r="Q111" i="28"/>
  <c r="R111" i="28"/>
  <c r="S111" i="28"/>
  <c r="Q100" i="28"/>
  <c r="R100" i="28"/>
  <c r="S100" i="28"/>
  <c r="Q98" i="28"/>
  <c r="R98" i="28"/>
  <c r="S98" i="28"/>
  <c r="S97" i="28"/>
  <c r="Q97" i="28"/>
  <c r="R97" i="28"/>
  <c r="Q92" i="28"/>
  <c r="R92" i="28"/>
  <c r="S92" i="28"/>
  <c r="Q96" i="28"/>
  <c r="R96" i="28"/>
  <c r="S96" i="28"/>
  <c r="S94" i="28"/>
  <c r="Q94" i="28"/>
  <c r="R94" i="28"/>
  <c r="R93" i="28"/>
  <c r="S93" i="28"/>
  <c r="Q93" i="28"/>
  <c r="Q95" i="28"/>
  <c r="R95" i="28"/>
  <c r="S95" i="28"/>
  <c r="Q91" i="28"/>
  <c r="R91" i="28"/>
  <c r="X91" i="28" s="1"/>
  <c r="S87" i="28"/>
  <c r="Q87" i="28"/>
  <c r="R87" i="28"/>
  <c r="R89" i="28"/>
  <c r="S89" i="28"/>
  <c r="Q89" i="28"/>
  <c r="S90" i="28"/>
  <c r="R90" i="28"/>
  <c r="Q90" i="28"/>
  <c r="Q88" i="28"/>
  <c r="R88" i="28"/>
  <c r="S88" i="28"/>
  <c r="Q84" i="28"/>
  <c r="R84" i="28"/>
  <c r="S84" i="28"/>
  <c r="Q83" i="28"/>
  <c r="R83" i="28"/>
  <c r="R99" i="28"/>
  <c r="Q99" i="28"/>
  <c r="Q80" i="28"/>
  <c r="R80" i="28"/>
  <c r="S80" i="28"/>
  <c r="S78" i="28"/>
  <c r="R78" i="28"/>
  <c r="Q78" i="28"/>
  <c r="Q76" i="28"/>
  <c r="R76" i="28"/>
  <c r="S76" i="28"/>
  <c r="S79" i="28"/>
  <c r="Q79" i="28"/>
  <c r="R79" i="28"/>
  <c r="R81" i="28"/>
  <c r="S81" i="28"/>
  <c r="Q81" i="28"/>
  <c r="R77" i="28"/>
  <c r="S77" i="28"/>
  <c r="Q77" i="28"/>
  <c r="S82" i="28"/>
  <c r="Q82" i="28"/>
  <c r="R82" i="28"/>
  <c r="R75" i="28"/>
  <c r="S75" i="28"/>
  <c r="Q75" i="28"/>
  <c r="R69" i="28"/>
  <c r="S69" i="28"/>
  <c r="S73" i="28"/>
  <c r="R73" i="28"/>
  <c r="R70" i="28"/>
  <c r="S70" i="28"/>
  <c r="R72" i="28"/>
  <c r="S72" i="28"/>
  <c r="R68" i="28"/>
  <c r="S68" i="28"/>
  <c r="S71" i="28"/>
  <c r="R71" i="28"/>
  <c r="R74" i="28"/>
  <c r="S74" i="28"/>
  <c r="Q70" i="28"/>
  <c r="Q73" i="28"/>
  <c r="Q69" i="28"/>
  <c r="Q72" i="28"/>
  <c r="Q68" i="28"/>
  <c r="Q71" i="28"/>
  <c r="Q74" i="28"/>
  <c r="Q67" i="28"/>
  <c r="R67" i="28"/>
  <c r="W9" i="28"/>
  <c r="Q64" i="28"/>
  <c r="R64" i="28"/>
  <c r="S64" i="28"/>
  <c r="Q60" i="28"/>
  <c r="R60" i="28"/>
  <c r="S60" i="28"/>
  <c r="S66" i="28"/>
  <c r="R66" i="28"/>
  <c r="Q66" i="28"/>
  <c r="R61" i="28"/>
  <c r="S61" i="28"/>
  <c r="Q61" i="28"/>
  <c r="S63" i="28"/>
  <c r="Q63" i="28"/>
  <c r="R63" i="28"/>
  <c r="S62" i="28"/>
  <c r="Q62" i="28"/>
  <c r="R62" i="28"/>
  <c r="R65" i="28"/>
  <c r="S65" i="28"/>
  <c r="Q65" i="28"/>
  <c r="Q59" i="28"/>
  <c r="R59" i="28"/>
  <c r="X59" i="28" s="1"/>
  <c r="Q112" i="28"/>
  <c r="R112" i="28"/>
  <c r="Q113" i="28"/>
  <c r="R113" i="28"/>
  <c r="Q114" i="28"/>
  <c r="R114" i="28"/>
  <c r="Q58" i="28"/>
  <c r="R58" i="28"/>
  <c r="X58" i="28" s="1"/>
  <c r="Q57" i="28"/>
  <c r="R57" i="28"/>
  <c r="X57" i="28" s="1"/>
  <c r="Q56" i="28"/>
  <c r="R56" i="28"/>
  <c r="X56" i="28" s="1"/>
  <c r="Q55" i="28"/>
  <c r="R55" i="28"/>
  <c r="X55" i="28" s="1"/>
  <c r="Q54" i="28"/>
  <c r="R54" i="28"/>
  <c r="X54" i="28" s="1"/>
  <c r="Q53" i="28"/>
  <c r="R53" i="28"/>
  <c r="X53" i="28" s="1"/>
  <c r="Q52" i="28"/>
  <c r="R52" i="28"/>
  <c r="X52" i="28" s="1"/>
  <c r="Q51" i="28"/>
  <c r="R51" i="28"/>
  <c r="X51" i="28" s="1"/>
  <c r="Q50" i="28"/>
  <c r="R50" i="28"/>
  <c r="Q49" i="28"/>
  <c r="R49" i="28"/>
  <c r="Q48" i="28"/>
  <c r="R48" i="28"/>
  <c r="Q47" i="28"/>
  <c r="R47" i="28"/>
  <c r="Q46" i="28"/>
  <c r="R46" i="28"/>
  <c r="Q45" i="28"/>
  <c r="R45" i="28"/>
  <c r="Q44" i="28"/>
  <c r="R44" i="28"/>
  <c r="Q43" i="28"/>
  <c r="R43" i="28"/>
  <c r="R35" i="28"/>
  <c r="Q42" i="28"/>
  <c r="R42" i="28"/>
  <c r="Q41" i="28"/>
  <c r="R41" i="28"/>
  <c r="Q40" i="28"/>
  <c r="R40" i="28"/>
  <c r="Q39" i="28"/>
  <c r="R39" i="28"/>
  <c r="Q38" i="28"/>
  <c r="R38" i="28"/>
  <c r="Q37" i="28"/>
  <c r="R37" i="28"/>
  <c r="Q36" i="28"/>
  <c r="R36" i="28"/>
  <c r="Q35" i="28"/>
  <c r="Q34" i="28"/>
  <c r="R34" i="28"/>
  <c r="Q33" i="28"/>
  <c r="R33" i="28"/>
  <c r="Q32" i="28"/>
  <c r="R32" i="28"/>
  <c r="Q31" i="28"/>
  <c r="R31" i="28"/>
  <c r="Q30" i="28"/>
  <c r="R30" i="28"/>
  <c r="Q29" i="28"/>
  <c r="R29" i="28"/>
  <c r="Q28" i="28"/>
  <c r="R28" i="28"/>
  <c r="Q27" i="28"/>
  <c r="R27" i="28"/>
  <c r="Q26" i="28"/>
  <c r="R26" i="28"/>
  <c r="Q25" i="28"/>
  <c r="R25" i="28"/>
  <c r="Q24" i="28"/>
  <c r="R24" i="28"/>
  <c r="Q23" i="28"/>
  <c r="R23" i="28"/>
  <c r="Q22" i="28"/>
  <c r="R22" i="28"/>
  <c r="Q21" i="28"/>
  <c r="R21" i="28"/>
  <c r="Q20" i="28"/>
  <c r="R20" i="28"/>
  <c r="Q19" i="28"/>
  <c r="R19" i="28"/>
  <c r="Q18" i="28"/>
  <c r="R18" i="28"/>
  <c r="Q17" i="28"/>
  <c r="R17" i="28"/>
  <c r="Q16" i="28"/>
  <c r="R16" i="28"/>
  <c r="Q15" i="28"/>
  <c r="R15" i="28"/>
  <c r="Q14" i="28"/>
  <c r="R14" i="28"/>
  <c r="Q13" i="28"/>
  <c r="R13" i="28"/>
  <c r="H12" i="28"/>
  <c r="R12" i="28"/>
  <c r="Q11" i="28"/>
  <c r="R11" i="28"/>
  <c r="Q12" i="28"/>
  <c r="W131" i="28"/>
  <c r="W163" i="28"/>
  <c r="W134" i="28"/>
  <c r="W160" i="28"/>
  <c r="W16" i="28"/>
  <c r="W21" i="28"/>
  <c r="W15" i="28"/>
  <c r="W101" i="28"/>
  <c r="W79" i="28"/>
  <c r="W122" i="28"/>
  <c r="W55" i="28"/>
  <c r="W48" i="28"/>
  <c r="W31" i="28"/>
  <c r="W78" i="28"/>
  <c r="W23" i="28"/>
  <c r="W66" i="28"/>
  <c r="W44" i="28"/>
  <c r="W107" i="28"/>
  <c r="W126" i="28"/>
  <c r="W133" i="28"/>
  <c r="W135" i="28"/>
  <c r="W151" i="28"/>
  <c r="W153" i="28"/>
  <c r="W13" i="28"/>
  <c r="W116" i="28"/>
  <c r="W99" i="28"/>
  <c r="W86" i="28"/>
  <c r="W104" i="28"/>
  <c r="W61" i="28"/>
  <c r="W114" i="28"/>
  <c r="W35" i="28"/>
  <c r="W120" i="28"/>
  <c r="W70" i="28"/>
  <c r="W60" i="28"/>
  <c r="W102" i="28"/>
  <c r="W36" i="28"/>
  <c r="W18" i="28"/>
  <c r="W29" i="28"/>
  <c r="W80" i="28"/>
  <c r="W26" i="28"/>
  <c r="W42" i="28"/>
  <c r="W19" i="28"/>
  <c r="W50" i="28"/>
  <c r="W82" i="28"/>
  <c r="W108" i="28"/>
  <c r="W96" i="28"/>
  <c r="W38" i="28"/>
  <c r="W69" i="28"/>
  <c r="W49" i="28"/>
  <c r="W81" i="28"/>
  <c r="W121" i="28"/>
  <c r="W136" i="28"/>
  <c r="W25" i="28"/>
  <c r="W164" i="28"/>
  <c r="W165" i="28"/>
  <c r="W130" i="28"/>
  <c r="W119" i="28"/>
  <c r="W64" i="28"/>
  <c r="W76" i="28"/>
  <c r="W109" i="28"/>
  <c r="W87" i="28"/>
  <c r="W54" i="28"/>
  <c r="W22" i="28"/>
  <c r="W56" i="28"/>
  <c r="W94" i="28"/>
  <c r="W14" i="28"/>
  <c r="W85" i="28"/>
  <c r="W67" i="28"/>
  <c r="W17" i="28"/>
  <c r="W57" i="28"/>
  <c r="W97" i="28"/>
  <c r="W129" i="28"/>
  <c r="W89" i="28"/>
  <c r="W155" i="28"/>
  <c r="W154" i="28"/>
  <c r="W161" i="28"/>
  <c r="W152" i="28"/>
  <c r="W156" i="28"/>
  <c r="W172" i="28"/>
  <c r="W11" i="28"/>
  <c r="W20" i="28"/>
  <c r="W117" i="28"/>
  <c r="W30" i="28"/>
  <c r="W106" i="28"/>
  <c r="W103" i="28"/>
  <c r="W46" i="28"/>
  <c r="W112" i="28"/>
  <c r="W32" i="28"/>
  <c r="W52" i="28"/>
  <c r="W63" i="28"/>
  <c r="W92" i="28"/>
  <c r="W51" i="28"/>
  <c r="W34" i="28"/>
  <c r="W62" i="28"/>
  <c r="W53" i="28"/>
  <c r="W91" i="28"/>
  <c r="W88" i="28"/>
  <c r="W45" i="28"/>
  <c r="W110" i="28"/>
  <c r="W84" i="28"/>
  <c r="W40" i="28"/>
  <c r="W43" i="28"/>
  <c r="W83" i="28"/>
  <c r="W123" i="28"/>
  <c r="W41" i="28"/>
  <c r="W73" i="28"/>
  <c r="W113" i="28"/>
  <c r="W125" i="28"/>
  <c r="W124" i="28"/>
  <c r="W162" i="28"/>
  <c r="W132" i="28"/>
  <c r="W144" i="28"/>
  <c r="W159" i="28"/>
  <c r="W127" i="28"/>
  <c r="W12" i="28"/>
  <c r="W115" i="28"/>
  <c r="W118" i="28"/>
  <c r="W24" i="28"/>
  <c r="W47" i="28"/>
  <c r="W74" i="28"/>
  <c r="W90" i="28"/>
  <c r="W28" i="28"/>
  <c r="W93" i="28"/>
  <c r="W27" i="28"/>
  <c r="W39" i="28"/>
  <c r="W58" i="28"/>
  <c r="W72" i="28"/>
  <c r="W75" i="28"/>
  <c r="W68" i="28"/>
  <c r="W95" i="28"/>
  <c r="W37" i="28"/>
  <c r="W77" i="28"/>
  <c r="W111" i="28"/>
  <c r="W71" i="28"/>
  <c r="W98" i="28"/>
  <c r="W100" i="28"/>
  <c r="W59" i="28"/>
  <c r="W33" i="28"/>
  <c r="W65" i="28"/>
  <c r="W105" i="28"/>
  <c r="W128" i="28"/>
  <c r="W3" i="28"/>
  <c r="S5" i="28"/>
  <c r="S4" i="28"/>
  <c r="S6" i="28"/>
  <c r="S3" i="28"/>
  <c r="Q10" i="28"/>
  <c r="Q6" i="28"/>
  <c r="R6" i="28"/>
  <c r="Q5" i="28"/>
  <c r="R5" i="28"/>
  <c r="Q4" i="28"/>
  <c r="R4" i="28"/>
  <c r="R3" i="28"/>
  <c r="W8" i="28"/>
  <c r="W7" i="28"/>
  <c r="W6" i="28"/>
  <c r="W5" i="28"/>
  <c r="W4" i="28"/>
  <c r="W10" i="28"/>
  <c r="N121" i="28"/>
  <c r="N113" i="28"/>
  <c r="N105" i="28"/>
  <c r="N97" i="28"/>
  <c r="H89" i="28"/>
  <c r="I89" i="28"/>
  <c r="J89" i="28"/>
  <c r="N89" i="28"/>
  <c r="H81" i="28"/>
  <c r="I81" i="28"/>
  <c r="J81" i="28"/>
  <c r="N81" i="28"/>
  <c r="H73" i="28"/>
  <c r="I73" i="28"/>
  <c r="J73" i="28"/>
  <c r="N73" i="28"/>
  <c r="H65" i="28"/>
  <c r="I65" i="28"/>
  <c r="J65" i="28"/>
  <c r="N65" i="28"/>
  <c r="H57" i="28"/>
  <c r="I57" i="28"/>
  <c r="J57" i="28"/>
  <c r="N57" i="28"/>
  <c r="H49" i="28"/>
  <c r="N49" i="28"/>
  <c r="I49" i="28"/>
  <c r="J49" i="28"/>
  <c r="H41" i="28"/>
  <c r="I41" i="28"/>
  <c r="J41" i="28"/>
  <c r="N41" i="28"/>
  <c r="H33" i="28"/>
  <c r="N33" i="28"/>
  <c r="H21" i="28"/>
  <c r="I21" i="28"/>
  <c r="J21" i="28"/>
  <c r="N21" i="28"/>
  <c r="H25" i="28"/>
  <c r="I25" i="28"/>
  <c r="J25" i="28"/>
  <c r="N25" i="28"/>
  <c r="H17" i="28"/>
  <c r="I17" i="28"/>
  <c r="J17" i="28"/>
  <c r="N17" i="28"/>
  <c r="J131" i="28"/>
  <c r="I131" i="28"/>
  <c r="H131" i="28"/>
  <c r="J16" i="28"/>
  <c r="H16" i="28"/>
  <c r="I16" i="28"/>
  <c r="I15" i="28"/>
  <c r="H15" i="28"/>
  <c r="J15" i="28"/>
  <c r="J55" i="28"/>
  <c r="I55" i="28"/>
  <c r="H55" i="28"/>
  <c r="I48" i="28"/>
  <c r="J48" i="28"/>
  <c r="H48" i="28"/>
  <c r="I56" i="28"/>
  <c r="H56" i="28"/>
  <c r="J56" i="28"/>
  <c r="I66" i="28"/>
  <c r="H66" i="28"/>
  <c r="J66" i="28"/>
  <c r="I44" i="28"/>
  <c r="J44" i="28"/>
  <c r="H44" i="28"/>
  <c r="I99" i="28"/>
  <c r="H99" i="28"/>
  <c r="J99" i="28"/>
  <c r="J86" i="28"/>
  <c r="I86" i="28"/>
  <c r="H86" i="28"/>
  <c r="I61" i="28"/>
  <c r="H61" i="28"/>
  <c r="J61" i="28"/>
  <c r="J35" i="28"/>
  <c r="I35" i="28"/>
  <c r="H35" i="28"/>
  <c r="I70" i="28"/>
  <c r="H70" i="28"/>
  <c r="J70" i="28"/>
  <c r="J60" i="28"/>
  <c r="I60" i="28"/>
  <c r="H60" i="28"/>
  <c r="I36" i="28"/>
  <c r="H36" i="28"/>
  <c r="J36" i="28"/>
  <c r="I18" i="28"/>
  <c r="H18" i="28"/>
  <c r="J18" i="28"/>
  <c r="I29" i="28"/>
  <c r="H29" i="28"/>
  <c r="J29" i="28"/>
  <c r="I80" i="28"/>
  <c r="H80" i="28"/>
  <c r="J80" i="28"/>
  <c r="J26" i="28"/>
  <c r="H26" i="28"/>
  <c r="I26" i="28"/>
  <c r="J42" i="28"/>
  <c r="I42" i="28"/>
  <c r="H42" i="28"/>
  <c r="J19" i="28"/>
  <c r="H19" i="28"/>
  <c r="I19" i="28"/>
  <c r="I50" i="28"/>
  <c r="H50" i="28"/>
  <c r="J50" i="28"/>
  <c r="J82" i="28"/>
  <c r="I82" i="28"/>
  <c r="H82" i="28"/>
  <c r="I38" i="28"/>
  <c r="H38" i="28"/>
  <c r="J38" i="28"/>
  <c r="I69" i="28"/>
  <c r="J69" i="28"/>
  <c r="H69" i="28"/>
  <c r="J64" i="28"/>
  <c r="I64" i="28"/>
  <c r="H64" i="28"/>
  <c r="J79" i="28"/>
  <c r="I79" i="28"/>
  <c r="H79" i="28"/>
  <c r="I54" i="28"/>
  <c r="H54" i="28"/>
  <c r="J54" i="28"/>
  <c r="I31" i="28"/>
  <c r="H31" i="28"/>
  <c r="J31" i="28"/>
  <c r="I78" i="28"/>
  <c r="H78" i="28"/>
  <c r="J78" i="28"/>
  <c r="J23" i="28"/>
  <c r="I23" i="28"/>
  <c r="H23" i="28"/>
  <c r="J14" i="28"/>
  <c r="H14" i="28"/>
  <c r="I14" i="28"/>
  <c r="I85" i="28"/>
  <c r="H85" i="28"/>
  <c r="J85" i="28"/>
  <c r="I67" i="28"/>
  <c r="J67" i="28"/>
  <c r="H67" i="28"/>
  <c r="I13" i="28"/>
  <c r="H13" i="28"/>
  <c r="J13" i="28"/>
  <c r="I11" i="28"/>
  <c r="H11" i="28"/>
  <c r="J11" i="28"/>
  <c r="I20" i="28"/>
  <c r="H20" i="28"/>
  <c r="J20" i="28"/>
  <c r="H30" i="28"/>
  <c r="J46" i="28"/>
  <c r="I46" i="28"/>
  <c r="H46" i="28"/>
  <c r="J32" i="28"/>
  <c r="I32" i="28"/>
  <c r="H32" i="28"/>
  <c r="I52" i="28"/>
  <c r="H52" i="28"/>
  <c r="J52" i="28"/>
  <c r="I63" i="28"/>
  <c r="H63" i="28"/>
  <c r="J63" i="28"/>
  <c r="I92" i="28"/>
  <c r="H92" i="28"/>
  <c r="J92" i="28"/>
  <c r="J51" i="28"/>
  <c r="I51" i="28"/>
  <c r="H51" i="28"/>
  <c r="I34" i="28"/>
  <c r="H34" i="28"/>
  <c r="J34" i="28"/>
  <c r="I62" i="28"/>
  <c r="J62" i="28"/>
  <c r="H62" i="28"/>
  <c r="I53" i="28"/>
  <c r="J53" i="28"/>
  <c r="H53" i="28"/>
  <c r="J91" i="28"/>
  <c r="I91" i="28"/>
  <c r="H91" i="28"/>
  <c r="J88" i="28"/>
  <c r="I88" i="28"/>
  <c r="H88" i="28"/>
  <c r="I45" i="28"/>
  <c r="H45" i="28"/>
  <c r="J45" i="28"/>
  <c r="J84" i="28"/>
  <c r="I84" i="28"/>
  <c r="H84" i="28"/>
  <c r="I40" i="28"/>
  <c r="H40" i="28"/>
  <c r="J40" i="28"/>
  <c r="I43" i="28"/>
  <c r="H43" i="28"/>
  <c r="J43" i="28"/>
  <c r="I83" i="28"/>
  <c r="H83" i="28"/>
  <c r="J83" i="28"/>
  <c r="I76" i="28"/>
  <c r="H76" i="28"/>
  <c r="J76" i="28"/>
  <c r="I87" i="28"/>
  <c r="H87" i="28"/>
  <c r="J87" i="28"/>
  <c r="I22" i="28"/>
  <c r="H22" i="28"/>
  <c r="J22" i="28"/>
  <c r="I132" i="28"/>
  <c r="H132" i="28"/>
  <c r="J132" i="28"/>
  <c r="J12" i="28"/>
  <c r="I12" i="28"/>
  <c r="I115" i="28"/>
  <c r="H115" i="28"/>
  <c r="J115" i="28"/>
  <c r="I24" i="28"/>
  <c r="H24" i="28"/>
  <c r="J24" i="28"/>
  <c r="I47" i="28"/>
  <c r="H47" i="28"/>
  <c r="J47" i="28"/>
  <c r="I74" i="28"/>
  <c r="H74" i="28"/>
  <c r="J74" i="28"/>
  <c r="I90" i="28"/>
  <c r="H90" i="28"/>
  <c r="J90" i="28"/>
  <c r="J28" i="28"/>
  <c r="H28" i="28"/>
  <c r="I28" i="28"/>
  <c r="I27" i="28"/>
  <c r="H27" i="28"/>
  <c r="J27" i="28"/>
  <c r="J39" i="28"/>
  <c r="I39" i="28"/>
  <c r="H39" i="28"/>
  <c r="I58" i="28"/>
  <c r="J58" i="28"/>
  <c r="H58" i="28"/>
  <c r="J72" i="28"/>
  <c r="I72" i="28"/>
  <c r="H72" i="28"/>
  <c r="J75" i="28"/>
  <c r="I75" i="28"/>
  <c r="H75" i="28"/>
  <c r="I68" i="28"/>
  <c r="H68" i="28"/>
  <c r="J68" i="28"/>
  <c r="I37" i="28"/>
  <c r="J37" i="28"/>
  <c r="H37" i="28"/>
  <c r="J77" i="28"/>
  <c r="I77" i="28"/>
  <c r="H77" i="28"/>
  <c r="J71" i="28"/>
  <c r="I71" i="28"/>
  <c r="H71" i="28"/>
  <c r="J98" i="28"/>
  <c r="I98" i="28"/>
  <c r="H98" i="28"/>
  <c r="I59" i="28"/>
  <c r="H59" i="28"/>
  <c r="J59" i="28"/>
  <c r="J123" i="28"/>
  <c r="I123" i="28"/>
  <c r="N76" i="28"/>
  <c r="N87" i="28"/>
  <c r="N78" i="28"/>
  <c r="N70" i="28"/>
  <c r="N79" i="28"/>
  <c r="N107" i="28"/>
  <c r="N67" i="28"/>
  <c r="N117" i="28"/>
  <c r="N127" i="28"/>
  <c r="N47" i="28"/>
  <c r="N74" i="28"/>
  <c r="N27" i="28"/>
  <c r="N72" i="28"/>
  <c r="N75" i="28"/>
  <c r="N7" i="28"/>
  <c r="I7" i="28"/>
  <c r="N37" i="28"/>
  <c r="N77" i="28"/>
  <c r="N71" i="28"/>
  <c r="N116" i="28"/>
  <c r="N119" i="28"/>
  <c r="N16" i="28"/>
  <c r="N13" i="28"/>
  <c r="N18" i="28"/>
  <c r="N11" i="28"/>
  <c r="N15" i="28"/>
  <c r="N14" i="28"/>
  <c r="N12" i="28"/>
  <c r="J3" i="28"/>
  <c r="N9" i="28"/>
  <c r="I5" i="28"/>
  <c r="J5" i="28"/>
  <c r="I4" i="28"/>
  <c r="J4" i="28"/>
  <c r="I3" i="28"/>
  <c r="H10" i="28"/>
  <c r="N123" i="28"/>
  <c r="N69" i="28"/>
  <c r="N59" i="28"/>
  <c r="N111" i="28"/>
  <c r="N68" i="28"/>
  <c r="N98" i="28"/>
  <c r="N10" i="28"/>
  <c r="N100" i="28"/>
  <c r="N83" i="28"/>
  <c r="N43" i="28"/>
  <c r="N95" i="28"/>
  <c r="N38" i="28"/>
  <c r="N96" i="28"/>
  <c r="N85" i="28"/>
  <c r="N19" i="28"/>
  <c r="N94" i="28"/>
  <c r="N23" i="28"/>
  <c r="N66" i="28"/>
  <c r="N56" i="28"/>
  <c r="N44" i="28"/>
  <c r="N31" i="28"/>
  <c r="N82" i="28"/>
  <c r="N108" i="28"/>
  <c r="N40" i="28"/>
  <c r="N50" i="28"/>
  <c r="N34" i="28"/>
  <c r="N51" i="28"/>
  <c r="N53" i="28"/>
  <c r="N20" i="28"/>
  <c r="N112" i="28"/>
  <c r="N91" i="28"/>
  <c r="N92" i="28"/>
  <c r="N45" i="28"/>
  <c r="N63" i="28"/>
  <c r="N8" i="28"/>
  <c r="N110" i="28"/>
  <c r="N52" i="28"/>
  <c r="N46" i="28"/>
  <c r="N84" i="28"/>
  <c r="N106" i="28"/>
  <c r="N62" i="28"/>
  <c r="N88" i="28"/>
  <c r="N103" i="28"/>
  <c r="N32" i="28"/>
  <c r="N30" i="28"/>
  <c r="N26" i="28"/>
  <c r="N42" i="28"/>
  <c r="N80" i="28"/>
  <c r="N29" i="28"/>
  <c r="N120" i="28"/>
  <c r="N35" i="28"/>
  <c r="N4" i="28"/>
  <c r="N36" i="28"/>
  <c r="N61" i="28"/>
  <c r="N102" i="28"/>
  <c r="N86" i="28"/>
  <c r="N114" i="28"/>
  <c r="N99" i="28"/>
  <c r="N104" i="28"/>
  <c r="N60" i="28"/>
  <c r="N22" i="28"/>
  <c r="N101" i="28"/>
  <c r="N55" i="28"/>
  <c r="N122" i="28"/>
  <c r="N90" i="28"/>
  <c r="N28" i="28"/>
  <c r="N54" i="28"/>
  <c r="N39" i="28"/>
  <c r="N115" i="28"/>
  <c r="N58" i="28"/>
  <c r="N109" i="28"/>
  <c r="N48" i="28"/>
  <c r="N64" i="28"/>
  <c r="N93" i="28"/>
  <c r="N24" i="28"/>
  <c r="N118" i="28"/>
  <c r="N5" i="28"/>
  <c r="N6" i="28"/>
  <c r="N3" i="28"/>
  <c r="N164" i="28"/>
  <c r="N163" i="28"/>
  <c r="N165" i="28"/>
  <c r="N140" i="28"/>
  <c r="N153" i="28"/>
  <c r="N151" i="28"/>
  <c r="N159" i="28"/>
  <c r="N141" i="28"/>
  <c r="N156" i="28"/>
  <c r="N130" i="28"/>
  <c r="N160" i="28"/>
  <c r="N152" i="28"/>
  <c r="N161" i="28"/>
  <c r="N132" i="28"/>
  <c r="N139" i="28"/>
  <c r="N134" i="28"/>
  <c r="N162" i="28"/>
  <c r="N126" i="28"/>
  <c r="N154" i="28"/>
  <c r="N135" i="28"/>
  <c r="N125" i="28"/>
  <c r="N131" i="28"/>
  <c r="N133" i="28"/>
  <c r="N124" i="28"/>
  <c r="N155" i="28"/>
  <c r="AH136" i="28" l="1"/>
  <c r="AH140" i="28"/>
  <c r="AK134" i="28"/>
  <c r="AH137" i="28"/>
  <c r="AG138" i="28"/>
  <c r="AH138" i="28"/>
  <c r="AG136" i="28"/>
  <c r="AK140" i="28"/>
  <c r="AK135" i="28"/>
  <c r="AH134" i="28"/>
  <c r="AG140" i="28"/>
  <c r="AH139" i="28"/>
  <c r="AK136" i="28"/>
  <c r="AK137" i="28"/>
  <c r="AK138" i="28"/>
  <c r="AG135" i="28"/>
  <c r="AK139" i="28"/>
  <c r="AG139" i="28"/>
  <c r="AG137" i="28"/>
  <c r="AH135" i="28"/>
  <c r="AG134" i="28"/>
  <c r="AH127" i="28"/>
  <c r="AK125" i="28"/>
  <c r="AK128" i="28"/>
  <c r="AG130" i="28"/>
  <c r="AG125" i="28"/>
  <c r="AG128" i="28"/>
  <c r="AH126" i="28"/>
  <c r="AG123" i="28"/>
  <c r="AH130" i="28"/>
  <c r="AH124" i="28"/>
  <c r="AH125" i="28"/>
  <c r="AK129" i="28"/>
  <c r="AK130" i="28"/>
  <c r="AH128" i="28"/>
  <c r="AI128" i="28" s="1"/>
  <c r="AG129" i="28"/>
  <c r="AG126" i="28"/>
  <c r="AK126" i="28"/>
  <c r="AH129" i="28"/>
  <c r="AG124" i="28"/>
  <c r="AK127" i="28"/>
  <c r="AG127" i="28"/>
  <c r="AI127" i="28" s="1"/>
  <c r="AK124" i="28"/>
  <c r="AH123" i="28"/>
  <c r="AK123" i="28"/>
  <c r="X176" i="28"/>
  <c r="V176" i="28"/>
  <c r="U177" i="28"/>
  <c r="U176" i="28"/>
  <c r="X177" i="28"/>
  <c r="T176" i="28"/>
  <c r="T177" i="28"/>
  <c r="V177" i="28"/>
  <c r="O176" i="28"/>
  <c r="L176" i="28"/>
  <c r="K176" i="28"/>
  <c r="M176" i="28"/>
  <c r="O177" i="28"/>
  <c r="M177" i="28"/>
  <c r="L177" i="28"/>
  <c r="K177" i="28"/>
  <c r="AK92" i="28"/>
  <c r="AK90" i="28"/>
  <c r="AG81" i="28"/>
  <c r="AG79" i="28"/>
  <c r="AG88" i="28"/>
  <c r="AG90" i="28"/>
  <c r="AG92" i="28"/>
  <c r="AG89" i="28"/>
  <c r="AK87" i="28"/>
  <c r="AH89" i="28"/>
  <c r="AH85" i="28"/>
  <c r="AG87" i="28"/>
  <c r="AH80" i="28"/>
  <c r="AH84" i="28"/>
  <c r="AK79" i="28"/>
  <c r="AK84" i="28"/>
  <c r="AK86" i="28"/>
  <c r="AK80" i="28"/>
  <c r="AG83" i="28"/>
  <c r="AH93" i="28"/>
  <c r="AH83" i="28"/>
  <c r="AK93" i="28"/>
  <c r="AK88" i="28"/>
  <c r="AK91" i="28"/>
  <c r="AH88" i="28"/>
  <c r="AH81" i="28"/>
  <c r="AH82" i="28"/>
  <c r="AH79" i="28"/>
  <c r="AK85" i="28"/>
  <c r="AK82" i="28"/>
  <c r="AK83" i="28"/>
  <c r="AK89" i="28"/>
  <c r="AG93" i="28"/>
  <c r="AK81" i="28"/>
  <c r="AG84" i="28"/>
  <c r="AK78" i="28"/>
  <c r="AH78" i="28"/>
  <c r="AG78" i="28"/>
  <c r="M174" i="28"/>
  <c r="O174" i="28"/>
  <c r="X175" i="28"/>
  <c r="K172" i="28"/>
  <c r="V173" i="28"/>
  <c r="K175" i="28"/>
  <c r="X173" i="28"/>
  <c r="O175" i="28"/>
  <c r="O173" i="28"/>
  <c r="K173" i="28"/>
  <c r="T174" i="28"/>
  <c r="V174" i="28"/>
  <c r="X174" i="28"/>
  <c r="T173" i="28"/>
  <c r="K174" i="28"/>
  <c r="U174" i="28"/>
  <c r="U175" i="28"/>
  <c r="V175" i="28"/>
  <c r="T175" i="28"/>
  <c r="U173" i="28"/>
  <c r="L173" i="28"/>
  <c r="L175" i="28"/>
  <c r="L174" i="28"/>
  <c r="M173" i="28"/>
  <c r="K167" i="28"/>
  <c r="L166" i="28"/>
  <c r="V168" i="28"/>
  <c r="X172" i="28"/>
  <c r="L172" i="28"/>
  <c r="O172" i="28"/>
  <c r="U172" i="28"/>
  <c r="M172" i="28"/>
  <c r="T172" i="28"/>
  <c r="V172" i="28"/>
  <c r="L171" i="28"/>
  <c r="L169" i="28"/>
  <c r="X171" i="28"/>
  <c r="X170" i="28"/>
  <c r="X168" i="28"/>
  <c r="O167" i="28"/>
  <c r="X167" i="28"/>
  <c r="O168" i="28"/>
  <c r="U167" i="28"/>
  <c r="M167" i="28"/>
  <c r="U168" i="28"/>
  <c r="K168" i="28"/>
  <c r="O170" i="28"/>
  <c r="V167" i="28"/>
  <c r="T168" i="28"/>
  <c r="M168" i="28"/>
  <c r="L168" i="28"/>
  <c r="L167" i="28"/>
  <c r="K166" i="28"/>
  <c r="O166" i="28"/>
  <c r="X169" i="28"/>
  <c r="X166" i="28"/>
  <c r="U171" i="28"/>
  <c r="U170" i="28"/>
  <c r="U166" i="28"/>
  <c r="T170" i="28"/>
  <c r="V170" i="28"/>
  <c r="T166" i="28"/>
  <c r="O171" i="28"/>
  <c r="O169" i="28"/>
  <c r="T171" i="28"/>
  <c r="T169" i="28"/>
  <c r="U169" i="28"/>
  <c r="V171" i="28"/>
  <c r="V169" i="28"/>
  <c r="V166" i="28"/>
  <c r="K165" i="28"/>
  <c r="K171" i="28"/>
  <c r="K169" i="28"/>
  <c r="K170" i="28"/>
  <c r="M171" i="28"/>
  <c r="M166" i="28"/>
  <c r="M169" i="28"/>
  <c r="M170" i="28"/>
  <c r="X157" i="28"/>
  <c r="U165" i="28"/>
  <c r="T165" i="28"/>
  <c r="V165" i="28"/>
  <c r="U157" i="28"/>
  <c r="T157" i="28"/>
  <c r="V157" i="28"/>
  <c r="O157" i="28"/>
  <c r="L157" i="28"/>
  <c r="K157" i="28"/>
  <c r="O158" i="28"/>
  <c r="K162" i="28"/>
  <c r="K158" i="28"/>
  <c r="K160" i="28"/>
  <c r="K159" i="28"/>
  <c r="K161" i="28"/>
  <c r="K163" i="28"/>
  <c r="K164" i="28"/>
  <c r="L158" i="28"/>
  <c r="U158" i="28"/>
  <c r="X158" i="28"/>
  <c r="T158" i="28"/>
  <c r="V158" i="28"/>
  <c r="M158" i="28"/>
  <c r="T160" i="28"/>
  <c r="V159" i="28"/>
  <c r="V163" i="28"/>
  <c r="U161" i="28"/>
  <c r="V164" i="28"/>
  <c r="T162" i="28"/>
  <c r="X163" i="28"/>
  <c r="U159" i="28"/>
  <c r="V162" i="28"/>
  <c r="T161" i="28"/>
  <c r="U164" i="28"/>
  <c r="T163" i="28"/>
  <c r="T159" i="28"/>
  <c r="T164" i="28"/>
  <c r="U160" i="28"/>
  <c r="U162" i="28"/>
  <c r="V161" i="28"/>
  <c r="V160" i="28"/>
  <c r="U163" i="28"/>
  <c r="V154" i="28"/>
  <c r="T151" i="28"/>
  <c r="V156" i="28"/>
  <c r="T156" i="28"/>
  <c r="T154" i="28"/>
  <c r="V151" i="28"/>
  <c r="U156" i="28"/>
  <c r="U151" i="28"/>
  <c r="U154" i="28"/>
  <c r="V149" i="28"/>
  <c r="K147" i="28"/>
  <c r="K145" i="28"/>
  <c r="K150" i="28"/>
  <c r="K148" i="28"/>
  <c r="X149" i="28"/>
  <c r="U152" i="28"/>
  <c r="V155" i="28"/>
  <c r="V153" i="28"/>
  <c r="V152" i="28"/>
  <c r="T155" i="28"/>
  <c r="T153" i="28"/>
  <c r="K146" i="28"/>
  <c r="T152" i="28"/>
  <c r="U155" i="28"/>
  <c r="U153" i="28"/>
  <c r="O144" i="28"/>
  <c r="O147" i="28"/>
  <c r="O146" i="28"/>
  <c r="M149" i="28"/>
  <c r="M148" i="28"/>
  <c r="X147" i="28"/>
  <c r="X145" i="28"/>
  <c r="X148" i="28"/>
  <c r="O148" i="28"/>
  <c r="M145" i="28"/>
  <c r="X146" i="28"/>
  <c r="X150" i="28"/>
  <c r="O149" i="28"/>
  <c r="O150" i="28"/>
  <c r="O145" i="28"/>
  <c r="U146" i="28"/>
  <c r="U149" i="28"/>
  <c r="U150" i="28"/>
  <c r="U147" i="28"/>
  <c r="U145" i="28"/>
  <c r="U148" i="28"/>
  <c r="L149" i="28"/>
  <c r="L150" i="28"/>
  <c r="M150" i="28"/>
  <c r="M147" i="28"/>
  <c r="L148" i="28"/>
  <c r="L145" i="28"/>
  <c r="T149" i="28"/>
  <c r="L147" i="28"/>
  <c r="T146" i="28"/>
  <c r="T150" i="28"/>
  <c r="T147" i="28"/>
  <c r="T145" i="28"/>
  <c r="T148" i="28"/>
  <c r="L146" i="28"/>
  <c r="M146" i="28"/>
  <c r="K149" i="28"/>
  <c r="V146" i="28"/>
  <c r="V150" i="28"/>
  <c r="V147" i="28"/>
  <c r="V145" i="28"/>
  <c r="V148" i="28"/>
  <c r="L144" i="28"/>
  <c r="K144" i="28"/>
  <c r="U137" i="28"/>
  <c r="V140" i="28"/>
  <c r="V141" i="28"/>
  <c r="V143" i="28"/>
  <c r="V139" i="28"/>
  <c r="V142" i="28"/>
  <c r="V137" i="28"/>
  <c r="X137" i="28"/>
  <c r="X140" i="28"/>
  <c r="X142" i="28"/>
  <c r="X139" i="28"/>
  <c r="X138" i="28"/>
  <c r="X143" i="28"/>
  <c r="X141" i="28"/>
  <c r="U138" i="28"/>
  <c r="U141" i="28"/>
  <c r="T137" i="28"/>
  <c r="T140" i="28"/>
  <c r="T142" i="28"/>
  <c r="T139" i="28"/>
  <c r="T138" i="28"/>
  <c r="T143" i="28"/>
  <c r="T141" i="28"/>
  <c r="K137" i="28"/>
  <c r="U140" i="28"/>
  <c r="U142" i="28"/>
  <c r="U139" i="28"/>
  <c r="U143" i="28"/>
  <c r="O137" i="28"/>
  <c r="X131" i="28"/>
  <c r="K138" i="28"/>
  <c r="O138" i="28"/>
  <c r="L137" i="28"/>
  <c r="M138" i="28"/>
  <c r="L138" i="28"/>
  <c r="M137" i="28"/>
  <c r="O143" i="28"/>
  <c r="L143" i="28"/>
  <c r="O142" i="28"/>
  <c r="L142" i="28"/>
  <c r="K143" i="28"/>
  <c r="M143" i="28"/>
  <c r="M142" i="28"/>
  <c r="K142" i="28"/>
  <c r="X132" i="28"/>
  <c r="O136" i="28"/>
  <c r="M136" i="28"/>
  <c r="K136" i="28"/>
  <c r="L136" i="28"/>
  <c r="M98" i="28"/>
  <c r="U144" i="28"/>
  <c r="K139" i="28"/>
  <c r="T136" i="28"/>
  <c r="L129" i="28"/>
  <c r="M128" i="28"/>
  <c r="O128" i="28"/>
  <c r="L128" i="28"/>
  <c r="V128" i="28"/>
  <c r="O129" i="28"/>
  <c r="M129" i="28"/>
  <c r="K128" i="28"/>
  <c r="K129" i="28"/>
  <c r="T129" i="28"/>
  <c r="X113" i="28"/>
  <c r="X114" i="28"/>
  <c r="X112" i="28"/>
  <c r="K123" i="28"/>
  <c r="T144" i="28"/>
  <c r="V144" i="28"/>
  <c r="X136" i="28"/>
  <c r="X135" i="28"/>
  <c r="X133" i="28"/>
  <c r="T135" i="28"/>
  <c r="T133" i="28"/>
  <c r="X134" i="28"/>
  <c r="U132" i="28"/>
  <c r="U134" i="28"/>
  <c r="U131" i="28"/>
  <c r="T132" i="28"/>
  <c r="V136" i="28"/>
  <c r="U135" i="28"/>
  <c r="V133" i="28"/>
  <c r="T134" i="28"/>
  <c r="V131" i="28"/>
  <c r="V132" i="28"/>
  <c r="U136" i="28"/>
  <c r="V135" i="28"/>
  <c r="U133" i="28"/>
  <c r="V134" i="28"/>
  <c r="T131" i="28"/>
  <c r="O127" i="28"/>
  <c r="T108" i="28"/>
  <c r="X127" i="28"/>
  <c r="X126" i="28"/>
  <c r="K127" i="28"/>
  <c r="L127" i="28"/>
  <c r="L123" i="28"/>
  <c r="M123" i="28"/>
  <c r="O123" i="28"/>
  <c r="T126" i="28"/>
  <c r="X129" i="28"/>
  <c r="X125" i="28"/>
  <c r="V123" i="28"/>
  <c r="V127" i="28"/>
  <c r="M127" i="28"/>
  <c r="U130" i="28"/>
  <c r="X124" i="28"/>
  <c r="X123" i="28"/>
  <c r="X128" i="28"/>
  <c r="T125" i="28"/>
  <c r="X130" i="28"/>
  <c r="V124" i="28"/>
  <c r="T128" i="28"/>
  <c r="U127" i="28"/>
  <c r="U124" i="28"/>
  <c r="U125" i="28"/>
  <c r="U123" i="28"/>
  <c r="V129" i="28"/>
  <c r="T130" i="28"/>
  <c r="V126" i="28"/>
  <c r="T127" i="28"/>
  <c r="T124" i="28"/>
  <c r="V125" i="28"/>
  <c r="T123" i="28"/>
  <c r="U129" i="28"/>
  <c r="V130" i="28"/>
  <c r="U126" i="28"/>
  <c r="U128" i="28"/>
  <c r="L122" i="28"/>
  <c r="L120" i="28"/>
  <c r="M121" i="28"/>
  <c r="T111" i="28"/>
  <c r="V117" i="28"/>
  <c r="T121" i="28"/>
  <c r="M120" i="28"/>
  <c r="K120" i="28"/>
  <c r="X122" i="28"/>
  <c r="M122" i="28"/>
  <c r="O122" i="28"/>
  <c r="O120" i="28"/>
  <c r="K122" i="28"/>
  <c r="O121" i="28"/>
  <c r="K121" i="28"/>
  <c r="T122" i="28"/>
  <c r="L121" i="28"/>
  <c r="X120" i="28"/>
  <c r="L108" i="28"/>
  <c r="X121" i="28"/>
  <c r="V120" i="28"/>
  <c r="V121" i="28"/>
  <c r="T120" i="28"/>
  <c r="V122" i="28"/>
  <c r="U121" i="28"/>
  <c r="U120" i="28"/>
  <c r="U122" i="28"/>
  <c r="K118" i="28"/>
  <c r="M118" i="28"/>
  <c r="L118" i="28"/>
  <c r="M119" i="28"/>
  <c r="V118" i="28"/>
  <c r="O118" i="28"/>
  <c r="X119" i="28"/>
  <c r="O119" i="28"/>
  <c r="V119" i="28"/>
  <c r="L119" i="28"/>
  <c r="X118" i="28"/>
  <c r="U119" i="28"/>
  <c r="K119" i="28"/>
  <c r="T118" i="28"/>
  <c r="T119" i="28"/>
  <c r="U118" i="28"/>
  <c r="X117" i="28"/>
  <c r="L117" i="28"/>
  <c r="K117" i="28"/>
  <c r="M117" i="28"/>
  <c r="U117" i="28"/>
  <c r="T117" i="28"/>
  <c r="O117" i="28"/>
  <c r="O116" i="28"/>
  <c r="K115" i="28"/>
  <c r="M115" i="28"/>
  <c r="L115" i="28"/>
  <c r="T115" i="28"/>
  <c r="X101" i="28"/>
  <c r="X100" i="28"/>
  <c r="X115" i="28"/>
  <c r="X116" i="28"/>
  <c r="V116" i="28"/>
  <c r="U115" i="28"/>
  <c r="U116" i="28"/>
  <c r="M116" i="28"/>
  <c r="L116" i="28"/>
  <c r="O115" i="28"/>
  <c r="T116" i="28"/>
  <c r="K116" i="28"/>
  <c r="V115" i="28"/>
  <c r="T102" i="28"/>
  <c r="X94" i="28"/>
  <c r="M105" i="28"/>
  <c r="U93" i="28"/>
  <c r="U104" i="28"/>
  <c r="U106" i="28"/>
  <c r="U101" i="28"/>
  <c r="M107" i="28"/>
  <c r="U95" i="28"/>
  <c r="X108" i="28"/>
  <c r="U110" i="28"/>
  <c r="V91" i="28"/>
  <c r="U94" i="28"/>
  <c r="K96" i="28"/>
  <c r="X110" i="28"/>
  <c r="V103" i="28"/>
  <c r="V109" i="28"/>
  <c r="O109" i="28"/>
  <c r="K111" i="28"/>
  <c r="V92" i="28"/>
  <c r="V107" i="28"/>
  <c r="O104" i="28"/>
  <c r="L104" i="28"/>
  <c r="M92" i="28"/>
  <c r="O106" i="28"/>
  <c r="L111" i="28"/>
  <c r="K102" i="28"/>
  <c r="X93" i="28"/>
  <c r="X96" i="28"/>
  <c r="X92" i="28"/>
  <c r="X104" i="28"/>
  <c r="X105" i="28"/>
  <c r="X106" i="28"/>
  <c r="X103" i="28"/>
  <c r="X102" i="28"/>
  <c r="X111" i="28"/>
  <c r="X107" i="28"/>
  <c r="X109" i="28"/>
  <c r="O111" i="28"/>
  <c r="O110" i="28"/>
  <c r="O92" i="28"/>
  <c r="O103" i="28"/>
  <c r="L101" i="28"/>
  <c r="M101" i="28"/>
  <c r="M109" i="28"/>
  <c r="K93" i="28"/>
  <c r="L109" i="28"/>
  <c r="M93" i="28"/>
  <c r="K101" i="28"/>
  <c r="L103" i="28"/>
  <c r="K103" i="28"/>
  <c r="L93" i="28"/>
  <c r="M103" i="28"/>
  <c r="K109" i="28"/>
  <c r="O102" i="28"/>
  <c r="O105" i="28"/>
  <c r="M104" i="28"/>
  <c r="K104" i="28"/>
  <c r="L106" i="28"/>
  <c r="M106" i="28"/>
  <c r="K106" i="28"/>
  <c r="O93" i="28"/>
  <c r="O108" i="28"/>
  <c r="M94" i="28"/>
  <c r="L94" i="28"/>
  <c r="L102" i="28"/>
  <c r="K110" i="28"/>
  <c r="O94" i="28"/>
  <c r="M110" i="28"/>
  <c r="K92" i="28"/>
  <c r="K91" i="28"/>
  <c r="K107" i="28"/>
  <c r="M111" i="28"/>
  <c r="L92" i="28"/>
  <c r="M102" i="28"/>
  <c r="L110" i="28"/>
  <c r="K94" i="28"/>
  <c r="L107" i="28"/>
  <c r="O101" i="28"/>
  <c r="T110" i="28"/>
  <c r="T94" i="28"/>
  <c r="V101" i="28"/>
  <c r="U111" i="28"/>
  <c r="T93" i="28"/>
  <c r="U91" i="28"/>
  <c r="U103" i="28"/>
  <c r="T109" i="28"/>
  <c r="U102" i="28"/>
  <c r="U107" i="28"/>
  <c r="O107" i="28"/>
  <c r="V102" i="28"/>
  <c r="T107" i="28"/>
  <c r="V110" i="28"/>
  <c r="U92" i="28"/>
  <c r="V94" i="28"/>
  <c r="V105" i="28"/>
  <c r="V111" i="28"/>
  <c r="V93" i="28"/>
  <c r="T106" i="28"/>
  <c r="T104" i="28"/>
  <c r="T101" i="28"/>
  <c r="M108" i="28"/>
  <c r="K108" i="28"/>
  <c r="L105" i="28"/>
  <c r="U105" i="28"/>
  <c r="T91" i="28"/>
  <c r="T92" i="28"/>
  <c r="T103" i="28"/>
  <c r="V106" i="28"/>
  <c r="U109" i="28"/>
  <c r="V108" i="28"/>
  <c r="V104" i="28"/>
  <c r="T105" i="28"/>
  <c r="U108" i="28"/>
  <c r="K105" i="28"/>
  <c r="X95" i="28"/>
  <c r="O96" i="28"/>
  <c r="T96" i="28"/>
  <c r="T100" i="28"/>
  <c r="O95" i="28"/>
  <c r="O100" i="28"/>
  <c r="V100" i="28"/>
  <c r="K100" i="28"/>
  <c r="U100" i="28"/>
  <c r="L100" i="28"/>
  <c r="M100" i="28"/>
  <c r="T95" i="28"/>
  <c r="M95" i="28"/>
  <c r="L95" i="28"/>
  <c r="K95" i="28"/>
  <c r="V95" i="28"/>
  <c r="L96" i="28"/>
  <c r="V96" i="28"/>
  <c r="M96" i="28"/>
  <c r="U96" i="28"/>
  <c r="L98" i="28"/>
  <c r="K84" i="28"/>
  <c r="O97" i="28"/>
  <c r="L97" i="28"/>
  <c r="X97" i="28"/>
  <c r="K98" i="28"/>
  <c r="X85" i="28"/>
  <c r="L86" i="28"/>
  <c r="U97" i="28"/>
  <c r="K86" i="28"/>
  <c r="M86" i="28"/>
  <c r="K97" i="28"/>
  <c r="M97" i="28"/>
  <c r="V97" i="28"/>
  <c r="T97" i="28"/>
  <c r="K85" i="28"/>
  <c r="L84" i="28"/>
  <c r="T88" i="28"/>
  <c r="O85" i="28"/>
  <c r="X98" i="28"/>
  <c r="U86" i="28"/>
  <c r="O90" i="28"/>
  <c r="O88" i="28"/>
  <c r="M84" i="28"/>
  <c r="L88" i="28"/>
  <c r="K88" i="28"/>
  <c r="O84" i="28"/>
  <c r="O86" i="28"/>
  <c r="M88" i="28"/>
  <c r="T89" i="28"/>
  <c r="X89" i="28"/>
  <c r="K99" i="28"/>
  <c r="O98" i="28"/>
  <c r="T98" i="28"/>
  <c r="T90" i="28"/>
  <c r="U87" i="28"/>
  <c r="U98" i="28"/>
  <c r="V98" i="28"/>
  <c r="X90" i="28"/>
  <c r="M90" i="28"/>
  <c r="K87" i="28"/>
  <c r="X84" i="28"/>
  <c r="X88" i="28"/>
  <c r="L90" i="28"/>
  <c r="O87" i="28"/>
  <c r="M89" i="28"/>
  <c r="U84" i="28"/>
  <c r="V88" i="28"/>
  <c r="X86" i="28"/>
  <c r="U89" i="28"/>
  <c r="L85" i="28"/>
  <c r="K90" i="28"/>
  <c r="K89" i="28"/>
  <c r="O89" i="28"/>
  <c r="V86" i="28"/>
  <c r="X87" i="28"/>
  <c r="U88" i="28"/>
  <c r="L89" i="28"/>
  <c r="V89" i="28"/>
  <c r="U85" i="28"/>
  <c r="V90" i="28"/>
  <c r="T84" i="28"/>
  <c r="L87" i="28"/>
  <c r="U90" i="28"/>
  <c r="T86" i="28"/>
  <c r="T87" i="28"/>
  <c r="M85" i="28"/>
  <c r="M87" i="28"/>
  <c r="V84" i="28"/>
  <c r="V85" i="28"/>
  <c r="V87" i="28"/>
  <c r="T85" i="28"/>
  <c r="X77" i="28"/>
  <c r="T68" i="28"/>
  <c r="V113" i="28"/>
  <c r="T78" i="28"/>
  <c r="V77" i="28"/>
  <c r="X80" i="28"/>
  <c r="X81" i="28"/>
  <c r="X76" i="28"/>
  <c r="M99" i="28"/>
  <c r="L99" i="28"/>
  <c r="X78" i="28"/>
  <c r="T79" i="28"/>
  <c r="X99" i="28"/>
  <c r="O99" i="28"/>
  <c r="M83" i="28"/>
  <c r="V99" i="28"/>
  <c r="K83" i="28"/>
  <c r="T99" i="28"/>
  <c r="U99" i="28"/>
  <c r="O83" i="28"/>
  <c r="M79" i="28"/>
  <c r="L79" i="28"/>
  <c r="L83" i="28"/>
  <c r="X68" i="28"/>
  <c r="X82" i="28"/>
  <c r="O77" i="28"/>
  <c r="X83" i="28"/>
  <c r="T83" i="28"/>
  <c r="V83" i="28"/>
  <c r="U83" i="28"/>
  <c r="X79" i="28"/>
  <c r="L77" i="28"/>
  <c r="K78" i="28"/>
  <c r="K79" i="28"/>
  <c r="U81" i="28"/>
  <c r="T80" i="28"/>
  <c r="T82" i="28"/>
  <c r="O76" i="28"/>
  <c r="O80" i="28"/>
  <c r="M76" i="28"/>
  <c r="O78" i="28"/>
  <c r="O79" i="28"/>
  <c r="O82" i="28"/>
  <c r="M81" i="28"/>
  <c r="M82" i="28"/>
  <c r="L78" i="28"/>
  <c r="K81" i="28"/>
  <c r="O81" i="28"/>
  <c r="M78" i="28"/>
  <c r="K76" i="28"/>
  <c r="L80" i="28"/>
  <c r="K80" i="28"/>
  <c r="K77" i="28"/>
  <c r="U77" i="28"/>
  <c r="L82" i="28"/>
  <c r="M80" i="28"/>
  <c r="K82" i="28"/>
  <c r="V79" i="28"/>
  <c r="M77" i="28"/>
  <c r="V76" i="28"/>
  <c r="T81" i="28"/>
  <c r="L76" i="28"/>
  <c r="T77" i="28"/>
  <c r="U76" i="28"/>
  <c r="V82" i="28"/>
  <c r="V80" i="28"/>
  <c r="V78" i="28"/>
  <c r="U79" i="28"/>
  <c r="L81" i="28"/>
  <c r="T76" i="28"/>
  <c r="V81" i="28"/>
  <c r="U82" i="28"/>
  <c r="U80" i="28"/>
  <c r="U78" i="28"/>
  <c r="T69" i="28"/>
  <c r="X74" i="28"/>
  <c r="X69" i="28"/>
  <c r="X70" i="28"/>
  <c r="T72" i="28"/>
  <c r="U113" i="28"/>
  <c r="O113" i="28"/>
  <c r="O112" i="28"/>
  <c r="K74" i="28"/>
  <c r="U112" i="28"/>
  <c r="M113" i="28"/>
  <c r="K113" i="28"/>
  <c r="T113" i="28"/>
  <c r="T112" i="28"/>
  <c r="V112" i="28"/>
  <c r="M112" i="28"/>
  <c r="L113" i="28"/>
  <c r="L112" i="28"/>
  <c r="K112" i="28"/>
  <c r="L75" i="28"/>
  <c r="K75" i="28"/>
  <c r="M75" i="28"/>
  <c r="V75" i="28"/>
  <c r="U75" i="28"/>
  <c r="O75" i="28"/>
  <c r="X75" i="28"/>
  <c r="T75" i="28"/>
  <c r="X71" i="28"/>
  <c r="X72" i="28"/>
  <c r="K68" i="28"/>
  <c r="M70" i="28"/>
  <c r="M69" i="28"/>
  <c r="K69" i="28"/>
  <c r="M68" i="28"/>
  <c r="L68" i="28"/>
  <c r="L69" i="28"/>
  <c r="O74" i="28"/>
  <c r="T70" i="28"/>
  <c r="V71" i="28"/>
  <c r="X73" i="28"/>
  <c r="V73" i="28"/>
  <c r="L70" i="28"/>
  <c r="O71" i="28"/>
  <c r="O69" i="28"/>
  <c r="O73" i="28"/>
  <c r="V69" i="28"/>
  <c r="V68" i="28"/>
  <c r="O72" i="28"/>
  <c r="V72" i="28"/>
  <c r="M73" i="28"/>
  <c r="K72" i="28"/>
  <c r="L71" i="28"/>
  <c r="L72" i="28"/>
  <c r="O68" i="28"/>
  <c r="O70" i="28"/>
  <c r="U73" i="28"/>
  <c r="M71" i="28"/>
  <c r="M72" i="28"/>
  <c r="K70" i="28"/>
  <c r="L73" i="28"/>
  <c r="U71" i="28"/>
  <c r="L74" i="28"/>
  <c r="K73" i="28"/>
  <c r="T71" i="28"/>
  <c r="U68" i="28"/>
  <c r="U72" i="28"/>
  <c r="U74" i="28"/>
  <c r="T73" i="28"/>
  <c r="U69" i="28"/>
  <c r="V70" i="28"/>
  <c r="V74" i="28"/>
  <c r="K71" i="28"/>
  <c r="M74" i="28"/>
  <c r="T74" i="28"/>
  <c r="U70" i="28"/>
  <c r="X66" i="28"/>
  <c r="K62" i="28"/>
  <c r="X65" i="28"/>
  <c r="V60" i="28"/>
  <c r="T61" i="28"/>
  <c r="X62" i="28"/>
  <c r="L66" i="28"/>
  <c r="U66" i="28"/>
  <c r="T65" i="28"/>
  <c r="M60" i="28"/>
  <c r="K61" i="28"/>
  <c r="L61" i="28"/>
  <c r="K60" i="28"/>
  <c r="X61" i="28"/>
  <c r="X60" i="28"/>
  <c r="X64" i="28"/>
  <c r="L67" i="28"/>
  <c r="O63" i="28"/>
  <c r="O60" i="28"/>
  <c r="X67" i="28"/>
  <c r="O67" i="28"/>
  <c r="O62" i="28"/>
  <c r="T63" i="28"/>
  <c r="M62" i="28"/>
  <c r="X63" i="28"/>
  <c r="O59" i="28"/>
  <c r="L62" i="28"/>
  <c r="U67" i="28"/>
  <c r="V67" i="28"/>
  <c r="K67" i="28"/>
  <c r="M66" i="28"/>
  <c r="T64" i="28"/>
  <c r="T67" i="28"/>
  <c r="M61" i="28"/>
  <c r="L60" i="28"/>
  <c r="K66" i="28"/>
  <c r="M67" i="28"/>
  <c r="V62" i="28"/>
  <c r="O64" i="28"/>
  <c r="K59" i="28"/>
  <c r="M65" i="28"/>
  <c r="L63" i="28"/>
  <c r="M59" i="28"/>
  <c r="L59" i="28"/>
  <c r="K63" i="28"/>
  <c r="U59" i="28"/>
  <c r="O61" i="28"/>
  <c r="O66" i="28"/>
  <c r="K65" i="28"/>
  <c r="O65" i="28"/>
  <c r="U62" i="28"/>
  <c r="U60" i="28"/>
  <c r="M63" i="28"/>
  <c r="L65" i="28"/>
  <c r="K64" i="28"/>
  <c r="V65" i="28"/>
  <c r="T62" i="28"/>
  <c r="V63" i="28"/>
  <c r="V64" i="28"/>
  <c r="T60" i="28"/>
  <c r="V61" i="28"/>
  <c r="T66" i="28"/>
  <c r="T59" i="28"/>
  <c r="U65" i="28"/>
  <c r="V59" i="28"/>
  <c r="U63" i="28"/>
  <c r="U64" i="28"/>
  <c r="U61" i="28"/>
  <c r="L64" i="28"/>
  <c r="M64" i="28"/>
  <c r="V66" i="28"/>
  <c r="V56" i="28"/>
  <c r="T51" i="28"/>
  <c r="V114" i="28"/>
  <c r="L44" i="28"/>
  <c r="T58" i="28"/>
  <c r="T54" i="28"/>
  <c r="K48" i="28"/>
  <c r="T52" i="28"/>
  <c r="L46" i="28"/>
  <c r="K53" i="28"/>
  <c r="M114" i="28"/>
  <c r="L114" i="28"/>
  <c r="K114" i="28"/>
  <c r="K54" i="28"/>
  <c r="O114" i="28"/>
  <c r="U114" i="28"/>
  <c r="T114" i="28"/>
  <c r="T55" i="28"/>
  <c r="M57" i="28"/>
  <c r="L52" i="28"/>
  <c r="O51" i="28"/>
  <c r="M54" i="28"/>
  <c r="K58" i="28"/>
  <c r="L58" i="28"/>
  <c r="O58" i="28"/>
  <c r="O52" i="28"/>
  <c r="M52" i="28"/>
  <c r="K52" i="28"/>
  <c r="O54" i="28"/>
  <c r="O56" i="28"/>
  <c r="O53" i="28"/>
  <c r="L56" i="28"/>
  <c r="M56" i="28"/>
  <c r="L55" i="28"/>
  <c r="K56" i="28"/>
  <c r="K57" i="28"/>
  <c r="M53" i="28"/>
  <c r="K51" i="28"/>
  <c r="O55" i="28"/>
  <c r="O57" i="28"/>
  <c r="L53" i="28"/>
  <c r="M58" i="28"/>
  <c r="L54" i="28"/>
  <c r="K55" i="28"/>
  <c r="T57" i="28"/>
  <c r="L51" i="28"/>
  <c r="M51" i="28"/>
  <c r="M55" i="28"/>
  <c r="V53" i="28"/>
  <c r="U53" i="28"/>
  <c r="V51" i="28"/>
  <c r="V52" i="28"/>
  <c r="U56" i="28"/>
  <c r="V54" i="28"/>
  <c r="V55" i="28"/>
  <c r="L57" i="28"/>
  <c r="V58" i="28"/>
  <c r="T53" i="28"/>
  <c r="U51" i="28"/>
  <c r="U52" i="28"/>
  <c r="V57" i="28"/>
  <c r="T56" i="28"/>
  <c r="U54" i="28"/>
  <c r="U55" i="28"/>
  <c r="U58" i="28"/>
  <c r="U57" i="28"/>
  <c r="L45" i="28"/>
  <c r="M44" i="28"/>
  <c r="K38" i="28"/>
  <c r="K45" i="28"/>
  <c r="K44" i="28"/>
  <c r="O47" i="28"/>
  <c r="O46" i="28"/>
  <c r="M48" i="28"/>
  <c r="O50" i="28"/>
  <c r="K50" i="28"/>
  <c r="L48" i="28"/>
  <c r="L49" i="28"/>
  <c r="O44" i="28"/>
  <c r="K43" i="28"/>
  <c r="X47" i="28"/>
  <c r="L43" i="28"/>
  <c r="M43" i="28"/>
  <c r="M45" i="28"/>
  <c r="O49" i="28"/>
  <c r="O43" i="28"/>
  <c r="O45" i="28"/>
  <c r="U43" i="28"/>
  <c r="X49" i="28"/>
  <c r="X46" i="28"/>
  <c r="T49" i="28"/>
  <c r="X48" i="28"/>
  <c r="T47" i="28"/>
  <c r="O48" i="28"/>
  <c r="K47" i="28"/>
  <c r="M49" i="28"/>
  <c r="X45" i="28"/>
  <c r="U46" i="28"/>
  <c r="X44" i="28"/>
  <c r="T48" i="28"/>
  <c r="K46" i="28"/>
  <c r="M46" i="28"/>
  <c r="L47" i="28"/>
  <c r="X43" i="28"/>
  <c r="T45" i="28"/>
  <c r="X50" i="28"/>
  <c r="U44" i="28"/>
  <c r="T44" i="28"/>
  <c r="V48" i="28"/>
  <c r="M47" i="28"/>
  <c r="K49" i="28"/>
  <c r="V43" i="28"/>
  <c r="U50" i="28"/>
  <c r="V47" i="28"/>
  <c r="V45" i="28"/>
  <c r="T46" i="28"/>
  <c r="T50" i="28"/>
  <c r="L50" i="28"/>
  <c r="U47" i="28"/>
  <c r="T43" i="28"/>
  <c r="U45" i="28"/>
  <c r="V49" i="28"/>
  <c r="U48" i="28"/>
  <c r="V46" i="28"/>
  <c r="U49" i="28"/>
  <c r="V50" i="28"/>
  <c r="V44" i="28"/>
  <c r="M50" i="28"/>
  <c r="T35" i="28"/>
  <c r="T36" i="28"/>
  <c r="X35" i="28"/>
  <c r="K35" i="28"/>
  <c r="K40" i="28"/>
  <c r="T38" i="28"/>
  <c r="X40" i="28"/>
  <c r="T41" i="28"/>
  <c r="X37" i="28"/>
  <c r="X38" i="28"/>
  <c r="X39" i="28"/>
  <c r="X41" i="28"/>
  <c r="X42" i="28"/>
  <c r="U42" i="28"/>
  <c r="T39" i="28"/>
  <c r="O37" i="28"/>
  <c r="M35" i="28"/>
  <c r="L35" i="28"/>
  <c r="M41" i="28"/>
  <c r="O35" i="28"/>
  <c r="M37" i="28"/>
  <c r="X36" i="28"/>
  <c r="O36" i="28"/>
  <c r="M36" i="28"/>
  <c r="K42" i="28"/>
  <c r="L36" i="28"/>
  <c r="K39" i="28"/>
  <c r="L37" i="28"/>
  <c r="K36" i="28"/>
  <c r="K37" i="28"/>
  <c r="T37" i="28"/>
  <c r="T40" i="28"/>
  <c r="O41" i="28"/>
  <c r="K41" i="28"/>
  <c r="L41" i="28"/>
  <c r="V37" i="28"/>
  <c r="V39" i="28"/>
  <c r="V41" i="28"/>
  <c r="V40" i="28"/>
  <c r="T42" i="28"/>
  <c r="U37" i="28"/>
  <c r="U39" i="28"/>
  <c r="U41" i="28"/>
  <c r="U40" i="28"/>
  <c r="V38" i="28"/>
  <c r="V36" i="28"/>
  <c r="V35" i="28"/>
  <c r="U38" i="28"/>
  <c r="V42" i="28"/>
  <c r="U36" i="28"/>
  <c r="U35" i="28"/>
  <c r="V27" i="28"/>
  <c r="M11" i="28"/>
  <c r="U28" i="28"/>
  <c r="L16" i="28"/>
  <c r="T32" i="28"/>
  <c r="L31" i="28"/>
  <c r="K28" i="28"/>
  <c r="L28" i="28"/>
  <c r="K13" i="28"/>
  <c r="M28" i="28"/>
  <c r="O34" i="28"/>
  <c r="O32" i="28"/>
  <c r="L33" i="28"/>
  <c r="L30" i="28"/>
  <c r="O28" i="28"/>
  <c r="V31" i="28"/>
  <c r="K31" i="28"/>
  <c r="T30" i="28"/>
  <c r="O31" i="28"/>
  <c r="T29" i="28"/>
  <c r="X28" i="28"/>
  <c r="K33" i="28"/>
  <c r="M31" i="28"/>
  <c r="X30" i="28"/>
  <c r="T34" i="28"/>
  <c r="X27" i="28"/>
  <c r="X33" i="28"/>
  <c r="M30" i="28"/>
  <c r="O27" i="28"/>
  <c r="T27" i="28"/>
  <c r="T28" i="28"/>
  <c r="X32" i="28"/>
  <c r="U30" i="28"/>
  <c r="X31" i="28"/>
  <c r="T33" i="28"/>
  <c r="K27" i="28"/>
  <c r="X34" i="28"/>
  <c r="U32" i="28"/>
  <c r="X29" i="28"/>
  <c r="T31" i="28"/>
  <c r="V33" i="28"/>
  <c r="V28" i="28"/>
  <c r="M33" i="28"/>
  <c r="U34" i="28"/>
  <c r="U29" i="28"/>
  <c r="U33" i="28"/>
  <c r="U27" i="28"/>
  <c r="K30" i="28"/>
  <c r="M27" i="28"/>
  <c r="V34" i="28"/>
  <c r="V32" i="28"/>
  <c r="V30" i="28"/>
  <c r="V29" i="28"/>
  <c r="U31" i="28"/>
  <c r="L27" i="28"/>
  <c r="K25" i="28"/>
  <c r="U23" i="28"/>
  <c r="U26" i="28"/>
  <c r="L20" i="28"/>
  <c r="M24" i="28"/>
  <c r="M20" i="28"/>
  <c r="U22" i="28"/>
  <c r="O20" i="28"/>
  <c r="K24" i="28"/>
  <c r="K20" i="28"/>
  <c r="O24" i="28"/>
  <c r="O19" i="28"/>
  <c r="O26" i="28"/>
  <c r="O25" i="28"/>
  <c r="X25" i="28"/>
  <c r="V19" i="28"/>
  <c r="X22" i="28"/>
  <c r="U21" i="28"/>
  <c r="O23" i="28"/>
  <c r="T4" i="28"/>
  <c r="M25" i="28"/>
  <c r="L21" i="28"/>
  <c r="X24" i="28"/>
  <c r="V25" i="28"/>
  <c r="X23" i="28"/>
  <c r="V22" i="28"/>
  <c r="K19" i="28"/>
  <c r="L19" i="28"/>
  <c r="M19" i="28"/>
  <c r="O21" i="28"/>
  <c r="X20" i="28"/>
  <c r="V24" i="28"/>
  <c r="X26" i="28"/>
  <c r="T23" i="28"/>
  <c r="M21" i="28"/>
  <c r="U20" i="28"/>
  <c r="X19" i="28"/>
  <c r="V26" i="28"/>
  <c r="X21" i="28"/>
  <c r="U24" i="28"/>
  <c r="V20" i="28"/>
  <c r="U25" i="28"/>
  <c r="U19" i="28"/>
  <c r="T21" i="28"/>
  <c r="L24" i="28"/>
  <c r="L25" i="28"/>
  <c r="K21" i="28"/>
  <c r="T24" i="28"/>
  <c r="T22" i="28"/>
  <c r="T25" i="28"/>
  <c r="T19" i="28"/>
  <c r="T26" i="28"/>
  <c r="V23" i="28"/>
  <c r="T20" i="28"/>
  <c r="V21" i="28"/>
  <c r="L13" i="28"/>
  <c r="K14" i="28"/>
  <c r="O15" i="28"/>
  <c r="M18" i="28"/>
  <c r="O12" i="28"/>
  <c r="O13" i="28"/>
  <c r="T12" i="28"/>
  <c r="O14" i="28"/>
  <c r="L15" i="28"/>
  <c r="O16" i="28"/>
  <c r="K11" i="28"/>
  <c r="M12" i="28"/>
  <c r="O17" i="28"/>
  <c r="X18" i="28"/>
  <c r="X15" i="28"/>
  <c r="L17" i="28"/>
  <c r="X12" i="28"/>
  <c r="T18" i="28"/>
  <c r="X14" i="28"/>
  <c r="T15" i="28"/>
  <c r="X11" i="28"/>
  <c r="X17" i="28"/>
  <c r="L12" i="28"/>
  <c r="L14" i="28"/>
  <c r="K18" i="28"/>
  <c r="K16" i="28"/>
  <c r="T11" i="28"/>
  <c r="X13" i="28"/>
  <c r="T17" i="28"/>
  <c r="X16" i="28"/>
  <c r="K15" i="28"/>
  <c r="L18" i="28"/>
  <c r="T14" i="28"/>
  <c r="K12" i="28"/>
  <c r="O11" i="28"/>
  <c r="O18" i="28"/>
  <c r="T13" i="28"/>
  <c r="T16" i="28"/>
  <c r="K17" i="28"/>
  <c r="M17" i="28"/>
  <c r="X3" i="28"/>
  <c r="V12" i="28"/>
  <c r="V11" i="28"/>
  <c r="V17" i="28"/>
  <c r="V14" i="28"/>
  <c r="V18" i="28"/>
  <c r="V13" i="28"/>
  <c r="V15" i="28"/>
  <c r="V16" i="28"/>
  <c r="M14" i="28"/>
  <c r="M15" i="28"/>
  <c r="L11" i="28"/>
  <c r="M13" i="28"/>
  <c r="M16" i="28"/>
  <c r="U12" i="28"/>
  <c r="U11" i="28"/>
  <c r="U17" i="28"/>
  <c r="U14" i="28"/>
  <c r="U18" i="28"/>
  <c r="U13" i="28"/>
  <c r="U15" i="28"/>
  <c r="U16" i="28"/>
  <c r="V4" i="28"/>
  <c r="V5" i="28"/>
  <c r="V6" i="28"/>
  <c r="V10" i="28"/>
  <c r="U6" i="28"/>
  <c r="U5" i="28"/>
  <c r="U4" i="28"/>
  <c r="U10" i="28"/>
  <c r="T10" i="28"/>
  <c r="T5" i="28"/>
  <c r="T6" i="28"/>
  <c r="X6" i="28"/>
  <c r="X5" i="28"/>
  <c r="X4" i="28"/>
  <c r="M10" i="28"/>
  <c r="K10" i="28"/>
  <c r="L10" i="28"/>
  <c r="O163" i="28"/>
  <c r="X164" i="28"/>
  <c r="O165" i="28"/>
  <c r="O164" i="28"/>
  <c r="X165" i="28"/>
  <c r="K134" i="28"/>
  <c r="M165" i="28"/>
  <c r="L164" i="28"/>
  <c r="L165" i="28"/>
  <c r="M164" i="28"/>
  <c r="M163" i="28"/>
  <c r="L163" i="28"/>
  <c r="X154" i="28"/>
  <c r="X153" i="28"/>
  <c r="K151" i="28"/>
  <c r="K125" i="28"/>
  <c r="K141" i="28"/>
  <c r="K152" i="28"/>
  <c r="O133" i="28"/>
  <c r="K140" i="28"/>
  <c r="K154" i="28"/>
  <c r="K156" i="28"/>
  <c r="X152" i="28"/>
  <c r="K124" i="28"/>
  <c r="K153" i="28"/>
  <c r="K135" i="28"/>
  <c r="K132" i="28"/>
  <c r="K133" i="28"/>
  <c r="K126" i="28"/>
  <c r="K130" i="28"/>
  <c r="K131" i="28"/>
  <c r="K155" i="28"/>
  <c r="X159" i="28"/>
  <c r="X162" i="28"/>
  <c r="X160" i="28"/>
  <c r="O161" i="28"/>
  <c r="M161" i="28"/>
  <c r="X161" i="28" s="1"/>
  <c r="O162" i="28"/>
  <c r="L161" i="28"/>
  <c r="O160" i="28"/>
  <c r="M160" i="28"/>
  <c r="M159" i="28"/>
  <c r="O159" i="28"/>
  <c r="L162" i="28"/>
  <c r="M162" i="28"/>
  <c r="L160" i="28"/>
  <c r="L159" i="28"/>
  <c r="X156" i="28"/>
  <c r="O152" i="28"/>
  <c r="O153" i="28"/>
  <c r="L152" i="28"/>
  <c r="O154" i="28"/>
  <c r="M153" i="28"/>
  <c r="O155" i="28"/>
  <c r="O156" i="28"/>
  <c r="L153" i="28"/>
  <c r="M156" i="28"/>
  <c r="L156" i="28"/>
  <c r="M155" i="28"/>
  <c r="X155" i="28" s="1"/>
  <c r="L155" i="28"/>
  <c r="M152" i="28"/>
  <c r="L154" i="28"/>
  <c r="O151" i="28"/>
  <c r="M154" i="28"/>
  <c r="M151" i="28"/>
  <c r="X151" i="28"/>
  <c r="L151" i="28"/>
  <c r="O140" i="28"/>
  <c r="O139" i="28"/>
  <c r="M139" i="28"/>
  <c r="X144" i="28"/>
  <c r="L140" i="28"/>
  <c r="O141" i="28"/>
  <c r="L139" i="28"/>
  <c r="M140" i="28"/>
  <c r="L141" i="28"/>
  <c r="M141" i="28"/>
  <c r="M131" i="28"/>
  <c r="O132" i="28"/>
  <c r="O134" i="28"/>
  <c r="M132" i="28"/>
  <c r="O131" i="28"/>
  <c r="L131" i="28"/>
  <c r="L124" i="28"/>
  <c r="O126" i="28"/>
  <c r="L130" i="28"/>
  <c r="O124" i="28"/>
  <c r="O130" i="28"/>
  <c r="M130" i="28"/>
  <c r="O125" i="28"/>
  <c r="M124" i="28"/>
  <c r="L125" i="28"/>
  <c r="M126" i="28"/>
  <c r="M125" i="28"/>
  <c r="L126" i="28"/>
  <c r="M134" i="28"/>
  <c r="L135" i="28"/>
  <c r="L133" i="28"/>
  <c r="M133" i="28"/>
  <c r="O135" i="28"/>
  <c r="L134" i="28"/>
  <c r="L132" i="28"/>
  <c r="M135" i="28"/>
  <c r="CZ3" i="71"/>
  <c r="CV3" i="71"/>
  <c r="CR3" i="71"/>
  <c r="CN3" i="71"/>
  <c r="CJ3" i="71"/>
  <c r="CF3" i="71"/>
  <c r="CB3" i="71"/>
  <c r="BX3" i="71"/>
  <c r="BT3" i="71"/>
  <c r="BP3" i="71"/>
  <c r="BL3" i="71"/>
  <c r="BH3" i="71"/>
  <c r="BD3" i="71"/>
  <c r="AZ3" i="71"/>
  <c r="AV3" i="71"/>
  <c r="AR3" i="71"/>
  <c r="AN3" i="71"/>
  <c r="AJ3" i="71"/>
  <c r="AF3" i="71"/>
  <c r="AB3" i="71"/>
  <c r="X3" i="71"/>
  <c r="T3" i="71"/>
  <c r="P3" i="71"/>
  <c r="L3" i="71"/>
  <c r="H3" i="71"/>
  <c r="J22" i="70"/>
  <c r="I22" i="70"/>
  <c r="CZ3" i="70"/>
  <c r="CV3" i="70"/>
  <c r="CR3" i="70"/>
  <c r="CN3" i="70"/>
  <c r="CJ3" i="70"/>
  <c r="CF3" i="70"/>
  <c r="CB3" i="70"/>
  <c r="BX3" i="70"/>
  <c r="BT3" i="70"/>
  <c r="BP3" i="70"/>
  <c r="BL3" i="70"/>
  <c r="BH3" i="70"/>
  <c r="J22" i="69"/>
  <c r="F22" i="69" s="1"/>
  <c r="I22" i="69"/>
  <c r="E22" i="69" s="1"/>
  <c r="H22" i="69"/>
  <c r="D22" i="69" s="1"/>
  <c r="CZ3" i="69"/>
  <c r="CV3" i="69"/>
  <c r="CR3" i="69"/>
  <c r="CN3" i="69"/>
  <c r="CJ3" i="69"/>
  <c r="CF3" i="69"/>
  <c r="CB3" i="69"/>
  <c r="BX3" i="69"/>
  <c r="BT3" i="69"/>
  <c r="BP3" i="69"/>
  <c r="BL3" i="69"/>
  <c r="J22" i="68"/>
  <c r="I22" i="68"/>
  <c r="CZ3" i="68"/>
  <c r="CV3" i="68"/>
  <c r="CR3" i="68"/>
  <c r="CN3" i="68"/>
  <c r="CJ3" i="68"/>
  <c r="CF3" i="68"/>
  <c r="CB3" i="68"/>
  <c r="BX3" i="68"/>
  <c r="BT3" i="68"/>
  <c r="BP3" i="68"/>
  <c r="BL3" i="68"/>
  <c r="BH3" i="68"/>
  <c r="CZ3" i="67"/>
  <c r="CV3" i="67"/>
  <c r="CR3" i="67"/>
  <c r="CN3" i="67"/>
  <c r="CJ3" i="67"/>
  <c r="CF3" i="67"/>
  <c r="CB3" i="67"/>
  <c r="BX3" i="67"/>
  <c r="BT3" i="67"/>
  <c r="BP3" i="67"/>
  <c r="BL3" i="67"/>
  <c r="BH3" i="67"/>
  <c r="CZ3" i="66"/>
  <c r="CV3" i="66"/>
  <c r="CR3" i="66"/>
  <c r="CN3" i="66"/>
  <c r="CJ3" i="66"/>
  <c r="CF3" i="66"/>
  <c r="CB3" i="66"/>
  <c r="BX3" i="66"/>
  <c r="BT3" i="66"/>
  <c r="BP3" i="66"/>
  <c r="BL3" i="66"/>
  <c r="BH3" i="66"/>
  <c r="V22" i="65"/>
  <c r="P12" i="74" s="1"/>
  <c r="J33" i="28" s="1"/>
  <c r="U22" i="65"/>
  <c r="O12" i="74" s="1"/>
  <c r="I33" i="28" s="1"/>
  <c r="CZ3" i="65"/>
  <c r="CV3" i="65"/>
  <c r="CR3" i="65"/>
  <c r="CN3" i="65"/>
  <c r="CJ3" i="65"/>
  <c r="CF3" i="65"/>
  <c r="CB3" i="65"/>
  <c r="BX3" i="65"/>
  <c r="BT3" i="65"/>
  <c r="BP3" i="65"/>
  <c r="BL3" i="65"/>
  <c r="BH3" i="65"/>
  <c r="CZ3" i="64"/>
  <c r="CV3" i="64"/>
  <c r="CR3" i="64"/>
  <c r="CN3" i="64"/>
  <c r="CJ3" i="64"/>
  <c r="CF3" i="64"/>
  <c r="CB3" i="64"/>
  <c r="BX3" i="64"/>
  <c r="BT3" i="64"/>
  <c r="BP3" i="64"/>
  <c r="BL3" i="64"/>
  <c r="BH3" i="64"/>
  <c r="J22" i="63"/>
  <c r="D17" i="74" s="1"/>
  <c r="S8" i="28" s="1"/>
  <c r="I22" i="63"/>
  <c r="C17" i="74" s="1"/>
  <c r="R8" i="28" s="1"/>
  <c r="H22" i="63"/>
  <c r="B17" i="74" s="1"/>
  <c r="Q8" i="28" s="1"/>
  <c r="AH90" i="28" s="1"/>
  <c r="CZ3" i="63"/>
  <c r="CV3" i="63"/>
  <c r="CR3" i="63"/>
  <c r="CN3" i="63"/>
  <c r="CJ3" i="63"/>
  <c r="CF3" i="63"/>
  <c r="CB3" i="63"/>
  <c r="BX3" i="63"/>
  <c r="BT3" i="63"/>
  <c r="BP3" i="63"/>
  <c r="BL3" i="63"/>
  <c r="BH3" i="63"/>
  <c r="CZ3" i="62"/>
  <c r="CV3" i="62"/>
  <c r="CR3" i="62"/>
  <c r="CN3" i="62"/>
  <c r="CJ3" i="62"/>
  <c r="CF3" i="62"/>
  <c r="CB3" i="62"/>
  <c r="BX3" i="62"/>
  <c r="BT3" i="62"/>
  <c r="BP3" i="62"/>
  <c r="BL3" i="62"/>
  <c r="BH3" i="62"/>
  <c r="CZ3" i="61"/>
  <c r="CV3" i="61"/>
  <c r="CR3" i="61"/>
  <c r="CN3" i="61"/>
  <c r="CJ3" i="61"/>
  <c r="CF3" i="61"/>
  <c r="CB3" i="61"/>
  <c r="BX3" i="61"/>
  <c r="BT3" i="61"/>
  <c r="BP3" i="61"/>
  <c r="BL3" i="61"/>
  <c r="BH3" i="61"/>
  <c r="J22" i="60"/>
  <c r="D13" i="74" s="1"/>
  <c r="I22" i="60"/>
  <c r="C13" i="74" s="1"/>
  <c r="CZ3" i="60"/>
  <c r="CV3" i="60"/>
  <c r="CR3" i="60"/>
  <c r="CN3" i="60"/>
  <c r="CJ3" i="60"/>
  <c r="CF3" i="60"/>
  <c r="CB3" i="60"/>
  <c r="BX3" i="60"/>
  <c r="BT3" i="60"/>
  <c r="BP3" i="60"/>
  <c r="BL3" i="60"/>
  <c r="BH3" i="60"/>
  <c r="J22" i="59"/>
  <c r="CZ3" i="59"/>
  <c r="CV3" i="59"/>
  <c r="CR3" i="59"/>
  <c r="CN3" i="59"/>
  <c r="CJ3" i="59"/>
  <c r="CF3" i="59"/>
  <c r="CB3" i="59"/>
  <c r="BX3" i="59"/>
  <c r="BT3" i="59"/>
  <c r="BP3" i="59"/>
  <c r="BL3" i="59"/>
  <c r="BH3" i="59"/>
  <c r="CZ3" i="58"/>
  <c r="CV3" i="58"/>
  <c r="CR3" i="58"/>
  <c r="CN3" i="58"/>
  <c r="CJ3" i="58"/>
  <c r="CF3" i="58"/>
  <c r="CB3" i="58"/>
  <c r="BX3" i="58"/>
  <c r="BT3" i="58"/>
  <c r="BP3" i="58"/>
  <c r="BL3" i="58"/>
  <c r="BH3" i="58"/>
  <c r="J22" i="22"/>
  <c r="D14" i="74" s="1"/>
  <c r="I22" i="22"/>
  <c r="C14" i="74" s="1"/>
  <c r="H22" i="22"/>
  <c r="B14" i="74" s="1"/>
  <c r="C213" i="21"/>
  <c r="C214" i="21"/>
  <c r="C215" i="21"/>
  <c r="C216" i="21"/>
  <c r="C217" i="21"/>
  <c r="C218" i="21"/>
  <c r="C219" i="21"/>
  <c r="C220" i="21"/>
  <c r="C221" i="21"/>
  <c r="C222" i="21"/>
  <c r="C223" i="21"/>
  <c r="C224" i="21"/>
  <c r="C225" i="21"/>
  <c r="C212" i="21"/>
  <c r="C198" i="21"/>
  <c r="C199" i="21"/>
  <c r="C200" i="21"/>
  <c r="C201" i="21"/>
  <c r="C202" i="21"/>
  <c r="C203" i="21"/>
  <c r="C204" i="21"/>
  <c r="C205" i="21"/>
  <c r="C206" i="21"/>
  <c r="C207" i="21"/>
  <c r="C208" i="21"/>
  <c r="C209" i="21"/>
  <c r="C197" i="21"/>
  <c r="C183" i="21"/>
  <c r="C184" i="21"/>
  <c r="C185" i="21"/>
  <c r="C186" i="21"/>
  <c r="C187" i="21"/>
  <c r="C188" i="21"/>
  <c r="C189" i="21"/>
  <c r="C190" i="21"/>
  <c r="C191" i="21"/>
  <c r="C192" i="21"/>
  <c r="C193" i="21"/>
  <c r="C194" i="21"/>
  <c r="C168" i="21"/>
  <c r="C169" i="21"/>
  <c r="C170" i="21"/>
  <c r="C171" i="21"/>
  <c r="C172" i="21"/>
  <c r="C173" i="21"/>
  <c r="C174" i="21"/>
  <c r="C175" i="21"/>
  <c r="C176" i="21"/>
  <c r="C177" i="21"/>
  <c r="C178" i="21"/>
  <c r="C179" i="21"/>
  <c r="C167" i="21"/>
  <c r="C153" i="21"/>
  <c r="C154" i="21"/>
  <c r="C155" i="21"/>
  <c r="C156" i="21"/>
  <c r="C157" i="21"/>
  <c r="C158" i="21"/>
  <c r="C159" i="21"/>
  <c r="C160" i="21"/>
  <c r="C161" i="21"/>
  <c r="C162" i="21"/>
  <c r="C163" i="21"/>
  <c r="C164" i="21"/>
  <c r="C152" i="21"/>
  <c r="C138" i="21"/>
  <c r="C139" i="21"/>
  <c r="C140" i="21"/>
  <c r="C141" i="21"/>
  <c r="C142" i="21"/>
  <c r="C143" i="21"/>
  <c r="C144" i="21"/>
  <c r="C145" i="21"/>
  <c r="C146" i="21"/>
  <c r="C147" i="21"/>
  <c r="C148" i="21"/>
  <c r="C149" i="21"/>
  <c r="C150" i="21"/>
  <c r="C137" i="21"/>
  <c r="C123" i="21"/>
  <c r="C124" i="21"/>
  <c r="C125" i="21"/>
  <c r="C126" i="21"/>
  <c r="C127" i="21"/>
  <c r="C128" i="21"/>
  <c r="C129" i="21"/>
  <c r="C130" i="21"/>
  <c r="C131" i="21"/>
  <c r="C132" i="21"/>
  <c r="C133" i="21"/>
  <c r="C134" i="21"/>
  <c r="C135" i="21"/>
  <c r="C122" i="21"/>
  <c r="C108" i="21"/>
  <c r="C109" i="21"/>
  <c r="C110" i="21"/>
  <c r="C111" i="21"/>
  <c r="C112" i="21"/>
  <c r="C113" i="21"/>
  <c r="C114" i="21"/>
  <c r="C115" i="21"/>
  <c r="C116" i="21"/>
  <c r="C117" i="21"/>
  <c r="C118" i="21"/>
  <c r="C119" i="21"/>
  <c r="C120" i="21"/>
  <c r="C107" i="21"/>
  <c r="C93" i="21"/>
  <c r="C94" i="21"/>
  <c r="C95" i="21"/>
  <c r="C96" i="21"/>
  <c r="C97" i="21"/>
  <c r="C98" i="21"/>
  <c r="C99" i="21"/>
  <c r="C100" i="21"/>
  <c r="C101" i="21"/>
  <c r="C102" i="21"/>
  <c r="C103" i="21"/>
  <c r="C104" i="21"/>
  <c r="C105" i="21"/>
  <c r="C92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77" i="21"/>
  <c r="C63" i="21"/>
  <c r="C64" i="21"/>
  <c r="C65" i="21"/>
  <c r="C66" i="21"/>
  <c r="C67" i="21"/>
  <c r="C68" i="21"/>
  <c r="C69" i="21"/>
  <c r="C70" i="21"/>
  <c r="C71" i="21"/>
  <c r="C72" i="21"/>
  <c r="C73" i="21"/>
  <c r="C75" i="21"/>
  <c r="C62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47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32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17" i="21"/>
  <c r="C3" i="21"/>
  <c r="C4" i="21"/>
  <c r="C5" i="21"/>
  <c r="C6" i="21"/>
  <c r="C7" i="21"/>
  <c r="C8" i="21"/>
  <c r="C9" i="21"/>
  <c r="C10" i="21"/>
  <c r="C11" i="21"/>
  <c r="C12" i="21"/>
  <c r="C13" i="21"/>
  <c r="C14" i="21"/>
  <c r="C2" i="21"/>
  <c r="B225" i="21"/>
  <c r="B223" i="21"/>
  <c r="B224" i="21"/>
  <c r="B213" i="21"/>
  <c r="B214" i="21"/>
  <c r="B215" i="21"/>
  <c r="B216" i="21"/>
  <c r="B217" i="21"/>
  <c r="B218" i="21"/>
  <c r="B219" i="21"/>
  <c r="B220" i="21"/>
  <c r="B221" i="21"/>
  <c r="B222" i="21"/>
  <c r="B212" i="21"/>
  <c r="B206" i="21"/>
  <c r="B207" i="21"/>
  <c r="B208" i="21"/>
  <c r="B209" i="21"/>
  <c r="B198" i="21"/>
  <c r="B199" i="21"/>
  <c r="B200" i="21"/>
  <c r="B201" i="21"/>
  <c r="B202" i="21"/>
  <c r="B203" i="21"/>
  <c r="B204" i="21"/>
  <c r="B205" i="21"/>
  <c r="B197" i="21"/>
  <c r="B168" i="21"/>
  <c r="B169" i="21"/>
  <c r="B170" i="21"/>
  <c r="B171" i="21"/>
  <c r="B172" i="21"/>
  <c r="B173" i="21"/>
  <c r="B174" i="21"/>
  <c r="B175" i="21"/>
  <c r="B176" i="21"/>
  <c r="B177" i="21"/>
  <c r="B178" i="21"/>
  <c r="B179" i="21"/>
  <c r="B167" i="21"/>
  <c r="B163" i="21"/>
  <c r="B164" i="21"/>
  <c r="B153" i="21"/>
  <c r="B154" i="21"/>
  <c r="B155" i="21"/>
  <c r="B156" i="21"/>
  <c r="B157" i="21"/>
  <c r="B158" i="21"/>
  <c r="B159" i="21"/>
  <c r="B160" i="21"/>
  <c r="B161" i="21"/>
  <c r="B162" i="21"/>
  <c r="B152" i="21"/>
  <c r="B138" i="21"/>
  <c r="B139" i="21"/>
  <c r="B140" i="21"/>
  <c r="B141" i="21"/>
  <c r="B142" i="21"/>
  <c r="B143" i="21"/>
  <c r="B144" i="21"/>
  <c r="B145" i="21"/>
  <c r="B146" i="21"/>
  <c r="B147" i="21"/>
  <c r="B148" i="21"/>
  <c r="B149" i="21"/>
  <c r="B150" i="21"/>
  <c r="B137" i="21"/>
  <c r="B135" i="21"/>
  <c r="B123" i="21"/>
  <c r="B124" i="21"/>
  <c r="B125" i="21"/>
  <c r="B126" i="21"/>
  <c r="B127" i="21"/>
  <c r="B128" i="21"/>
  <c r="B129" i="21"/>
  <c r="B130" i="21"/>
  <c r="B131" i="21"/>
  <c r="B132" i="21"/>
  <c r="B133" i="21"/>
  <c r="B134" i="21"/>
  <c r="B122" i="21"/>
  <c r="B108" i="21"/>
  <c r="B109" i="21"/>
  <c r="B110" i="21"/>
  <c r="B111" i="21"/>
  <c r="B112" i="21"/>
  <c r="B113" i="21"/>
  <c r="B114" i="21"/>
  <c r="B115" i="21"/>
  <c r="B116" i="21"/>
  <c r="B117" i="21"/>
  <c r="B118" i="21"/>
  <c r="B119" i="21"/>
  <c r="B120" i="21"/>
  <c r="B107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105" i="21"/>
  <c r="B9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62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47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17" i="21"/>
  <c r="AI140" i="28" l="1"/>
  <c r="AI88" i="28"/>
  <c r="AD123" i="28"/>
  <c r="AI137" i="28"/>
  <c r="AI136" i="28"/>
  <c r="AL136" i="28"/>
  <c r="AE140" i="28"/>
  <c r="AE135" i="28"/>
  <c r="AD140" i="28"/>
  <c r="AI124" i="28"/>
  <c r="AI138" i="28"/>
  <c r="AI139" i="28"/>
  <c r="AD136" i="28"/>
  <c r="AD135" i="28"/>
  <c r="AF136" i="28"/>
  <c r="AF140" i="28"/>
  <c r="AE139" i="28"/>
  <c r="AE136" i="28"/>
  <c r="AF135" i="28"/>
  <c r="AL135" i="28"/>
  <c r="AF139" i="28"/>
  <c r="AL139" i="28"/>
  <c r="AL137" i="28"/>
  <c r="AD138" i="28"/>
  <c r="AL138" i="28"/>
  <c r="AD137" i="28"/>
  <c r="AL140" i="28"/>
  <c r="AF137" i="28"/>
  <c r="AI135" i="28"/>
  <c r="AD139" i="28"/>
  <c r="AF138" i="28"/>
  <c r="AE137" i="28"/>
  <c r="AE138" i="28"/>
  <c r="AL134" i="28"/>
  <c r="AE134" i="28"/>
  <c r="AI126" i="28"/>
  <c r="AF134" i="28"/>
  <c r="AE125" i="28"/>
  <c r="AF127" i="28"/>
  <c r="AL127" i="28"/>
  <c r="AE129" i="28"/>
  <c r="AF125" i="28"/>
  <c r="AD129" i="28"/>
  <c r="AD130" i="28"/>
  <c r="AE130" i="28"/>
  <c r="AD124" i="28"/>
  <c r="AI130" i="28"/>
  <c r="AI125" i="28"/>
  <c r="AF128" i="28"/>
  <c r="AF124" i="28"/>
  <c r="AI129" i="28"/>
  <c r="AF129" i="28"/>
  <c r="AD128" i="28"/>
  <c r="AD134" i="28"/>
  <c r="AL125" i="28"/>
  <c r="AE127" i="28"/>
  <c r="AD127" i="28"/>
  <c r="AL126" i="28"/>
  <c r="AL129" i="28"/>
  <c r="AF130" i="28"/>
  <c r="AE128" i="28"/>
  <c r="AL130" i="28"/>
  <c r="AD125" i="28"/>
  <c r="AD126" i="28"/>
  <c r="AE126" i="28"/>
  <c r="AL124" i="28"/>
  <c r="AE124" i="28"/>
  <c r="AF126" i="28"/>
  <c r="AL128" i="28"/>
  <c r="AE123" i="28"/>
  <c r="AF123" i="28"/>
  <c r="AL123" i="28"/>
  <c r="AI79" i="28"/>
  <c r="AI81" i="28"/>
  <c r="AI90" i="28"/>
  <c r="AI93" i="28"/>
  <c r="AI89" i="28"/>
  <c r="AL84" i="28"/>
  <c r="AF81" i="28"/>
  <c r="AE83" i="28"/>
  <c r="AL83" i="28"/>
  <c r="AF83" i="28"/>
  <c r="AE84" i="28"/>
  <c r="AL80" i="28"/>
  <c r="AD81" i="28"/>
  <c r="AI84" i="28"/>
  <c r="AG82" i="28"/>
  <c r="AI82" i="28" s="1"/>
  <c r="AD84" i="28"/>
  <c r="AE81" i="28"/>
  <c r="AD83" i="28"/>
  <c r="AF84" i="28"/>
  <c r="AI83" i="28"/>
  <c r="AL78" i="28"/>
  <c r="AF78" i="28"/>
  <c r="AE78" i="28"/>
  <c r="AD78" i="28"/>
  <c r="R7" i="28"/>
  <c r="I9" i="78"/>
  <c r="I9" i="28"/>
  <c r="S7" i="28"/>
  <c r="J9" i="78"/>
  <c r="J9" i="28"/>
  <c r="Q7" i="28"/>
  <c r="H9" i="78"/>
  <c r="H9" i="28"/>
  <c r="N104" i="21"/>
  <c r="S104" i="21"/>
  <c r="T104" i="21" s="1"/>
  <c r="I104" i="21"/>
  <c r="J104" i="21" s="1"/>
  <c r="D104" i="21"/>
  <c r="I157" i="21"/>
  <c r="N157" i="21"/>
  <c r="O157" i="21" s="1"/>
  <c r="D157" i="21"/>
  <c r="S157" i="21"/>
  <c r="T157" i="21" s="1"/>
  <c r="D153" i="21"/>
  <c r="I153" i="21"/>
  <c r="N153" i="21"/>
  <c r="S153" i="21"/>
  <c r="N171" i="21"/>
  <c r="D171" i="21"/>
  <c r="E171" i="21" s="1"/>
  <c r="S171" i="21"/>
  <c r="I171" i="21"/>
  <c r="J171" i="21" s="1"/>
  <c r="N99" i="21"/>
  <c r="S99" i="21"/>
  <c r="T99" i="21" s="1"/>
  <c r="I99" i="21"/>
  <c r="D99" i="21"/>
  <c r="E99" i="21" s="1"/>
  <c r="I164" i="21"/>
  <c r="D164" i="21"/>
  <c r="S164" i="21"/>
  <c r="T164" i="21" s="1"/>
  <c r="N164" i="21"/>
  <c r="O164" i="21" s="1"/>
  <c r="S94" i="21"/>
  <c r="D94" i="21"/>
  <c r="N94" i="21"/>
  <c r="O94" i="21" s="1"/>
  <c r="I94" i="21"/>
  <c r="N155" i="21"/>
  <c r="O155" i="21" s="1"/>
  <c r="D155" i="21"/>
  <c r="S155" i="21"/>
  <c r="T155" i="21" s="1"/>
  <c r="I155" i="21"/>
  <c r="S169" i="21"/>
  <c r="D169" i="21"/>
  <c r="N169" i="21"/>
  <c r="I169" i="21"/>
  <c r="J169" i="21" s="1"/>
  <c r="I96" i="21"/>
  <c r="S96" i="21"/>
  <c r="T96" i="21" s="1"/>
  <c r="N96" i="21"/>
  <c r="D96" i="21"/>
  <c r="D103" i="21"/>
  <c r="E103" i="21" s="1"/>
  <c r="S103" i="21"/>
  <c r="T103" i="21" s="1"/>
  <c r="I103" i="21"/>
  <c r="N103" i="21"/>
  <c r="O103" i="21" s="1"/>
  <c r="D95" i="21"/>
  <c r="S95" i="21"/>
  <c r="N95" i="21"/>
  <c r="I95" i="21"/>
  <c r="I156" i="21"/>
  <c r="D156" i="21"/>
  <c r="N156" i="21"/>
  <c r="O156" i="21" s="1"/>
  <c r="S156" i="21"/>
  <c r="S102" i="21"/>
  <c r="T102" i="21" s="1"/>
  <c r="I102" i="21"/>
  <c r="J102" i="21" s="1"/>
  <c r="D102" i="21"/>
  <c r="N102" i="21"/>
  <c r="O102" i="21" s="1"/>
  <c r="D98" i="21"/>
  <c r="N98" i="21"/>
  <c r="O98" i="21" s="1"/>
  <c r="S98" i="21"/>
  <c r="I98" i="21"/>
  <c r="I152" i="21"/>
  <c r="D152" i="21"/>
  <c r="N152" i="21"/>
  <c r="S152" i="21"/>
  <c r="D163" i="21"/>
  <c r="I163" i="21"/>
  <c r="J163" i="21" s="1"/>
  <c r="S163" i="21"/>
  <c r="T163" i="21" s="1"/>
  <c r="N163" i="21"/>
  <c r="I173" i="21"/>
  <c r="N173" i="21"/>
  <c r="S173" i="21"/>
  <c r="D173" i="21"/>
  <c r="E173" i="21" s="1"/>
  <c r="D105" i="21"/>
  <c r="I105" i="21"/>
  <c r="N105" i="21"/>
  <c r="S105" i="21"/>
  <c r="D101" i="21"/>
  <c r="I101" i="21"/>
  <c r="N101" i="21"/>
  <c r="S101" i="21"/>
  <c r="T101" i="21" s="1"/>
  <c r="S97" i="21"/>
  <c r="T97" i="21" s="1"/>
  <c r="I97" i="21"/>
  <c r="N97" i="21"/>
  <c r="D97" i="21"/>
  <c r="N93" i="21"/>
  <c r="S93" i="21"/>
  <c r="D93" i="21"/>
  <c r="I93" i="21"/>
  <c r="D162" i="21"/>
  <c r="I162" i="21"/>
  <c r="S162" i="21"/>
  <c r="T162" i="21" s="1"/>
  <c r="N162" i="21"/>
  <c r="D158" i="21"/>
  <c r="N158" i="21"/>
  <c r="O158" i="21" s="1"/>
  <c r="I158" i="21"/>
  <c r="J158" i="21" s="1"/>
  <c r="S158" i="21"/>
  <c r="T158" i="21" s="1"/>
  <c r="I154" i="21"/>
  <c r="D154" i="21"/>
  <c r="N154" i="21"/>
  <c r="S154" i="21"/>
  <c r="T154" i="21" s="1"/>
  <c r="N167" i="21"/>
  <c r="I167" i="21"/>
  <c r="S167" i="21"/>
  <c r="D167" i="21"/>
  <c r="I168" i="21"/>
  <c r="N168" i="21"/>
  <c r="S168" i="21"/>
  <c r="D168" i="21"/>
  <c r="S129" i="21"/>
  <c r="N129" i="21"/>
  <c r="O129" i="21" s="1"/>
  <c r="D129" i="21"/>
  <c r="I129" i="21"/>
  <c r="S132" i="21"/>
  <c r="T132" i="21" s="1"/>
  <c r="N132" i="21"/>
  <c r="O132" i="21" s="1"/>
  <c r="I132" i="21"/>
  <c r="J132" i="21" s="1"/>
  <c r="D132" i="21"/>
  <c r="E132" i="21" s="1"/>
  <c r="S124" i="21"/>
  <c r="T124" i="21" s="1"/>
  <c r="N124" i="21"/>
  <c r="I124" i="21"/>
  <c r="J124" i="21" s="1"/>
  <c r="D124" i="21"/>
  <c r="S131" i="21"/>
  <c r="N131" i="21"/>
  <c r="I131" i="21"/>
  <c r="D131" i="21"/>
  <c r="S123" i="21"/>
  <c r="D123" i="21"/>
  <c r="N123" i="21"/>
  <c r="I123" i="21"/>
  <c r="N133" i="21"/>
  <c r="S133" i="21"/>
  <c r="T133" i="21" s="1"/>
  <c r="D133" i="21"/>
  <c r="I133" i="21"/>
  <c r="N134" i="21"/>
  <c r="S134" i="21"/>
  <c r="T134" i="21" s="1"/>
  <c r="D134" i="21"/>
  <c r="I134" i="21"/>
  <c r="J134" i="21" s="1"/>
  <c r="N130" i="21"/>
  <c r="O130" i="21" s="1"/>
  <c r="S130" i="21"/>
  <c r="I130" i="21"/>
  <c r="D130" i="21"/>
  <c r="N126" i="21"/>
  <c r="S126" i="21"/>
  <c r="T126" i="21" s="1"/>
  <c r="I126" i="21"/>
  <c r="J126" i="21" s="1"/>
  <c r="D126" i="21"/>
  <c r="N122" i="21"/>
  <c r="S122" i="21"/>
  <c r="D122" i="21"/>
  <c r="I122" i="21"/>
  <c r="S33" i="21"/>
  <c r="D33" i="21"/>
  <c r="I33" i="21"/>
  <c r="N33" i="21"/>
  <c r="N36" i="21"/>
  <c r="O36" i="21" s="1"/>
  <c r="S36" i="21"/>
  <c r="T36" i="21" s="1"/>
  <c r="D36" i="21"/>
  <c r="I36" i="21"/>
  <c r="J36" i="21" s="1"/>
  <c r="S35" i="21"/>
  <c r="T35" i="21" s="1"/>
  <c r="N35" i="21"/>
  <c r="O35" i="21" s="1"/>
  <c r="I35" i="21"/>
  <c r="D35" i="21"/>
  <c r="D200" i="21"/>
  <c r="E200" i="21" s="1"/>
  <c r="I200" i="21"/>
  <c r="I202" i="21"/>
  <c r="D202" i="21"/>
  <c r="I206" i="21"/>
  <c r="D206" i="21"/>
  <c r="E206" i="21" s="1"/>
  <c r="I204" i="21"/>
  <c r="D204" i="21"/>
  <c r="I208" i="21"/>
  <c r="J208" i="21" s="1"/>
  <c r="D208" i="21"/>
  <c r="D207" i="21"/>
  <c r="I207" i="21"/>
  <c r="I197" i="21"/>
  <c r="D197" i="21"/>
  <c r="I205" i="21"/>
  <c r="D205" i="21"/>
  <c r="D201" i="21"/>
  <c r="I201" i="21"/>
  <c r="J201" i="21" s="1"/>
  <c r="I209" i="21"/>
  <c r="D209" i="21"/>
  <c r="D199" i="21"/>
  <c r="E199" i="21" s="1"/>
  <c r="I199" i="21"/>
  <c r="J199" i="21" s="1"/>
  <c r="S119" i="21"/>
  <c r="T119" i="21" s="1"/>
  <c r="D119" i="21"/>
  <c r="I119" i="21"/>
  <c r="J119" i="21" s="1"/>
  <c r="N119" i="21"/>
  <c r="S115" i="21"/>
  <c r="T115" i="21" s="1"/>
  <c r="N115" i="21"/>
  <c r="O115" i="21" s="1"/>
  <c r="I115" i="21"/>
  <c r="D115" i="21"/>
  <c r="E115" i="21" s="1"/>
  <c r="S107" i="21"/>
  <c r="I107" i="21"/>
  <c r="N107" i="21"/>
  <c r="D107" i="21"/>
  <c r="S113" i="21"/>
  <c r="T113" i="21" s="1"/>
  <c r="I113" i="21"/>
  <c r="N113" i="21"/>
  <c r="O113" i="21" s="1"/>
  <c r="D113" i="21"/>
  <c r="E113" i="21" s="1"/>
  <c r="S109" i="21"/>
  <c r="T109" i="21" s="1"/>
  <c r="D109" i="21"/>
  <c r="N109" i="21"/>
  <c r="I109" i="21"/>
  <c r="S120" i="21"/>
  <c r="T120" i="21" s="1"/>
  <c r="N120" i="21"/>
  <c r="D120" i="21"/>
  <c r="I120" i="21"/>
  <c r="S112" i="21"/>
  <c r="I112" i="21"/>
  <c r="D112" i="21"/>
  <c r="E112" i="21" s="1"/>
  <c r="N112" i="21"/>
  <c r="O112" i="21" s="1"/>
  <c r="S108" i="21"/>
  <c r="D108" i="21"/>
  <c r="I108" i="21"/>
  <c r="N108" i="21"/>
  <c r="S118" i="21"/>
  <c r="T118" i="21" s="1"/>
  <c r="I118" i="21"/>
  <c r="J118" i="21" s="1"/>
  <c r="N118" i="21"/>
  <c r="O118" i="21" s="1"/>
  <c r="D118" i="21"/>
  <c r="S114" i="21"/>
  <c r="N114" i="21"/>
  <c r="I114" i="21"/>
  <c r="D114" i="21"/>
  <c r="S110" i="21"/>
  <c r="T110" i="21" s="1"/>
  <c r="I110" i="21"/>
  <c r="D110" i="21"/>
  <c r="E110" i="21" s="1"/>
  <c r="N110" i="21"/>
  <c r="O110" i="21" s="1"/>
  <c r="N52" i="21"/>
  <c r="S52" i="21"/>
  <c r="T52" i="21" s="1"/>
  <c r="I52" i="21"/>
  <c r="D52" i="21"/>
  <c r="N55" i="21"/>
  <c r="O55" i="21" s="1"/>
  <c r="I55" i="21"/>
  <c r="D55" i="21"/>
  <c r="S55" i="21"/>
  <c r="T55" i="21" s="1"/>
  <c r="S47" i="21"/>
  <c r="I47" i="21"/>
  <c r="J47" i="21" s="1"/>
  <c r="N47" i="21"/>
  <c r="D47" i="21"/>
  <c r="S53" i="21"/>
  <c r="T53" i="21" s="1"/>
  <c r="N53" i="21"/>
  <c r="O53" i="21" s="1"/>
  <c r="I53" i="21"/>
  <c r="D53" i="21"/>
  <c r="I56" i="21"/>
  <c r="N56" i="21"/>
  <c r="O56" i="21" s="1"/>
  <c r="D56" i="21"/>
  <c r="S56" i="21"/>
  <c r="T56" i="21" s="1"/>
  <c r="S59" i="21"/>
  <c r="T59" i="21" s="1"/>
  <c r="N59" i="21"/>
  <c r="O59" i="21" s="1"/>
  <c r="I59" i="21"/>
  <c r="J59" i="21" s="1"/>
  <c r="D59" i="21"/>
  <c r="S58" i="21"/>
  <c r="T58" i="21" s="1"/>
  <c r="N58" i="21"/>
  <c r="I58" i="21"/>
  <c r="J58" i="21" s="1"/>
  <c r="D58" i="21"/>
  <c r="S54" i="21"/>
  <c r="T54" i="21" s="1"/>
  <c r="N54" i="21"/>
  <c r="O54" i="21" s="1"/>
  <c r="I54" i="21"/>
  <c r="D54" i="21"/>
  <c r="N57" i="21"/>
  <c r="O57" i="21" s="1"/>
  <c r="D57" i="21"/>
  <c r="E57" i="21" s="1"/>
  <c r="I57" i="21"/>
  <c r="S57" i="21"/>
  <c r="T57" i="21" s="1"/>
  <c r="I49" i="21"/>
  <c r="N49" i="21"/>
  <c r="O49" i="21" s="1"/>
  <c r="S49" i="21"/>
  <c r="D49" i="21"/>
  <c r="N60" i="21"/>
  <c r="O60" i="21" s="1"/>
  <c r="S60" i="21"/>
  <c r="I60" i="21"/>
  <c r="D60" i="21"/>
  <c r="I48" i="21"/>
  <c r="S48" i="21"/>
  <c r="T48" i="21" s="1"/>
  <c r="N48" i="21"/>
  <c r="D48" i="21"/>
  <c r="D23" i="21"/>
  <c r="S23" i="21"/>
  <c r="T23" i="21" s="1"/>
  <c r="N23" i="21"/>
  <c r="O23" i="21" s="1"/>
  <c r="I23" i="21"/>
  <c r="J23" i="21" s="1"/>
  <c r="S19" i="21"/>
  <c r="T19" i="21" s="1"/>
  <c r="N19" i="21"/>
  <c r="D19" i="21"/>
  <c r="I19" i="21"/>
  <c r="N26" i="21"/>
  <c r="O26" i="21" s="1"/>
  <c r="D26" i="21"/>
  <c r="S26" i="21"/>
  <c r="T26" i="21" s="1"/>
  <c r="I26" i="21"/>
  <c r="J26" i="21" s="1"/>
  <c r="N22" i="21"/>
  <c r="O22" i="21" s="1"/>
  <c r="D22" i="21"/>
  <c r="S22" i="21"/>
  <c r="T22" i="21" s="1"/>
  <c r="I22" i="21"/>
  <c r="J22" i="21" s="1"/>
  <c r="I18" i="21"/>
  <c r="N18" i="21"/>
  <c r="O18" i="21" s="1"/>
  <c r="S18" i="21"/>
  <c r="T18" i="21" s="1"/>
  <c r="D18" i="21"/>
  <c r="D20" i="21"/>
  <c r="S20" i="21"/>
  <c r="N20" i="21"/>
  <c r="O20" i="21" s="1"/>
  <c r="I20" i="21"/>
  <c r="D29" i="21"/>
  <c r="N29" i="21"/>
  <c r="O29" i="21" s="1"/>
  <c r="S29" i="21"/>
  <c r="T29" i="21" s="1"/>
  <c r="I29" i="21"/>
  <c r="S25" i="21"/>
  <c r="T25" i="21" s="1"/>
  <c r="N25" i="21"/>
  <c r="O25" i="21" s="1"/>
  <c r="D25" i="21"/>
  <c r="I25" i="21"/>
  <c r="J25" i="21" s="1"/>
  <c r="I21" i="21"/>
  <c r="J21" i="21" s="1"/>
  <c r="S21" i="21"/>
  <c r="T21" i="21" s="1"/>
  <c r="N21" i="21"/>
  <c r="O21" i="21" s="1"/>
  <c r="D21" i="21"/>
  <c r="N28" i="21"/>
  <c r="O28" i="21" s="1"/>
  <c r="D28" i="21"/>
  <c r="S28" i="21"/>
  <c r="T28" i="21" s="1"/>
  <c r="I28" i="21"/>
  <c r="D24" i="21"/>
  <c r="S24" i="21"/>
  <c r="T24" i="21" s="1"/>
  <c r="N24" i="21"/>
  <c r="O24" i="21" s="1"/>
  <c r="I24" i="21"/>
  <c r="N27" i="21"/>
  <c r="O27" i="21" s="1"/>
  <c r="D27" i="21"/>
  <c r="S27" i="21"/>
  <c r="T27" i="21" s="1"/>
  <c r="I27" i="21"/>
  <c r="J27" i="21" s="1"/>
  <c r="I220" i="21"/>
  <c r="J220" i="21" s="1"/>
  <c r="D220" i="21"/>
  <c r="I216" i="21"/>
  <c r="D216" i="21"/>
  <c r="I222" i="21"/>
  <c r="J222" i="21" s="1"/>
  <c r="D222" i="21"/>
  <c r="I218" i="21"/>
  <c r="J218" i="21" s="1"/>
  <c r="D218" i="21"/>
  <c r="E218" i="21" s="1"/>
  <c r="I225" i="21"/>
  <c r="D225" i="21"/>
  <c r="I212" i="21"/>
  <c r="D212" i="21"/>
  <c r="I219" i="21"/>
  <c r="D219" i="21"/>
  <c r="I215" i="21"/>
  <c r="D215" i="21"/>
  <c r="I223" i="21"/>
  <c r="D223" i="21"/>
  <c r="I214" i="21"/>
  <c r="J214" i="21" s="1"/>
  <c r="D214" i="21"/>
  <c r="E214" i="21" s="1"/>
  <c r="D221" i="21"/>
  <c r="I221" i="21"/>
  <c r="I217" i="21"/>
  <c r="J217" i="21" s="1"/>
  <c r="D217" i="21"/>
  <c r="I213" i="21"/>
  <c r="D213" i="21"/>
  <c r="N75" i="21"/>
  <c r="O75" i="21" s="1"/>
  <c r="I75" i="21"/>
  <c r="D75" i="21"/>
  <c r="S75" i="21"/>
  <c r="T75" i="21" s="1"/>
  <c r="N71" i="21"/>
  <c r="I71" i="21"/>
  <c r="D71" i="21"/>
  <c r="E71" i="21" s="1"/>
  <c r="S71" i="21"/>
  <c r="I67" i="21"/>
  <c r="S67" i="21"/>
  <c r="N67" i="21"/>
  <c r="O67" i="21" s="1"/>
  <c r="D67" i="21"/>
  <c r="E67" i="21" s="1"/>
  <c r="I63" i="21"/>
  <c r="N63" i="21"/>
  <c r="S63" i="21"/>
  <c r="T63" i="21" s="1"/>
  <c r="D63" i="21"/>
  <c r="N68" i="21"/>
  <c r="O68" i="21" s="1"/>
  <c r="D68" i="21"/>
  <c r="I68" i="21"/>
  <c r="S68" i="21"/>
  <c r="I70" i="21"/>
  <c r="S70" i="21"/>
  <c r="T70" i="21" s="1"/>
  <c r="N70" i="21"/>
  <c r="O70" i="21" s="1"/>
  <c r="D70" i="21"/>
  <c r="E70" i="21" s="1"/>
  <c r="D66" i="21"/>
  <c r="I66" i="21"/>
  <c r="J66" i="21" s="1"/>
  <c r="N66" i="21"/>
  <c r="S66" i="21"/>
  <c r="T66" i="21" s="1"/>
  <c r="I69" i="21"/>
  <c r="N69" i="21"/>
  <c r="O69" i="21" s="1"/>
  <c r="S69" i="21"/>
  <c r="D69" i="21"/>
  <c r="D65" i="21"/>
  <c r="E65" i="21" s="1"/>
  <c r="S65" i="21"/>
  <c r="T65" i="21" s="1"/>
  <c r="N65" i="21"/>
  <c r="O65" i="21" s="1"/>
  <c r="I65" i="21"/>
  <c r="N137" i="21"/>
  <c r="O137" i="21" s="1"/>
  <c r="S137" i="21"/>
  <c r="T137" i="21" s="1"/>
  <c r="D137" i="21"/>
  <c r="I137" i="21"/>
  <c r="S143" i="21"/>
  <c r="T143" i="21" s="1"/>
  <c r="N143" i="21"/>
  <c r="D143" i="21"/>
  <c r="I143" i="21"/>
  <c r="S139" i="21"/>
  <c r="N139" i="21"/>
  <c r="O139" i="21" s="1"/>
  <c r="D139" i="21"/>
  <c r="I139" i="21"/>
  <c r="S141" i="21"/>
  <c r="T141" i="21" s="1"/>
  <c r="N141" i="21"/>
  <c r="O141" i="21" s="1"/>
  <c r="I141" i="21"/>
  <c r="D141" i="21"/>
  <c r="N140" i="21"/>
  <c r="O140" i="21" s="1"/>
  <c r="S140" i="21"/>
  <c r="T140" i="21" s="1"/>
  <c r="I140" i="21"/>
  <c r="J140" i="21" s="1"/>
  <c r="D140" i="21"/>
  <c r="I161" i="21"/>
  <c r="S161" i="21"/>
  <c r="T161" i="21" s="1"/>
  <c r="D161" i="21"/>
  <c r="N161" i="21"/>
  <c r="O161" i="21" s="1"/>
  <c r="S135" i="21"/>
  <c r="T135" i="21" s="1"/>
  <c r="I135" i="21"/>
  <c r="N135" i="21"/>
  <c r="O135" i="21" s="1"/>
  <c r="D135" i="21"/>
  <c r="I198" i="21"/>
  <c r="D198" i="21"/>
  <c r="E198" i="21" s="1"/>
  <c r="I203" i="21"/>
  <c r="D203" i="21"/>
  <c r="D224" i="21"/>
  <c r="I224" i="21"/>
  <c r="N34" i="21"/>
  <c r="S34" i="21"/>
  <c r="T34" i="21" s="1"/>
  <c r="D34" i="21"/>
  <c r="I34" i="21"/>
  <c r="S30" i="21"/>
  <c r="T30" i="21" s="1"/>
  <c r="D30" i="21"/>
  <c r="N30" i="21"/>
  <c r="O30" i="21" s="1"/>
  <c r="I30" i="21"/>
  <c r="I74" i="21"/>
  <c r="N74" i="21"/>
  <c r="O74" i="21" s="1"/>
  <c r="S74" i="21"/>
  <c r="T74" i="21" s="1"/>
  <c r="D74" i="21"/>
  <c r="S73" i="21"/>
  <c r="T73" i="21" s="1"/>
  <c r="I73" i="21"/>
  <c r="N73" i="21"/>
  <c r="D73" i="21"/>
  <c r="S72" i="21"/>
  <c r="T72" i="21" s="1"/>
  <c r="N72" i="21"/>
  <c r="I72" i="21"/>
  <c r="D72" i="21"/>
  <c r="N51" i="21"/>
  <c r="S51" i="21"/>
  <c r="T51" i="21" s="1"/>
  <c r="I51" i="21"/>
  <c r="D51" i="21"/>
  <c r="I50" i="21"/>
  <c r="N50" i="21"/>
  <c r="O50" i="21" s="1"/>
  <c r="S50" i="21"/>
  <c r="T50" i="21" s="1"/>
  <c r="D50" i="21"/>
  <c r="N17" i="21"/>
  <c r="S17" i="21"/>
  <c r="T17" i="21" s="1"/>
  <c r="I17" i="21"/>
  <c r="D17" i="21"/>
  <c r="D41" i="21"/>
  <c r="S41" i="21"/>
  <c r="T41" i="21" s="1"/>
  <c r="I41" i="21"/>
  <c r="N41" i="21"/>
  <c r="D42" i="21"/>
  <c r="N42" i="21"/>
  <c r="O42" i="21" s="1"/>
  <c r="S42" i="21"/>
  <c r="I42" i="21"/>
  <c r="N45" i="21"/>
  <c r="D45" i="21"/>
  <c r="S45" i="21"/>
  <c r="T45" i="21" s="1"/>
  <c r="I45" i="21"/>
  <c r="D44" i="21"/>
  <c r="E44" i="21" s="1"/>
  <c r="S44" i="21"/>
  <c r="T44" i="21" s="1"/>
  <c r="I44" i="21"/>
  <c r="N44" i="21"/>
  <c r="O44" i="21" s="1"/>
  <c r="N40" i="21"/>
  <c r="O40" i="21" s="1"/>
  <c r="D40" i="21"/>
  <c r="I40" i="21"/>
  <c r="S40" i="21"/>
  <c r="I43" i="21"/>
  <c r="S43" i="21"/>
  <c r="T43" i="21" s="1"/>
  <c r="N43" i="21"/>
  <c r="O43" i="21" s="1"/>
  <c r="D43" i="21"/>
  <c r="N39" i="21"/>
  <c r="O39" i="21" s="1"/>
  <c r="D39" i="21"/>
  <c r="I39" i="21"/>
  <c r="S39" i="21"/>
  <c r="T39" i="21" s="1"/>
  <c r="S38" i="21"/>
  <c r="T38" i="21" s="1"/>
  <c r="D38" i="21"/>
  <c r="I38" i="21"/>
  <c r="N38" i="21"/>
  <c r="O38" i="21" s="1"/>
  <c r="I37" i="21"/>
  <c r="S37" i="21"/>
  <c r="T37" i="21" s="1"/>
  <c r="N37" i="21"/>
  <c r="D37" i="21"/>
  <c r="N125" i="21"/>
  <c r="S125" i="21"/>
  <c r="D125" i="21"/>
  <c r="I125" i="21"/>
  <c r="N111" i="21"/>
  <c r="I111" i="21"/>
  <c r="S111" i="21"/>
  <c r="D111" i="21"/>
  <c r="I160" i="21"/>
  <c r="N160" i="21"/>
  <c r="O160" i="21" s="1"/>
  <c r="S160" i="21"/>
  <c r="T160" i="21" s="1"/>
  <c r="D160" i="21"/>
  <c r="N64" i="21"/>
  <c r="I64" i="21"/>
  <c r="S64" i="21"/>
  <c r="T64" i="21" s="1"/>
  <c r="D64" i="21"/>
  <c r="N62" i="21"/>
  <c r="I62" i="21"/>
  <c r="S62" i="21"/>
  <c r="D62" i="21"/>
  <c r="S159" i="21"/>
  <c r="T159" i="21" s="1"/>
  <c r="D159" i="21"/>
  <c r="N159" i="21"/>
  <c r="O159" i="21" s="1"/>
  <c r="I159" i="21"/>
  <c r="S117" i="21"/>
  <c r="T117" i="21" s="1"/>
  <c r="N117" i="21"/>
  <c r="I117" i="21"/>
  <c r="D117" i="21"/>
  <c r="I128" i="21"/>
  <c r="S128" i="21"/>
  <c r="N128" i="21"/>
  <c r="D128" i="21"/>
  <c r="D127" i="21"/>
  <c r="S127" i="21"/>
  <c r="T127" i="21" s="1"/>
  <c r="N127" i="21"/>
  <c r="O127" i="21" s="1"/>
  <c r="I127" i="21"/>
  <c r="I100" i="21"/>
  <c r="S100" i="21"/>
  <c r="T100" i="21" s="1"/>
  <c r="N100" i="21"/>
  <c r="D100" i="21"/>
  <c r="S92" i="21"/>
  <c r="T92" i="21" s="1"/>
  <c r="N92" i="21"/>
  <c r="O92" i="21" s="1"/>
  <c r="I92" i="21"/>
  <c r="D92" i="21"/>
  <c r="I138" i="21"/>
  <c r="J138" i="21" s="1"/>
  <c r="D138" i="21"/>
  <c r="S138" i="21"/>
  <c r="T138" i="21" s="1"/>
  <c r="N138" i="21"/>
  <c r="O138" i="21" s="1"/>
  <c r="I179" i="21"/>
  <c r="D179" i="21"/>
  <c r="E179" i="21" s="1"/>
  <c r="S179" i="21"/>
  <c r="N179" i="21"/>
  <c r="O179" i="21" s="1"/>
  <c r="D178" i="21"/>
  <c r="E178" i="21" s="1"/>
  <c r="I178" i="21"/>
  <c r="N178" i="21"/>
  <c r="S178" i="21"/>
  <c r="T178" i="21" s="1"/>
  <c r="S175" i="21"/>
  <c r="T175" i="21" s="1"/>
  <c r="N175" i="21"/>
  <c r="I175" i="21"/>
  <c r="D175" i="21"/>
  <c r="E175" i="21" s="1"/>
  <c r="S177" i="21"/>
  <c r="T177" i="21" s="1"/>
  <c r="N177" i="21"/>
  <c r="I177" i="21"/>
  <c r="D177" i="21"/>
  <c r="E177" i="21" s="1"/>
  <c r="N180" i="21"/>
  <c r="O180" i="21" s="1"/>
  <c r="I180" i="21"/>
  <c r="S180" i="21"/>
  <c r="D180" i="21"/>
  <c r="D176" i="21"/>
  <c r="E176" i="21" s="1"/>
  <c r="N176" i="21"/>
  <c r="I176" i="21"/>
  <c r="S176" i="21"/>
  <c r="T176" i="21" s="1"/>
  <c r="S174" i="21"/>
  <c r="T174" i="21" s="1"/>
  <c r="I174" i="21"/>
  <c r="D174" i="21"/>
  <c r="E174" i="21" s="1"/>
  <c r="N174" i="21"/>
  <c r="O174" i="21" s="1"/>
  <c r="N172" i="21"/>
  <c r="O172" i="21" s="1"/>
  <c r="D172" i="21"/>
  <c r="E172" i="21" s="1"/>
  <c r="I172" i="21"/>
  <c r="S172" i="21"/>
  <c r="I170" i="21"/>
  <c r="N170" i="21"/>
  <c r="S170" i="21"/>
  <c r="D170" i="21"/>
  <c r="I149" i="21"/>
  <c r="S149" i="21"/>
  <c r="D149" i="21"/>
  <c r="N149" i="21"/>
  <c r="O149" i="21" s="1"/>
  <c r="D145" i="21"/>
  <c r="N145" i="21"/>
  <c r="O145" i="21" s="1"/>
  <c r="I145" i="21"/>
  <c r="S145" i="21"/>
  <c r="T145" i="21" s="1"/>
  <c r="D146" i="21"/>
  <c r="N146" i="21"/>
  <c r="S146" i="21"/>
  <c r="T146" i="21" s="1"/>
  <c r="I146" i="21"/>
  <c r="D148" i="21"/>
  <c r="E148" i="21" s="1"/>
  <c r="I148" i="21"/>
  <c r="J148" i="21" s="1"/>
  <c r="S148" i="21"/>
  <c r="T148" i="21" s="1"/>
  <c r="N148" i="21"/>
  <c r="O148" i="21" s="1"/>
  <c r="S147" i="21"/>
  <c r="T147" i="21" s="1"/>
  <c r="I147" i="21"/>
  <c r="J147" i="21" s="1"/>
  <c r="N147" i="21"/>
  <c r="O147" i="21" s="1"/>
  <c r="D147" i="21"/>
  <c r="E147" i="21" s="1"/>
  <c r="N150" i="21"/>
  <c r="O150" i="21" s="1"/>
  <c r="S150" i="21"/>
  <c r="T150" i="21" s="1"/>
  <c r="I150" i="21"/>
  <c r="D150" i="21"/>
  <c r="E150" i="21" s="1"/>
  <c r="S144" i="21"/>
  <c r="I144" i="21"/>
  <c r="D144" i="21"/>
  <c r="N144" i="21"/>
  <c r="O144" i="21" s="1"/>
  <c r="D142" i="21"/>
  <c r="I142" i="21"/>
  <c r="N142" i="21"/>
  <c r="S142" i="21"/>
  <c r="T142" i="21" s="1"/>
  <c r="N116" i="21"/>
  <c r="O116" i="21" s="1"/>
  <c r="S116" i="21"/>
  <c r="T116" i="21" s="1"/>
  <c r="D116" i="21"/>
  <c r="I116" i="21"/>
  <c r="S10" i="28"/>
  <c r="R10" i="28"/>
  <c r="O33" i="28"/>
  <c r="X8" i="28"/>
  <c r="AL82" i="28" s="1"/>
  <c r="U8" i="28"/>
  <c r="AE82" i="28" s="1"/>
  <c r="V8" i="28"/>
  <c r="AF82" i="28" s="1"/>
  <c r="T8" i="28"/>
  <c r="AD82" i="28" s="1"/>
  <c r="L8" i="28"/>
  <c r="AE90" i="28" s="1"/>
  <c r="K8" i="28"/>
  <c r="AD90" i="28" s="1"/>
  <c r="M8" i="28"/>
  <c r="AF90" i="28" s="1"/>
  <c r="O176" i="21"/>
  <c r="T193" i="21"/>
  <c r="O193" i="21"/>
  <c r="T185" i="21"/>
  <c r="O185" i="21"/>
  <c r="N201" i="21"/>
  <c r="O201" i="21" s="1"/>
  <c r="S201" i="21"/>
  <c r="T201" i="21" s="1"/>
  <c r="S206" i="21"/>
  <c r="T206" i="21" s="1"/>
  <c r="N206" i="21"/>
  <c r="O206" i="21" s="1"/>
  <c r="N224" i="21"/>
  <c r="O224" i="21" s="1"/>
  <c r="S224" i="21"/>
  <c r="T224" i="21" s="1"/>
  <c r="O175" i="21"/>
  <c r="T184" i="21"/>
  <c r="O184" i="21"/>
  <c r="N223" i="21"/>
  <c r="O223" i="21" s="1"/>
  <c r="S223" i="21"/>
  <c r="T223" i="21" s="1"/>
  <c r="O99" i="21"/>
  <c r="T165" i="21"/>
  <c r="T94" i="21"/>
  <c r="J179" i="21"/>
  <c r="T179" i="21"/>
  <c r="T182" i="21"/>
  <c r="O182" i="21"/>
  <c r="O188" i="21"/>
  <c r="J69" i="21"/>
  <c r="O93" i="21"/>
  <c r="T170" i="21"/>
  <c r="O170" i="21"/>
  <c r="O195" i="21"/>
  <c r="T195" i="21"/>
  <c r="O191" i="21"/>
  <c r="T191" i="21"/>
  <c r="O187" i="21"/>
  <c r="T187" i="21"/>
  <c r="O183" i="21"/>
  <c r="T183" i="21"/>
  <c r="S203" i="21"/>
  <c r="T203" i="21" s="1"/>
  <c r="N203" i="21"/>
  <c r="O203" i="21" s="1"/>
  <c r="S208" i="21"/>
  <c r="T208" i="21" s="1"/>
  <c r="N208" i="21"/>
  <c r="O208" i="21" s="1"/>
  <c r="N222" i="21"/>
  <c r="O222" i="21" s="1"/>
  <c r="S222" i="21"/>
  <c r="T222" i="21" s="1"/>
  <c r="S225" i="21"/>
  <c r="T225" i="21" s="1"/>
  <c r="N225" i="21"/>
  <c r="O225" i="21" s="1"/>
  <c r="J180" i="21"/>
  <c r="T180" i="21"/>
  <c r="T168" i="21"/>
  <c r="T189" i="21"/>
  <c r="O189" i="21"/>
  <c r="S205" i="21"/>
  <c r="T205" i="21" s="1"/>
  <c r="N205" i="21"/>
  <c r="O205" i="21" s="1"/>
  <c r="S210" i="21"/>
  <c r="T210" i="21" s="1"/>
  <c r="N210" i="21"/>
  <c r="O210" i="21" s="1"/>
  <c r="T171" i="21"/>
  <c r="J192" i="21"/>
  <c r="T192" i="21"/>
  <c r="O192" i="21"/>
  <c r="S204" i="21"/>
  <c r="N204" i="21"/>
  <c r="O204" i="21" s="1"/>
  <c r="S209" i="21"/>
  <c r="T209" i="21" s="1"/>
  <c r="N209" i="21"/>
  <c r="O209" i="21" s="1"/>
  <c r="O104" i="21"/>
  <c r="J96" i="21"/>
  <c r="T139" i="21"/>
  <c r="J167" i="21"/>
  <c r="O167" i="21"/>
  <c r="T167" i="21"/>
  <c r="O177" i="21"/>
  <c r="O169" i="21"/>
  <c r="T169" i="21"/>
  <c r="O194" i="21"/>
  <c r="T194" i="21"/>
  <c r="T190" i="21"/>
  <c r="O190" i="21"/>
  <c r="O186" i="21"/>
  <c r="T186" i="21"/>
  <c r="S202" i="21"/>
  <c r="T202" i="21" s="1"/>
  <c r="N202" i="21"/>
  <c r="O202" i="21" s="1"/>
  <c r="S207" i="21"/>
  <c r="T207" i="21" s="1"/>
  <c r="N207" i="21"/>
  <c r="O207" i="21" s="1"/>
  <c r="N221" i="21"/>
  <c r="S221" i="21"/>
  <c r="T221" i="21" s="1"/>
  <c r="S220" i="21"/>
  <c r="T220" i="21" s="1"/>
  <c r="N220" i="21"/>
  <c r="O220" i="21" s="1"/>
  <c r="S219" i="21"/>
  <c r="T219" i="21" s="1"/>
  <c r="N219" i="21"/>
  <c r="O219" i="21" s="1"/>
  <c r="N218" i="21"/>
  <c r="O218" i="21" s="1"/>
  <c r="S218" i="21"/>
  <c r="T218" i="21" s="1"/>
  <c r="J216" i="21"/>
  <c r="S216" i="21"/>
  <c r="T216" i="21" s="1"/>
  <c r="N216" i="21"/>
  <c r="S215" i="21"/>
  <c r="T215" i="21" s="1"/>
  <c r="N215" i="21"/>
  <c r="O215" i="21" s="1"/>
  <c r="N214" i="21"/>
  <c r="O214" i="21" s="1"/>
  <c r="S214" i="21"/>
  <c r="T214" i="21" s="1"/>
  <c r="S213" i="21"/>
  <c r="T213" i="21" s="1"/>
  <c r="N213" i="21"/>
  <c r="O213" i="21" s="1"/>
  <c r="S212" i="21"/>
  <c r="T212" i="21" s="1"/>
  <c r="N212" i="21"/>
  <c r="O212" i="21" s="1"/>
  <c r="J14" i="21"/>
  <c r="T4" i="21"/>
  <c r="T8" i="21"/>
  <c r="T12" i="21"/>
  <c r="T16" i="21"/>
  <c r="O11" i="21"/>
  <c r="O16" i="21"/>
  <c r="J11" i="21"/>
  <c r="T5" i="21"/>
  <c r="T13" i="21"/>
  <c r="T6" i="21"/>
  <c r="T10" i="21"/>
  <c r="T14" i="21"/>
  <c r="O9" i="21"/>
  <c r="J13" i="21"/>
  <c r="T3" i="21"/>
  <c r="T15" i="21"/>
  <c r="T2" i="21"/>
  <c r="S200" i="21"/>
  <c r="T200" i="21" s="1"/>
  <c r="N200" i="21"/>
  <c r="O200" i="21" s="1"/>
  <c r="S217" i="21"/>
  <c r="T217" i="21" s="1"/>
  <c r="N217" i="21"/>
  <c r="O217" i="21" s="1"/>
  <c r="N199" i="21"/>
  <c r="O199" i="21" s="1"/>
  <c r="S199" i="21"/>
  <c r="T199" i="21" s="1"/>
  <c r="N198" i="21"/>
  <c r="O198" i="21" s="1"/>
  <c r="S198" i="21"/>
  <c r="T198" i="21" s="1"/>
  <c r="S197" i="21"/>
  <c r="N197" i="21"/>
  <c r="F22" i="68"/>
  <c r="D6" i="74"/>
  <c r="J10" i="28" s="1"/>
  <c r="C6" i="74"/>
  <c r="I10" i="28" s="1"/>
  <c r="E22" i="68"/>
  <c r="E22" i="70"/>
  <c r="C20" i="74"/>
  <c r="D20" i="74"/>
  <c r="F22" i="70"/>
  <c r="F22" i="59"/>
  <c r="D18" i="74"/>
  <c r="J7" i="28" s="1"/>
  <c r="O7" i="28" s="1"/>
  <c r="E22" i="61"/>
  <c r="O9" i="74"/>
  <c r="F22" i="61"/>
  <c r="P9" i="74"/>
  <c r="D11" i="74"/>
  <c r="S9" i="28" s="1"/>
  <c r="B11" i="74"/>
  <c r="Q9" i="28" s="1"/>
  <c r="C11" i="74"/>
  <c r="R9" i="28" s="1"/>
  <c r="CV2" i="67"/>
  <c r="CF2" i="67"/>
  <c r="BP2" i="67"/>
  <c r="AZ2" i="67"/>
  <c r="AJ2" i="67"/>
  <c r="T2" i="67"/>
  <c r="CB2" i="67"/>
  <c r="BL2" i="67"/>
  <c r="AV2" i="67"/>
  <c r="P2" i="67"/>
  <c r="BX2" i="67"/>
  <c r="BH2" i="67"/>
  <c r="AB2" i="67"/>
  <c r="BT2" i="67"/>
  <c r="BD2" i="67"/>
  <c r="AN2" i="67"/>
  <c r="H2" i="67"/>
  <c r="AF2" i="67"/>
  <c r="CN2" i="67"/>
  <c r="AR2" i="67"/>
  <c r="L2" i="67"/>
  <c r="CJ2" i="67"/>
  <c r="X2" i="67"/>
  <c r="E22" i="65"/>
  <c r="CV2" i="65"/>
  <c r="CF2" i="65"/>
  <c r="BP2" i="65"/>
  <c r="AZ2" i="65"/>
  <c r="AJ2" i="65"/>
  <c r="T2" i="65"/>
  <c r="CB2" i="65"/>
  <c r="AF2" i="65"/>
  <c r="BT2" i="65"/>
  <c r="X2" i="65"/>
  <c r="BL2" i="65"/>
  <c r="AV2" i="65"/>
  <c r="P2" i="65"/>
  <c r="CJ2" i="65"/>
  <c r="AN2" i="65"/>
  <c r="CN2" i="65"/>
  <c r="BX2" i="65"/>
  <c r="BH2" i="65"/>
  <c r="AR2" i="65"/>
  <c r="AB2" i="65"/>
  <c r="L2" i="65"/>
  <c r="BD2" i="65"/>
  <c r="H2" i="65"/>
  <c r="F22" i="65"/>
  <c r="CV2" i="64"/>
  <c r="CF2" i="64"/>
  <c r="BP2" i="64"/>
  <c r="AZ2" i="64"/>
  <c r="AJ2" i="64"/>
  <c r="T2" i="64"/>
  <c r="BT2" i="64"/>
  <c r="H2" i="64"/>
  <c r="CB2" i="64"/>
  <c r="BL2" i="64"/>
  <c r="AV2" i="64"/>
  <c r="AF2" i="64"/>
  <c r="P2" i="64"/>
  <c r="BD2" i="64"/>
  <c r="AN2" i="64"/>
  <c r="CN2" i="64"/>
  <c r="BX2" i="64"/>
  <c r="BH2" i="64"/>
  <c r="AR2" i="64"/>
  <c r="AB2" i="64"/>
  <c r="L2" i="64"/>
  <c r="CJ2" i="64"/>
  <c r="X2" i="64"/>
  <c r="E22" i="63"/>
  <c r="CV2" i="63"/>
  <c r="CF2" i="63"/>
  <c r="BP2" i="63"/>
  <c r="AZ2" i="63"/>
  <c r="AJ2" i="63"/>
  <c r="T2" i="63"/>
  <c r="BT2" i="63"/>
  <c r="AN2" i="63"/>
  <c r="CB2" i="63"/>
  <c r="BL2" i="63"/>
  <c r="AV2" i="63"/>
  <c r="AF2" i="63"/>
  <c r="P2" i="63"/>
  <c r="CJ2" i="63"/>
  <c r="X2" i="63"/>
  <c r="CN2" i="63"/>
  <c r="BX2" i="63"/>
  <c r="BH2" i="63"/>
  <c r="AR2" i="63"/>
  <c r="AB2" i="63"/>
  <c r="L2" i="63"/>
  <c r="BD2" i="63"/>
  <c r="H2" i="63"/>
  <c r="F22" i="63"/>
  <c r="L6" i="28"/>
  <c r="AE79" i="28" s="1"/>
  <c r="D22" i="63"/>
  <c r="CV2" i="61"/>
  <c r="CF2" i="61"/>
  <c r="BP2" i="61"/>
  <c r="AZ2" i="61"/>
  <c r="AJ2" i="61"/>
  <c r="T2" i="61"/>
  <c r="BD2" i="61"/>
  <c r="H2" i="61"/>
  <c r="CB2" i="61"/>
  <c r="BL2" i="61"/>
  <c r="AV2" i="61"/>
  <c r="AF2" i="61"/>
  <c r="P2" i="61"/>
  <c r="BT2" i="61"/>
  <c r="AN2" i="61"/>
  <c r="CN2" i="61"/>
  <c r="BX2" i="61"/>
  <c r="BH2" i="61"/>
  <c r="AR2" i="61"/>
  <c r="AB2" i="61"/>
  <c r="L2" i="61"/>
  <c r="CJ2" i="61"/>
  <c r="X2" i="61"/>
  <c r="E22" i="60"/>
  <c r="F22" i="60"/>
  <c r="CV2" i="60"/>
  <c r="CF2" i="60"/>
  <c r="BP2" i="60"/>
  <c r="AZ2" i="60"/>
  <c r="AJ2" i="60"/>
  <c r="T2" i="60"/>
  <c r="BT2" i="60"/>
  <c r="H2" i="60"/>
  <c r="CB2" i="60"/>
  <c r="BL2" i="60"/>
  <c r="AV2" i="60"/>
  <c r="AF2" i="60"/>
  <c r="P2" i="60"/>
  <c r="CJ2" i="60"/>
  <c r="AN2" i="60"/>
  <c r="CN2" i="60"/>
  <c r="BX2" i="60"/>
  <c r="BH2" i="60"/>
  <c r="AR2" i="60"/>
  <c r="AB2" i="60"/>
  <c r="L2" i="60"/>
  <c r="BD2" i="60"/>
  <c r="X2" i="60"/>
  <c r="CV2" i="59"/>
  <c r="CF2" i="59"/>
  <c r="BP2" i="59"/>
  <c r="AZ2" i="59"/>
  <c r="AJ2" i="59"/>
  <c r="T2" i="59"/>
  <c r="BD2" i="59"/>
  <c r="X2" i="59"/>
  <c r="CB2" i="59"/>
  <c r="BL2" i="59"/>
  <c r="AV2" i="59"/>
  <c r="AF2" i="59"/>
  <c r="P2" i="59"/>
  <c r="CJ2" i="59"/>
  <c r="AN2" i="59"/>
  <c r="CN2" i="59"/>
  <c r="BX2" i="59"/>
  <c r="BH2" i="59"/>
  <c r="AR2" i="59"/>
  <c r="AB2" i="59"/>
  <c r="L2" i="59"/>
  <c r="BT2" i="59"/>
  <c r="H2" i="59"/>
  <c r="CV2" i="58"/>
  <c r="CF2" i="58"/>
  <c r="BP2" i="58"/>
  <c r="AZ2" i="58"/>
  <c r="AJ2" i="58"/>
  <c r="T2" i="58"/>
  <c r="CJ2" i="58"/>
  <c r="AN2" i="58"/>
  <c r="CB2" i="58"/>
  <c r="BL2" i="58"/>
  <c r="AV2" i="58"/>
  <c r="AF2" i="58"/>
  <c r="P2" i="58"/>
  <c r="BT2" i="58"/>
  <c r="H2" i="58"/>
  <c r="CN2" i="58"/>
  <c r="BX2" i="58"/>
  <c r="BH2" i="58"/>
  <c r="AR2" i="58"/>
  <c r="AB2" i="58"/>
  <c r="L2" i="58"/>
  <c r="BD2" i="58"/>
  <c r="X2" i="58"/>
  <c r="D22" i="22"/>
  <c r="E22" i="22"/>
  <c r="CV2" i="22"/>
  <c r="CF2" i="22"/>
  <c r="BP2" i="22"/>
  <c r="AZ2" i="22"/>
  <c r="AJ2" i="22"/>
  <c r="T2" i="22"/>
  <c r="BD2" i="22"/>
  <c r="X2" i="22"/>
  <c r="CB2" i="22"/>
  <c r="BL2" i="22"/>
  <c r="AV2" i="22"/>
  <c r="AF2" i="22"/>
  <c r="P2" i="22"/>
  <c r="CJ2" i="22"/>
  <c r="H2" i="22"/>
  <c r="CN2" i="22"/>
  <c r="BX2" i="22"/>
  <c r="BH2" i="22"/>
  <c r="AR2" i="22"/>
  <c r="AB2" i="22"/>
  <c r="L2" i="22"/>
  <c r="BT2" i="22"/>
  <c r="AN2" i="22"/>
  <c r="F22" i="22"/>
  <c r="CV2" i="68"/>
  <c r="CF2" i="68"/>
  <c r="BP2" i="68"/>
  <c r="AZ2" i="68"/>
  <c r="AJ2" i="68"/>
  <c r="T2" i="68"/>
  <c r="CB2" i="68"/>
  <c r="BL2" i="68"/>
  <c r="AV2" i="68"/>
  <c r="AF2" i="68"/>
  <c r="P2" i="68"/>
  <c r="AN2" i="68"/>
  <c r="CN2" i="68"/>
  <c r="BX2" i="68"/>
  <c r="BH2" i="68"/>
  <c r="AR2" i="68"/>
  <c r="AB2" i="68"/>
  <c r="L2" i="68"/>
  <c r="CJ2" i="68"/>
  <c r="BT2" i="68"/>
  <c r="BD2" i="68"/>
  <c r="X2" i="68"/>
  <c r="H2" i="68"/>
  <c r="CV2" i="69"/>
  <c r="CF2" i="69"/>
  <c r="BP2" i="69"/>
  <c r="AZ2" i="69"/>
  <c r="AJ2" i="69"/>
  <c r="T2" i="69"/>
  <c r="BT2" i="69"/>
  <c r="CB2" i="69"/>
  <c r="BL2" i="69"/>
  <c r="AV2" i="69"/>
  <c r="AF2" i="69"/>
  <c r="P2" i="69"/>
  <c r="CJ2" i="69"/>
  <c r="AN2" i="69"/>
  <c r="H2" i="69"/>
  <c r="CN2" i="69"/>
  <c r="BX2" i="69"/>
  <c r="BH2" i="69"/>
  <c r="AR2" i="69"/>
  <c r="AB2" i="69"/>
  <c r="L2" i="69"/>
  <c r="BD2" i="69"/>
  <c r="X2" i="69"/>
  <c r="CV2" i="70"/>
  <c r="CF2" i="70"/>
  <c r="BP2" i="70"/>
  <c r="AJ2" i="70"/>
  <c r="T2" i="70"/>
  <c r="CJ2" i="70"/>
  <c r="AN2" i="70"/>
  <c r="X2" i="70"/>
  <c r="H2" i="70"/>
  <c r="CB2" i="70"/>
  <c r="BL2" i="70"/>
  <c r="AV2" i="70"/>
  <c r="AF2" i="70"/>
  <c r="P2" i="70"/>
  <c r="BD2" i="70"/>
  <c r="CN2" i="70"/>
  <c r="BX2" i="70"/>
  <c r="BH2" i="70"/>
  <c r="AR2" i="70"/>
  <c r="AB2" i="70"/>
  <c r="L2" i="70"/>
  <c r="BT2" i="70"/>
  <c r="CV2" i="71"/>
  <c r="CF2" i="71"/>
  <c r="BP2" i="71"/>
  <c r="AZ2" i="71"/>
  <c r="AJ2" i="71"/>
  <c r="T2" i="71"/>
  <c r="BT2" i="71"/>
  <c r="CB2" i="71"/>
  <c r="BL2" i="71"/>
  <c r="AV2" i="71"/>
  <c r="AF2" i="71"/>
  <c r="P2" i="71"/>
  <c r="H2" i="71"/>
  <c r="CN2" i="71"/>
  <c r="BX2" i="71"/>
  <c r="BH2" i="71"/>
  <c r="AR2" i="71"/>
  <c r="AB2" i="71"/>
  <c r="L2" i="71"/>
  <c r="CJ2" i="71"/>
  <c r="BD2" i="71"/>
  <c r="AN2" i="71"/>
  <c r="X2" i="71"/>
  <c r="T31" i="21"/>
  <c r="O31" i="21"/>
  <c r="M91" i="28"/>
  <c r="L91" i="28"/>
  <c r="O91" i="28"/>
  <c r="O38" i="28"/>
  <c r="O42" i="28"/>
  <c r="L39" i="28"/>
  <c r="M39" i="28"/>
  <c r="O39" i="28"/>
  <c r="M38" i="28"/>
  <c r="L38" i="28"/>
  <c r="O22" i="28"/>
  <c r="O29" i="28"/>
  <c r="AJ139" i="28" l="1"/>
  <c r="AJ136" i="28"/>
  <c r="AJ135" i="28"/>
  <c r="AJ124" i="28"/>
  <c r="AJ129" i="28"/>
  <c r="AJ128" i="28"/>
  <c r="AJ140" i="28"/>
  <c r="AJ125" i="28"/>
  <c r="AJ137" i="28"/>
  <c r="AJ138" i="28"/>
  <c r="AJ127" i="28"/>
  <c r="AJ130" i="28"/>
  <c r="AJ126" i="28"/>
  <c r="T128" i="21"/>
  <c r="AJ84" i="28"/>
  <c r="AJ82" i="28"/>
  <c r="AH86" i="28"/>
  <c r="AG91" i="28"/>
  <c r="AJ90" i="28"/>
  <c r="AJ83" i="28"/>
  <c r="AH87" i="28"/>
  <c r="AI87" i="28" s="1"/>
  <c r="AG85" i="28"/>
  <c r="AI85" i="28" s="1"/>
  <c r="AJ81" i="28"/>
  <c r="AG86" i="28"/>
  <c r="AH91" i="28"/>
  <c r="AL87" i="28"/>
  <c r="T9" i="21"/>
  <c r="O15" i="21"/>
  <c r="T49" i="21"/>
  <c r="O6" i="21"/>
  <c r="T108" i="21"/>
  <c r="T111" i="21"/>
  <c r="O76" i="21"/>
  <c r="T122" i="21"/>
  <c r="O125" i="21"/>
  <c r="O111" i="21"/>
  <c r="O95" i="21"/>
  <c r="O101" i="21"/>
  <c r="O105" i="21"/>
  <c r="O97" i="21"/>
  <c r="O126" i="21"/>
  <c r="E195" i="21"/>
  <c r="O107" i="21"/>
  <c r="O121" i="21"/>
  <c r="O128" i="21"/>
  <c r="O52" i="21"/>
  <c r="O12" i="21"/>
  <c r="O47" i="21"/>
  <c r="O51" i="21"/>
  <c r="O3" i="21"/>
  <c r="O96" i="21"/>
  <c r="J105" i="21"/>
  <c r="T105" i="21"/>
  <c r="T95" i="21"/>
  <c r="O5" i="21"/>
  <c r="O100" i="21"/>
  <c r="O13" i="21"/>
  <c r="O14" i="21"/>
  <c r="O8" i="21"/>
  <c r="O58" i="21"/>
  <c r="O66" i="21"/>
  <c r="O146" i="21"/>
  <c r="O142" i="21"/>
  <c r="T7" i="21"/>
  <c r="O17" i="21"/>
  <c r="T20" i="21"/>
  <c r="T47" i="21"/>
  <c r="T61" i="21"/>
  <c r="O48" i="21"/>
  <c r="O2" i="21"/>
  <c r="O72" i="21"/>
  <c r="O4" i="21"/>
  <c r="T149" i="21"/>
  <c r="J193" i="21"/>
  <c r="O120" i="21"/>
  <c r="O119" i="21"/>
  <c r="T114" i="21"/>
  <c r="T125" i="21"/>
  <c r="O134" i="21"/>
  <c r="T129" i="21"/>
  <c r="T130" i="21"/>
  <c r="T156" i="21"/>
  <c r="T152" i="21"/>
  <c r="T166" i="21"/>
  <c r="O37" i="21"/>
  <c r="T33" i="21"/>
  <c r="T32" i="21"/>
  <c r="T40" i="21"/>
  <c r="O46" i="21"/>
  <c r="O19" i="21"/>
  <c r="O163" i="21"/>
  <c r="O165" i="21"/>
  <c r="O162" i="21"/>
  <c r="O62" i="21"/>
  <c r="O109" i="21"/>
  <c r="O117" i="21"/>
  <c r="O143" i="21"/>
  <c r="O7" i="21"/>
  <c r="O41" i="21"/>
  <c r="O34" i="21"/>
  <c r="O33" i="21"/>
  <c r="O32" i="21"/>
  <c r="J209" i="21"/>
  <c r="J79" i="21"/>
  <c r="O136" i="21"/>
  <c r="O133" i="21"/>
  <c r="J90" i="21"/>
  <c r="X7" i="28"/>
  <c r="AL85" i="28" s="1"/>
  <c r="K7" i="28"/>
  <c r="J16" i="21"/>
  <c r="U7" i="28"/>
  <c r="AE85" i="28" s="1"/>
  <c r="E107" i="21"/>
  <c r="T7" i="28"/>
  <c r="AD85" i="28" s="1"/>
  <c r="L7" i="28"/>
  <c r="M7" i="28"/>
  <c r="V7" i="28"/>
  <c r="AF85" i="28" s="1"/>
  <c r="U9" i="78"/>
  <c r="AE91" i="78" s="1"/>
  <c r="K9" i="78"/>
  <c r="AD86" i="78" s="1"/>
  <c r="T9" i="78"/>
  <c r="AD91" i="78" s="1"/>
  <c r="L9" i="78"/>
  <c r="AE86" i="78" s="1"/>
  <c r="V9" i="78"/>
  <c r="AF91" i="78" s="1"/>
  <c r="M9" i="78"/>
  <c r="AF86" i="78" s="1"/>
  <c r="AH91" i="78"/>
  <c r="AI91" i="78" s="1"/>
  <c r="AG86" i="78"/>
  <c r="AI86" i="78" s="1"/>
  <c r="O9" i="28"/>
  <c r="O9" i="78"/>
  <c r="AL86" i="78" s="1"/>
  <c r="J50" i="21"/>
  <c r="O10" i="21"/>
  <c r="J100" i="21"/>
  <c r="J149" i="21"/>
  <c r="J234" i="21"/>
  <c r="J128" i="21"/>
  <c r="J235" i="21"/>
  <c r="J136" i="21"/>
  <c r="J135" i="21"/>
  <c r="J241" i="21"/>
  <c r="T98" i="21"/>
  <c r="T144" i="21"/>
  <c r="J62" i="21"/>
  <c r="J153" i="21"/>
  <c r="J98" i="21"/>
  <c r="J77" i="21"/>
  <c r="J86" i="21"/>
  <c r="J55" i="21"/>
  <c r="J109" i="21"/>
  <c r="J15" i="21"/>
  <c r="O154" i="21"/>
  <c r="J44" i="21"/>
  <c r="J75" i="21"/>
  <c r="T107" i="21"/>
  <c r="J67" i="21"/>
  <c r="J84" i="21"/>
  <c r="J20" i="21"/>
  <c r="J95" i="21"/>
  <c r="J190" i="21"/>
  <c r="J200" i="21"/>
  <c r="J203" i="21"/>
  <c r="J29" i="21"/>
  <c r="J129" i="21"/>
  <c r="J51" i="21"/>
  <c r="J28" i="21"/>
  <c r="O108" i="21"/>
  <c r="O64" i="21"/>
  <c r="J10" i="21"/>
  <c r="J5" i="21"/>
  <c r="E106" i="21"/>
  <c r="E105" i="21"/>
  <c r="J121" i="21"/>
  <c r="J120" i="21"/>
  <c r="E18" i="21"/>
  <c r="E30" i="21"/>
  <c r="E27" i="21"/>
  <c r="E22" i="21"/>
  <c r="E26" i="21"/>
  <c r="J224" i="21"/>
  <c r="J155" i="21"/>
  <c r="J12" i="21"/>
  <c r="J233" i="21"/>
  <c r="J230" i="21"/>
  <c r="J232" i="21"/>
  <c r="J111" i="21"/>
  <c r="J97" i="21"/>
  <c r="T69" i="21"/>
  <c r="E38" i="21"/>
  <c r="J72" i="21"/>
  <c r="J8" i="21"/>
  <c r="J76" i="21"/>
  <c r="J31" i="21"/>
  <c r="J24" i="21"/>
  <c r="J30" i="21"/>
  <c r="O73" i="21"/>
  <c r="E74" i="21"/>
  <c r="J83" i="21"/>
  <c r="T153" i="21"/>
  <c r="T11" i="21"/>
  <c r="J122" i="21"/>
  <c r="J17" i="21"/>
  <c r="J117" i="21"/>
  <c r="J229" i="21"/>
  <c r="J187" i="21"/>
  <c r="J212" i="21"/>
  <c r="J189" i="21"/>
  <c r="J82" i="21"/>
  <c r="J159" i="21"/>
  <c r="J137" i="21"/>
  <c r="J142" i="21"/>
  <c r="J139" i="21"/>
  <c r="J4" i="21"/>
  <c r="E180" i="21"/>
  <c r="E204" i="21"/>
  <c r="T67" i="21"/>
  <c r="T172" i="21"/>
  <c r="O153" i="21"/>
  <c r="J91" i="21"/>
  <c r="J141" i="21"/>
  <c r="J143" i="21"/>
  <c r="O152" i="21"/>
  <c r="O227" i="21"/>
  <c r="I8" i="28"/>
  <c r="I6" i="28"/>
  <c r="J8" i="28"/>
  <c r="J6" i="28"/>
  <c r="T112" i="21"/>
  <c r="J174" i="21"/>
  <c r="J172" i="21"/>
  <c r="J19" i="21"/>
  <c r="J68" i="21"/>
  <c r="I30" i="28"/>
  <c r="O23" i="74"/>
  <c r="J30" i="28"/>
  <c r="P23" i="74"/>
  <c r="C23" i="74"/>
  <c r="D23" i="74"/>
  <c r="X10" i="28"/>
  <c r="AL81" i="28" s="1"/>
  <c r="O124" i="21"/>
  <c r="O45" i="21"/>
  <c r="O171" i="21"/>
  <c r="J204" i="21"/>
  <c r="T60" i="21"/>
  <c r="T131" i="21"/>
  <c r="O131" i="21"/>
  <c r="O122" i="21"/>
  <c r="J176" i="21"/>
  <c r="J103" i="21"/>
  <c r="J99" i="21"/>
  <c r="J71" i="21"/>
  <c r="O178" i="21"/>
  <c r="T188" i="21"/>
  <c r="O10" i="28"/>
  <c r="AL93" i="28" s="1"/>
  <c r="O63" i="21"/>
  <c r="T42" i="21"/>
  <c r="J39" i="21"/>
  <c r="J37" i="21"/>
  <c r="J48" i="21"/>
  <c r="J156" i="21"/>
  <c r="J211" i="21"/>
  <c r="J113" i="21"/>
  <c r="J108" i="21"/>
  <c r="O221" i="21"/>
  <c r="J130" i="21"/>
  <c r="J162" i="21"/>
  <c r="J238" i="21"/>
  <c r="J186" i="21"/>
  <c r="O114" i="21"/>
  <c r="J115" i="21"/>
  <c r="T123" i="21"/>
  <c r="O123" i="21"/>
  <c r="J195" i="21"/>
  <c r="J240" i="21"/>
  <c r="J223" i="21"/>
  <c r="J73" i="21"/>
  <c r="T68" i="21"/>
  <c r="J92" i="21"/>
  <c r="J239" i="21"/>
  <c r="J160" i="21"/>
  <c r="J154" i="21"/>
  <c r="J52" i="21"/>
  <c r="J53" i="21"/>
  <c r="X9" i="28"/>
  <c r="AL91" i="28" s="1"/>
  <c r="V9" i="28"/>
  <c r="AF91" i="28" s="1"/>
  <c r="K9" i="28"/>
  <c r="AD86" i="28" s="1"/>
  <c r="M9" i="28"/>
  <c r="U9" i="28"/>
  <c r="AE91" i="28" s="1"/>
  <c r="T9" i="28"/>
  <c r="AD91" i="28" s="1"/>
  <c r="L9" i="28"/>
  <c r="J188" i="21"/>
  <c r="J185" i="21"/>
  <c r="J112" i="21"/>
  <c r="J198" i="21"/>
  <c r="J74" i="21"/>
  <c r="O173" i="21"/>
  <c r="O71" i="21"/>
  <c r="O216" i="21"/>
  <c r="O232" i="21"/>
  <c r="O168" i="21"/>
  <c r="O197" i="21"/>
  <c r="O231" i="21"/>
  <c r="J207" i="21"/>
  <c r="J202" i="21"/>
  <c r="T93" i="21"/>
  <c r="T173" i="21"/>
  <c r="T197" i="21"/>
  <c r="T62" i="21"/>
  <c r="T71" i="21"/>
  <c r="T204" i="21"/>
  <c r="J210" i="21"/>
  <c r="J206" i="21"/>
  <c r="J205" i="21"/>
  <c r="J32" i="21"/>
  <c r="J40" i="21"/>
  <c r="J56" i="21"/>
  <c r="J60" i="21"/>
  <c r="J64" i="21"/>
  <c r="J80" i="21"/>
  <c r="J88" i="21"/>
  <c r="J116" i="21"/>
  <c r="J144" i="21"/>
  <c r="J152" i="21"/>
  <c r="J164" i="21"/>
  <c r="J168" i="21"/>
  <c r="J184" i="21"/>
  <c r="J228" i="21"/>
  <c r="J9" i="21"/>
  <c r="J33" i="21"/>
  <c r="J41" i="21"/>
  <c r="J45" i="21"/>
  <c r="J49" i="21"/>
  <c r="J57" i="21"/>
  <c r="J61" i="21"/>
  <c r="J65" i="21"/>
  <c r="J85" i="21"/>
  <c r="J93" i="21"/>
  <c r="J101" i="21"/>
  <c r="J125" i="21"/>
  <c r="J133" i="21"/>
  <c r="J145" i="21"/>
  <c r="J157" i="21"/>
  <c r="J161" i="21"/>
  <c r="J165" i="21"/>
  <c r="J173" i="21"/>
  <c r="J6" i="21"/>
  <c r="J43" i="21"/>
  <c r="J166" i="21"/>
  <c r="J197" i="21"/>
  <c r="J237" i="21"/>
  <c r="J2" i="21"/>
  <c r="J3" i="21"/>
  <c r="J7" i="21"/>
  <c r="J34" i="21"/>
  <c r="J38" i="21"/>
  <c r="J54" i="21"/>
  <c r="J127" i="21"/>
  <c r="J131" i="21"/>
  <c r="J146" i="21"/>
  <c r="J150" i="21"/>
  <c r="J177" i="21"/>
  <c r="J194" i="21"/>
  <c r="J213" i="21"/>
  <c r="J221" i="21"/>
  <c r="J225" i="21"/>
  <c r="J63" i="21"/>
  <c r="J106" i="21"/>
  <c r="J178" i="21"/>
  <c r="J182" i="21"/>
  <c r="J191" i="21"/>
  <c r="J110" i="21"/>
  <c r="J114" i="21"/>
  <c r="J123" i="21"/>
  <c r="J170" i="21"/>
  <c r="J175" i="21"/>
  <c r="J18" i="21"/>
  <c r="J35" i="21"/>
  <c r="J42" i="21"/>
  <c r="J107" i="21"/>
  <c r="J183" i="21"/>
  <c r="J227" i="21"/>
  <c r="J219" i="21"/>
  <c r="J70" i="21"/>
  <c r="J78" i="21"/>
  <c r="J94" i="21"/>
  <c r="J215" i="21"/>
  <c r="K6" i="28"/>
  <c r="AD79" i="28" s="1"/>
  <c r="AJ79" i="28" s="1"/>
  <c r="M6" i="28"/>
  <c r="AF79" i="28" s="1"/>
  <c r="K4" i="28"/>
  <c r="AD89" i="28" s="1"/>
  <c r="M5" i="28"/>
  <c r="O3" i="28"/>
  <c r="AL92" i="28" s="1"/>
  <c r="O4" i="28"/>
  <c r="O40" i="28"/>
  <c r="M4" i="28"/>
  <c r="L4" i="28"/>
  <c r="O5" i="28"/>
  <c r="AL88" i="28" s="1"/>
  <c r="L5" i="28"/>
  <c r="K5" i="28"/>
  <c r="M40" i="28"/>
  <c r="L40" i="28"/>
  <c r="AJ91" i="28" l="1"/>
  <c r="AE86" i="28"/>
  <c r="AJ86" i="28" s="1"/>
  <c r="AL86" i="28"/>
  <c r="AI86" i="28"/>
  <c r="AJ85" i="28"/>
  <c r="AF86" i="28"/>
  <c r="AI91" i="28"/>
  <c r="AJ91" i="78"/>
  <c r="AB91" i="78" s="1"/>
  <c r="AP69" i="78" s="1"/>
  <c r="AJ86" i="78"/>
  <c r="AB86" i="78" s="1"/>
  <c r="O30" i="28"/>
  <c r="AB84" i="28" s="1"/>
  <c r="AO62" i="28" s="1"/>
  <c r="O6" i="28"/>
  <c r="AL79" i="28" s="1"/>
  <c r="O8" i="28"/>
  <c r="AL90" i="28" s="1"/>
  <c r="AB82" i="28"/>
  <c r="AO60" i="28" s="1"/>
  <c r="P14" i="21"/>
  <c r="P46" i="21"/>
  <c r="P78" i="21"/>
  <c r="P110" i="21"/>
  <c r="P142" i="21"/>
  <c r="P174" i="21"/>
  <c r="P206" i="21"/>
  <c r="P238" i="21"/>
  <c r="P15" i="21"/>
  <c r="P47" i="21"/>
  <c r="P79" i="21"/>
  <c r="P111" i="21"/>
  <c r="P143" i="21"/>
  <c r="P175" i="21"/>
  <c r="P207" i="21"/>
  <c r="P239" i="21"/>
  <c r="P30" i="21"/>
  <c r="P94" i="21"/>
  <c r="P158" i="21"/>
  <c r="P222" i="21"/>
  <c r="P31" i="21"/>
  <c r="P95" i="21"/>
  <c r="P159" i="21"/>
  <c r="P223" i="21"/>
  <c r="P62" i="21"/>
  <c r="P126" i="21"/>
  <c r="P190" i="21"/>
  <c r="P254" i="21"/>
  <c r="P63" i="21"/>
  <c r="P255" i="21"/>
  <c r="P127" i="21"/>
  <c r="P191" i="21"/>
  <c r="P8" i="21"/>
  <c r="P24" i="21"/>
  <c r="P40" i="21"/>
  <c r="P56" i="21"/>
  <c r="P72" i="21"/>
  <c r="P88" i="21"/>
  <c r="P104" i="21"/>
  <c r="P120" i="21"/>
  <c r="P136" i="21"/>
  <c r="P152" i="21"/>
  <c r="P168" i="21"/>
  <c r="P184" i="21"/>
  <c r="P200" i="21"/>
  <c r="P216" i="21"/>
  <c r="P232" i="21"/>
  <c r="P248" i="21"/>
  <c r="P9" i="21"/>
  <c r="P25" i="21"/>
  <c r="P41" i="21"/>
  <c r="P57" i="21"/>
  <c r="P73" i="21"/>
  <c r="P89" i="21"/>
  <c r="P105" i="21"/>
  <c r="P121" i="21"/>
  <c r="P137" i="21"/>
  <c r="P153" i="21"/>
  <c r="P169" i="21"/>
  <c r="P185" i="21"/>
  <c r="P201" i="21"/>
  <c r="P217" i="21"/>
  <c r="P233" i="21"/>
  <c r="P249" i="21"/>
  <c r="P18" i="21"/>
  <c r="P50" i="21"/>
  <c r="P82" i="21"/>
  <c r="P114" i="21"/>
  <c r="P146" i="21"/>
  <c r="P178" i="21"/>
  <c r="P210" i="21"/>
  <c r="P242" i="21"/>
  <c r="P19" i="21"/>
  <c r="P51" i="21"/>
  <c r="P83" i="21"/>
  <c r="P115" i="21"/>
  <c r="P147" i="21"/>
  <c r="P179" i="21"/>
  <c r="P211" i="21"/>
  <c r="P243" i="21"/>
  <c r="P231" i="21"/>
  <c r="P167" i="21"/>
  <c r="P103" i="21"/>
  <c r="P39" i="21"/>
  <c r="P214" i="21"/>
  <c r="P150" i="21"/>
  <c r="P12" i="21"/>
  <c r="P28" i="21"/>
  <c r="P44" i="21"/>
  <c r="P60" i="21"/>
  <c r="P76" i="21"/>
  <c r="P92" i="21"/>
  <c r="P108" i="21"/>
  <c r="P124" i="21"/>
  <c r="P140" i="21"/>
  <c r="P156" i="21"/>
  <c r="P172" i="21"/>
  <c r="P188" i="21"/>
  <c r="P204" i="21"/>
  <c r="P220" i="21"/>
  <c r="P236" i="21"/>
  <c r="P252" i="21"/>
  <c r="P13" i="21"/>
  <c r="P29" i="21"/>
  <c r="P45" i="21"/>
  <c r="P61" i="21"/>
  <c r="P77" i="21"/>
  <c r="P93" i="21"/>
  <c r="P109" i="21"/>
  <c r="P125" i="21"/>
  <c r="P141" i="21"/>
  <c r="P157" i="21"/>
  <c r="P173" i="21"/>
  <c r="P189" i="21"/>
  <c r="P205" i="21"/>
  <c r="P221" i="21"/>
  <c r="P237" i="21"/>
  <c r="P253" i="21"/>
  <c r="P26" i="21"/>
  <c r="P58" i="21"/>
  <c r="P90" i="21"/>
  <c r="P122" i="21"/>
  <c r="P154" i="21"/>
  <c r="P186" i="21"/>
  <c r="P218" i="21"/>
  <c r="P250" i="21"/>
  <c r="P27" i="21"/>
  <c r="P59" i="21"/>
  <c r="P91" i="21"/>
  <c r="P123" i="21"/>
  <c r="P155" i="21"/>
  <c r="P187" i="21"/>
  <c r="P219" i="21"/>
  <c r="P251" i="21"/>
  <c r="P215" i="21"/>
  <c r="P151" i="21"/>
  <c r="P87" i="21"/>
  <c r="P23" i="21"/>
  <c r="P198" i="21"/>
  <c r="P134" i="21"/>
  <c r="P70" i="21"/>
  <c r="P6" i="21"/>
  <c r="P4" i="21"/>
  <c r="P52" i="21"/>
  <c r="P100" i="21"/>
  <c r="P148" i="21"/>
  <c r="P196" i="21"/>
  <c r="P244" i="21"/>
  <c r="P37" i="21"/>
  <c r="P85" i="21"/>
  <c r="P117" i="21"/>
  <c r="P149" i="21"/>
  <c r="P197" i="21"/>
  <c r="P245" i="21"/>
  <c r="P74" i="21"/>
  <c r="P170" i="21"/>
  <c r="P43" i="21"/>
  <c r="P139" i="21"/>
  <c r="P235" i="21"/>
  <c r="P247" i="21"/>
  <c r="P55" i="21"/>
  <c r="P230" i="21"/>
  <c r="P38" i="21"/>
  <c r="P22" i="21"/>
  <c r="P16" i="21"/>
  <c r="P32" i="21"/>
  <c r="P48" i="21"/>
  <c r="P64" i="21"/>
  <c r="P80" i="21"/>
  <c r="P96" i="21"/>
  <c r="P112" i="21"/>
  <c r="P128" i="21"/>
  <c r="P144" i="21"/>
  <c r="P160" i="21"/>
  <c r="P176" i="21"/>
  <c r="P192" i="21"/>
  <c r="P208" i="21"/>
  <c r="P224" i="21"/>
  <c r="P240" i="21"/>
  <c r="P256" i="21"/>
  <c r="P17" i="21"/>
  <c r="P33" i="21"/>
  <c r="P49" i="21"/>
  <c r="P65" i="21"/>
  <c r="P81" i="21"/>
  <c r="P97" i="21"/>
  <c r="P113" i="21"/>
  <c r="P129" i="21"/>
  <c r="P145" i="21"/>
  <c r="P161" i="21"/>
  <c r="P177" i="21"/>
  <c r="P193" i="21"/>
  <c r="P209" i="21"/>
  <c r="P225" i="21"/>
  <c r="P241" i="21"/>
  <c r="P2" i="21"/>
  <c r="Q2" i="21" s="1"/>
  <c r="P34" i="21"/>
  <c r="P66" i="21"/>
  <c r="P98" i="21"/>
  <c r="P130" i="21"/>
  <c r="P162" i="21"/>
  <c r="P194" i="21"/>
  <c r="P226" i="21"/>
  <c r="P3" i="21"/>
  <c r="P35" i="21"/>
  <c r="P67" i="21"/>
  <c r="P99" i="21"/>
  <c r="P131" i="21"/>
  <c r="P163" i="21"/>
  <c r="P195" i="21"/>
  <c r="P227" i="21"/>
  <c r="P199" i="21"/>
  <c r="P135" i="21"/>
  <c r="P71" i="21"/>
  <c r="P7" i="21"/>
  <c r="P246" i="21"/>
  <c r="P182" i="21"/>
  <c r="P118" i="21"/>
  <c r="P54" i="21"/>
  <c r="P36" i="21"/>
  <c r="P84" i="21"/>
  <c r="P132" i="21"/>
  <c r="P180" i="21"/>
  <c r="P228" i="21"/>
  <c r="P21" i="21"/>
  <c r="P69" i="21"/>
  <c r="P101" i="21"/>
  <c r="P165" i="21"/>
  <c r="P213" i="21"/>
  <c r="P10" i="21"/>
  <c r="P106" i="21"/>
  <c r="P202" i="21"/>
  <c r="P11" i="21"/>
  <c r="P107" i="21"/>
  <c r="P203" i="21"/>
  <c r="P183" i="21"/>
  <c r="P102" i="21"/>
  <c r="P86" i="21"/>
  <c r="P20" i="21"/>
  <c r="P68" i="21"/>
  <c r="P116" i="21"/>
  <c r="P164" i="21"/>
  <c r="P212" i="21"/>
  <c r="P5" i="21"/>
  <c r="P53" i="21"/>
  <c r="P133" i="21"/>
  <c r="P181" i="21"/>
  <c r="P229" i="21"/>
  <c r="P42" i="21"/>
  <c r="P138" i="21"/>
  <c r="P234" i="21"/>
  <c r="P75" i="21"/>
  <c r="P171" i="21"/>
  <c r="P119" i="21"/>
  <c r="P166" i="21"/>
  <c r="K3" i="21"/>
  <c r="K7" i="21"/>
  <c r="K11" i="21"/>
  <c r="K15" i="21"/>
  <c r="K19" i="21"/>
  <c r="K23" i="21"/>
  <c r="K27" i="21"/>
  <c r="K31" i="21"/>
  <c r="K35" i="21"/>
  <c r="K39" i="21"/>
  <c r="K43" i="21"/>
  <c r="K47" i="21"/>
  <c r="K51" i="21"/>
  <c r="K55" i="21"/>
  <c r="K59" i="21"/>
  <c r="K63" i="21"/>
  <c r="K67" i="21"/>
  <c r="K71" i="21"/>
  <c r="K75" i="21"/>
  <c r="K79" i="21"/>
  <c r="K83" i="21"/>
  <c r="K87" i="21"/>
  <c r="K91" i="21"/>
  <c r="K95" i="21"/>
  <c r="K99" i="21"/>
  <c r="K103" i="21"/>
  <c r="K107" i="21"/>
  <c r="K111" i="21"/>
  <c r="K115" i="21"/>
  <c r="K119" i="21"/>
  <c r="K123" i="21"/>
  <c r="K127" i="21"/>
  <c r="K131" i="21"/>
  <c r="K135" i="21"/>
  <c r="K139" i="21"/>
  <c r="K143" i="21"/>
  <c r="K147" i="21"/>
  <c r="K151" i="21"/>
  <c r="K155" i="21"/>
  <c r="K159" i="21"/>
  <c r="K163" i="21"/>
  <c r="K167" i="21"/>
  <c r="K171" i="21"/>
  <c r="K175" i="21"/>
  <c r="K179" i="21"/>
  <c r="K183" i="21"/>
  <c r="K187" i="21"/>
  <c r="K191" i="21"/>
  <c r="K195" i="21"/>
  <c r="K199" i="21"/>
  <c r="K203" i="21"/>
  <c r="K207" i="21"/>
  <c r="K211" i="21"/>
  <c r="K215" i="21"/>
  <c r="K219" i="21"/>
  <c r="K223" i="21"/>
  <c r="K227" i="21"/>
  <c r="K231" i="21"/>
  <c r="K235" i="21"/>
  <c r="K239" i="21"/>
  <c r="K243" i="21"/>
  <c r="K247" i="21"/>
  <c r="K251" i="21"/>
  <c r="K255" i="21"/>
  <c r="K4" i="21"/>
  <c r="K8" i="21"/>
  <c r="K12" i="21"/>
  <c r="K16" i="21"/>
  <c r="K20" i="21"/>
  <c r="K24" i="21"/>
  <c r="K28" i="21"/>
  <c r="K32" i="21"/>
  <c r="K36" i="21"/>
  <c r="K40" i="21"/>
  <c r="K44" i="21"/>
  <c r="K48" i="21"/>
  <c r="K52" i="21"/>
  <c r="K56" i="21"/>
  <c r="K60" i="21"/>
  <c r="K64" i="21"/>
  <c r="K68" i="21"/>
  <c r="K72" i="21"/>
  <c r="K76" i="21"/>
  <c r="K80" i="21"/>
  <c r="K84" i="21"/>
  <c r="K88" i="21"/>
  <c r="K92" i="21"/>
  <c r="K96" i="21"/>
  <c r="K100" i="21"/>
  <c r="K104" i="21"/>
  <c r="K108" i="21"/>
  <c r="K112" i="21"/>
  <c r="K116" i="21"/>
  <c r="K120" i="21"/>
  <c r="K124" i="21"/>
  <c r="K128" i="21"/>
  <c r="K132" i="21"/>
  <c r="K136" i="21"/>
  <c r="K140" i="21"/>
  <c r="K144" i="21"/>
  <c r="K148" i="21"/>
  <c r="K152" i="21"/>
  <c r="K156" i="21"/>
  <c r="K160" i="21"/>
  <c r="K164" i="21"/>
  <c r="K168" i="21"/>
  <c r="K172" i="21"/>
  <c r="K176" i="21"/>
  <c r="K180" i="21"/>
  <c r="K184" i="21"/>
  <c r="K188" i="21"/>
  <c r="K192" i="21"/>
  <c r="K196" i="21"/>
  <c r="K200" i="21"/>
  <c r="K204" i="21"/>
  <c r="K208" i="21"/>
  <c r="K212" i="21"/>
  <c r="K216" i="21"/>
  <c r="K220" i="21"/>
  <c r="K224" i="21"/>
  <c r="K228" i="21"/>
  <c r="K232" i="21"/>
  <c r="K236" i="21"/>
  <c r="K240" i="21"/>
  <c r="K244" i="21"/>
  <c r="K248" i="21"/>
  <c r="K252" i="21"/>
  <c r="K256" i="21"/>
  <c r="K9" i="21"/>
  <c r="K17" i="21"/>
  <c r="K25" i="21"/>
  <c r="K33" i="21"/>
  <c r="K41" i="21"/>
  <c r="K49" i="21"/>
  <c r="K57" i="21"/>
  <c r="K65" i="21"/>
  <c r="K73" i="21"/>
  <c r="K81" i="21"/>
  <c r="K89" i="21"/>
  <c r="K97" i="21"/>
  <c r="K105" i="21"/>
  <c r="K113" i="21"/>
  <c r="K121" i="21"/>
  <c r="K129" i="21"/>
  <c r="K137" i="21"/>
  <c r="K145" i="21"/>
  <c r="K153" i="21"/>
  <c r="K161" i="21"/>
  <c r="K169" i="21"/>
  <c r="K177" i="21"/>
  <c r="K185" i="21"/>
  <c r="K193" i="21"/>
  <c r="K201" i="21"/>
  <c r="K209" i="21"/>
  <c r="K217" i="21"/>
  <c r="K225" i="21"/>
  <c r="K233" i="21"/>
  <c r="K241" i="21"/>
  <c r="K249" i="21"/>
  <c r="K2" i="21"/>
  <c r="K10" i="21"/>
  <c r="K18" i="21"/>
  <c r="K26" i="21"/>
  <c r="K34" i="21"/>
  <c r="K42" i="21"/>
  <c r="K50" i="21"/>
  <c r="K58" i="21"/>
  <c r="K66" i="21"/>
  <c r="K74" i="21"/>
  <c r="K82" i="21"/>
  <c r="K90" i="21"/>
  <c r="K98" i="21"/>
  <c r="K106" i="21"/>
  <c r="K114" i="21"/>
  <c r="K122" i="21"/>
  <c r="K130" i="21"/>
  <c r="K138" i="21"/>
  <c r="K146" i="21"/>
  <c r="K154" i="21"/>
  <c r="K162" i="21"/>
  <c r="K170" i="21"/>
  <c r="K178" i="21"/>
  <c r="K186" i="21"/>
  <c r="K194" i="21"/>
  <c r="K202" i="21"/>
  <c r="K210" i="21"/>
  <c r="K218" i="21"/>
  <c r="K226" i="21"/>
  <c r="K234" i="21"/>
  <c r="K242" i="21"/>
  <c r="K250" i="21"/>
  <c r="K13" i="21"/>
  <c r="K29" i="21"/>
  <c r="K45" i="21"/>
  <c r="K61" i="21"/>
  <c r="K77" i="21"/>
  <c r="K93" i="21"/>
  <c r="K109" i="21"/>
  <c r="K125" i="21"/>
  <c r="K141" i="21"/>
  <c r="K157" i="21"/>
  <c r="K173" i="21"/>
  <c r="K189" i="21"/>
  <c r="K205" i="21"/>
  <c r="K221" i="21"/>
  <c r="K237" i="21"/>
  <c r="K253" i="21"/>
  <c r="K5" i="21"/>
  <c r="K21" i="21"/>
  <c r="K37" i="21"/>
  <c r="K53" i="21"/>
  <c r="K69" i="21"/>
  <c r="K85" i="21"/>
  <c r="K101" i="21"/>
  <c r="K117" i="21"/>
  <c r="K133" i="21"/>
  <c r="K149" i="21"/>
  <c r="K165" i="21"/>
  <c r="K181" i="21"/>
  <c r="K197" i="21"/>
  <c r="K213" i="21"/>
  <c r="K229" i="21"/>
  <c r="K245" i="21"/>
  <c r="K6" i="21"/>
  <c r="K38" i="21"/>
  <c r="K70" i="21"/>
  <c r="K102" i="21"/>
  <c r="K134" i="21"/>
  <c r="K166" i="21"/>
  <c r="K198" i="21"/>
  <c r="K230" i="21"/>
  <c r="K30" i="21"/>
  <c r="K158" i="21"/>
  <c r="K222" i="21"/>
  <c r="K14" i="21"/>
  <c r="K46" i="21"/>
  <c r="K78" i="21"/>
  <c r="K110" i="21"/>
  <c r="K142" i="21"/>
  <c r="K174" i="21"/>
  <c r="K206" i="21"/>
  <c r="K238" i="21"/>
  <c r="K62" i="21"/>
  <c r="K126" i="21"/>
  <c r="K190" i="21"/>
  <c r="K22" i="21"/>
  <c r="K54" i="21"/>
  <c r="K86" i="21"/>
  <c r="K118" i="21"/>
  <c r="K150" i="21"/>
  <c r="K182" i="21"/>
  <c r="K214" i="21"/>
  <c r="K246" i="21"/>
  <c r="K94" i="21"/>
  <c r="K254" i="21"/>
  <c r="U38" i="21"/>
  <c r="V38" i="21" s="1"/>
  <c r="U54" i="21"/>
  <c r="V54" i="21" s="1"/>
  <c r="U254" i="21"/>
  <c r="V254" i="21" s="1"/>
  <c r="U103" i="21"/>
  <c r="V103" i="21" s="1"/>
  <c r="U167" i="21"/>
  <c r="V167" i="21" s="1"/>
  <c r="U218" i="21"/>
  <c r="V218" i="21" s="1"/>
  <c r="U255" i="21"/>
  <c r="V255" i="21" s="1"/>
  <c r="U127" i="21"/>
  <c r="V127" i="21" s="1"/>
  <c r="U234" i="21"/>
  <c r="V234" i="21" s="1"/>
  <c r="U79" i="21"/>
  <c r="V79" i="21" s="1"/>
  <c r="U202" i="21"/>
  <c r="V202" i="21" s="1"/>
  <c r="U6" i="21"/>
  <c r="V6" i="21" s="1"/>
  <c r="U86" i="21"/>
  <c r="V86" i="21" s="1"/>
  <c r="U242" i="21"/>
  <c r="V242" i="21" s="1"/>
  <c r="U200" i="21"/>
  <c r="V200" i="21" s="1"/>
  <c r="U142" i="21"/>
  <c r="V142" i="21" s="1"/>
  <c r="U78" i="21"/>
  <c r="V78" i="21" s="1"/>
  <c r="U14" i="21"/>
  <c r="V14" i="21" s="1"/>
  <c r="U55" i="21"/>
  <c r="V55" i="21" s="1"/>
  <c r="U249" i="21"/>
  <c r="V249" i="21" s="1"/>
  <c r="U231" i="21"/>
  <c r="V231" i="21" s="1"/>
  <c r="U210" i="21"/>
  <c r="V210" i="21" s="1"/>
  <c r="U187" i="21"/>
  <c r="V187" i="21" s="1"/>
  <c r="U155" i="21"/>
  <c r="V155" i="21" s="1"/>
  <c r="U123" i="21"/>
  <c r="V123" i="21" s="1"/>
  <c r="U91" i="21"/>
  <c r="V91" i="21" s="1"/>
  <c r="U59" i="21"/>
  <c r="V59" i="21" s="1"/>
  <c r="U27" i="21"/>
  <c r="V27" i="21" s="1"/>
  <c r="U8" i="21"/>
  <c r="V8" i="21" s="1"/>
  <c r="U24" i="21"/>
  <c r="V24" i="21" s="1"/>
  <c r="U40" i="21"/>
  <c r="V40" i="21" s="1"/>
  <c r="U56" i="21"/>
  <c r="V56" i="21" s="1"/>
  <c r="U72" i="21"/>
  <c r="V72" i="21" s="1"/>
  <c r="U88" i="21"/>
  <c r="V88" i="21" s="1"/>
  <c r="U104" i="21"/>
  <c r="V104" i="21" s="1"/>
  <c r="U120" i="21"/>
  <c r="V120" i="21" s="1"/>
  <c r="U136" i="21"/>
  <c r="V136" i="21" s="1"/>
  <c r="U152" i="21"/>
  <c r="V152" i="21" s="1"/>
  <c r="U168" i="21"/>
  <c r="V168" i="21" s="1"/>
  <c r="U184" i="21"/>
  <c r="V184" i="21" s="1"/>
  <c r="U13" i="21"/>
  <c r="V13" i="21" s="1"/>
  <c r="U29" i="21"/>
  <c r="V29" i="21" s="1"/>
  <c r="U45" i="21"/>
  <c r="V45" i="21" s="1"/>
  <c r="U61" i="21"/>
  <c r="V61" i="21" s="1"/>
  <c r="U77" i="21"/>
  <c r="V77" i="21" s="1"/>
  <c r="U93" i="21"/>
  <c r="V93" i="21" s="1"/>
  <c r="U109" i="21"/>
  <c r="V109" i="21" s="1"/>
  <c r="U125" i="21"/>
  <c r="V125" i="21" s="1"/>
  <c r="U141" i="21"/>
  <c r="V141" i="21" s="1"/>
  <c r="U157" i="21"/>
  <c r="V157" i="21" s="1"/>
  <c r="U173" i="21"/>
  <c r="V173" i="21" s="1"/>
  <c r="U189" i="21"/>
  <c r="V189" i="21" s="1"/>
  <c r="U205" i="21"/>
  <c r="V205" i="21" s="1"/>
  <c r="U221" i="21"/>
  <c r="V221" i="21" s="1"/>
  <c r="U237" i="21"/>
  <c r="V237" i="21" s="1"/>
  <c r="U244" i="21"/>
  <c r="V244" i="21" s="1"/>
  <c r="U224" i="21"/>
  <c r="V224" i="21" s="1"/>
  <c r="U203" i="21"/>
  <c r="V203" i="21" s="1"/>
  <c r="U178" i="21"/>
  <c r="V178" i="21" s="1"/>
  <c r="U146" i="21"/>
  <c r="V146" i="21" s="1"/>
  <c r="U114" i="21"/>
  <c r="V114" i="21" s="1"/>
  <c r="U82" i="21"/>
  <c r="V82" i="21" s="1"/>
  <c r="U50" i="21"/>
  <c r="V50" i="21" s="1"/>
  <c r="U18" i="21"/>
  <c r="V18" i="21" s="1"/>
  <c r="U227" i="21"/>
  <c r="V227" i="21" s="1"/>
  <c r="U238" i="21"/>
  <c r="V238" i="21" s="1"/>
  <c r="U216" i="21"/>
  <c r="V216" i="21" s="1"/>
  <c r="U119" i="21"/>
  <c r="V119" i="21" s="1"/>
  <c r="U183" i="21"/>
  <c r="V183" i="21" s="1"/>
  <c r="U228" i="21"/>
  <c r="V228" i="21" s="1"/>
  <c r="U31" i="21"/>
  <c r="V31" i="21" s="1"/>
  <c r="U159" i="21"/>
  <c r="V159" i="21" s="1"/>
  <c r="U251" i="21"/>
  <c r="V251" i="21" s="1"/>
  <c r="U111" i="21"/>
  <c r="V111" i="21" s="1"/>
  <c r="U223" i="21"/>
  <c r="V223" i="21" s="1"/>
  <c r="U246" i="21"/>
  <c r="V246" i="21" s="1"/>
  <c r="U22" i="21"/>
  <c r="V22" i="21" s="1"/>
  <c r="U232" i="21"/>
  <c r="V232" i="21" s="1"/>
  <c r="U190" i="21"/>
  <c r="V190" i="21" s="1"/>
  <c r="U126" i="21"/>
  <c r="V126" i="21" s="1"/>
  <c r="U62" i="21"/>
  <c r="V62" i="21" s="1"/>
  <c r="U3" i="21"/>
  <c r="V3" i="21" s="1"/>
  <c r="U39" i="21"/>
  <c r="V39" i="21" s="1"/>
  <c r="U245" i="21"/>
  <c r="V245" i="21" s="1"/>
  <c r="U226" i="21"/>
  <c r="V226" i="21" s="1"/>
  <c r="U204" i="21"/>
  <c r="V204" i="21" s="1"/>
  <c r="U179" i="21"/>
  <c r="V179" i="21" s="1"/>
  <c r="U147" i="21"/>
  <c r="V147" i="21" s="1"/>
  <c r="U115" i="21"/>
  <c r="V115" i="21" s="1"/>
  <c r="U83" i="21"/>
  <c r="V83" i="21" s="1"/>
  <c r="U51" i="21"/>
  <c r="V51" i="21" s="1"/>
  <c r="U19" i="21"/>
  <c r="V19" i="21" s="1"/>
  <c r="U12" i="21"/>
  <c r="V12" i="21" s="1"/>
  <c r="U28" i="21"/>
  <c r="V28" i="21" s="1"/>
  <c r="U44" i="21"/>
  <c r="V44" i="21" s="1"/>
  <c r="U60" i="21"/>
  <c r="V60" i="21" s="1"/>
  <c r="U76" i="21"/>
  <c r="V76" i="21" s="1"/>
  <c r="U92" i="21"/>
  <c r="V92" i="21" s="1"/>
  <c r="U108" i="21"/>
  <c r="V108" i="21" s="1"/>
  <c r="U124" i="21"/>
  <c r="V124" i="21" s="1"/>
  <c r="U140" i="21"/>
  <c r="V140" i="21" s="1"/>
  <c r="U156" i="21"/>
  <c r="V156" i="21" s="1"/>
  <c r="U172" i="21"/>
  <c r="V172" i="21" s="1"/>
  <c r="U188" i="21"/>
  <c r="V188" i="21" s="1"/>
  <c r="U17" i="21"/>
  <c r="V17" i="21" s="1"/>
  <c r="U33" i="21"/>
  <c r="V33" i="21" s="1"/>
  <c r="U49" i="21"/>
  <c r="V49" i="21" s="1"/>
  <c r="U65" i="21"/>
  <c r="V65" i="21" s="1"/>
  <c r="U81" i="21"/>
  <c r="V81" i="21" s="1"/>
  <c r="U97" i="21"/>
  <c r="V97" i="21" s="1"/>
  <c r="U113" i="21"/>
  <c r="V113" i="21" s="1"/>
  <c r="U129" i="21"/>
  <c r="V129" i="21" s="1"/>
  <c r="U145" i="21"/>
  <c r="V145" i="21" s="1"/>
  <c r="U161" i="21"/>
  <c r="V161" i="21" s="1"/>
  <c r="U177" i="21"/>
  <c r="V177" i="21" s="1"/>
  <c r="U193" i="21"/>
  <c r="V193" i="21" s="1"/>
  <c r="U209" i="21"/>
  <c r="V209" i="21" s="1"/>
  <c r="U225" i="21"/>
  <c r="V225" i="21" s="1"/>
  <c r="U256" i="21"/>
  <c r="V256" i="21" s="1"/>
  <c r="U240" i="21"/>
  <c r="V240" i="21" s="1"/>
  <c r="U219" i="21"/>
  <c r="V219" i="21" s="1"/>
  <c r="U198" i="21"/>
  <c r="V198" i="21" s="1"/>
  <c r="U170" i="21"/>
  <c r="V170" i="21" s="1"/>
  <c r="U138" i="21"/>
  <c r="V138" i="21" s="1"/>
  <c r="U106" i="21"/>
  <c r="V106" i="21" s="1"/>
  <c r="U74" i="21"/>
  <c r="V74" i="21" s="1"/>
  <c r="U42" i="21"/>
  <c r="V42" i="21" s="1"/>
  <c r="U10" i="21"/>
  <c r="V10" i="21" s="1"/>
  <c r="U158" i="21"/>
  <c r="V158" i="21" s="1"/>
  <c r="U236" i="21"/>
  <c r="V236" i="21" s="1"/>
  <c r="U163" i="21"/>
  <c r="V163" i="21" s="1"/>
  <c r="U67" i="21"/>
  <c r="V67" i="21" s="1"/>
  <c r="U52" i="21"/>
  <c r="V52" i="21" s="1"/>
  <c r="U100" i="21"/>
  <c r="V100" i="21" s="1"/>
  <c r="U148" i="21"/>
  <c r="V148" i="21" s="1"/>
  <c r="U180" i="21"/>
  <c r="V180" i="21" s="1"/>
  <c r="U57" i="21"/>
  <c r="V57" i="21" s="1"/>
  <c r="U89" i="21"/>
  <c r="V89" i="21" s="1"/>
  <c r="U137" i="21"/>
  <c r="V137" i="21" s="1"/>
  <c r="U185" i="21"/>
  <c r="V185" i="21" s="1"/>
  <c r="U248" i="21"/>
  <c r="V248" i="21" s="1"/>
  <c r="U186" i="21"/>
  <c r="V186" i="21" s="1"/>
  <c r="U90" i="21"/>
  <c r="V90" i="21" s="1"/>
  <c r="U182" i="21"/>
  <c r="V182" i="21" s="1"/>
  <c r="U134" i="21"/>
  <c r="V134" i="21" s="1"/>
  <c r="U166" i="21"/>
  <c r="V166" i="21" s="1"/>
  <c r="U135" i="21"/>
  <c r="V135" i="21" s="1"/>
  <c r="U196" i="21"/>
  <c r="V196" i="21" s="1"/>
  <c r="U239" i="21"/>
  <c r="V239" i="21" s="1"/>
  <c r="U63" i="21"/>
  <c r="V63" i="21" s="1"/>
  <c r="U191" i="21"/>
  <c r="V191" i="21" s="1"/>
  <c r="U15" i="21"/>
  <c r="V15" i="21" s="1"/>
  <c r="U143" i="21"/>
  <c r="V143" i="21" s="1"/>
  <c r="U243" i="21"/>
  <c r="V243" i="21" s="1"/>
  <c r="U206" i="21"/>
  <c r="V206" i="21" s="1"/>
  <c r="U7" i="21"/>
  <c r="V7" i="21" s="1"/>
  <c r="U222" i="21"/>
  <c r="V222" i="21" s="1"/>
  <c r="U174" i="21"/>
  <c r="V174" i="21" s="1"/>
  <c r="U110" i="21"/>
  <c r="V110" i="21" s="1"/>
  <c r="U46" i="21"/>
  <c r="V46" i="21" s="1"/>
  <c r="U87" i="21"/>
  <c r="V87" i="21" s="1"/>
  <c r="U23" i="21"/>
  <c r="V23" i="21" s="1"/>
  <c r="U2" i="21"/>
  <c r="V2" i="21" s="1"/>
  <c r="U241" i="21"/>
  <c r="V241" i="21" s="1"/>
  <c r="U220" i="21"/>
  <c r="V220" i="21" s="1"/>
  <c r="U199" i="21"/>
  <c r="V199" i="21" s="1"/>
  <c r="U171" i="21"/>
  <c r="V171" i="21" s="1"/>
  <c r="U139" i="21"/>
  <c r="V139" i="21" s="1"/>
  <c r="U107" i="21"/>
  <c r="V107" i="21" s="1"/>
  <c r="U75" i="21"/>
  <c r="V75" i="21" s="1"/>
  <c r="U43" i="21"/>
  <c r="V43" i="21" s="1"/>
  <c r="U11" i="21"/>
  <c r="V11" i="21" s="1"/>
  <c r="U16" i="21"/>
  <c r="V16" i="21" s="1"/>
  <c r="U32" i="21"/>
  <c r="V32" i="21" s="1"/>
  <c r="U48" i="21"/>
  <c r="V48" i="21" s="1"/>
  <c r="U64" i="21"/>
  <c r="V64" i="21" s="1"/>
  <c r="U80" i="21"/>
  <c r="V80" i="21" s="1"/>
  <c r="U96" i="21"/>
  <c r="V96" i="21" s="1"/>
  <c r="U112" i="21"/>
  <c r="V112" i="21" s="1"/>
  <c r="U128" i="21"/>
  <c r="V128" i="21" s="1"/>
  <c r="U144" i="21"/>
  <c r="V144" i="21" s="1"/>
  <c r="U160" i="21"/>
  <c r="V160" i="21" s="1"/>
  <c r="U176" i="21"/>
  <c r="V176" i="21" s="1"/>
  <c r="U5" i="21"/>
  <c r="V5" i="21" s="1"/>
  <c r="U21" i="21"/>
  <c r="V21" i="21" s="1"/>
  <c r="U37" i="21"/>
  <c r="V37" i="21" s="1"/>
  <c r="U53" i="21"/>
  <c r="V53" i="21" s="1"/>
  <c r="U69" i="21"/>
  <c r="V69" i="21" s="1"/>
  <c r="U85" i="21"/>
  <c r="V85" i="21" s="1"/>
  <c r="U101" i="21"/>
  <c r="V101" i="21" s="1"/>
  <c r="U117" i="21"/>
  <c r="V117" i="21" s="1"/>
  <c r="U133" i="21"/>
  <c r="V133" i="21" s="1"/>
  <c r="U149" i="21"/>
  <c r="V149" i="21" s="1"/>
  <c r="U165" i="21"/>
  <c r="V165" i="21" s="1"/>
  <c r="U181" i="21"/>
  <c r="V181" i="21" s="1"/>
  <c r="U197" i="21"/>
  <c r="V197" i="21" s="1"/>
  <c r="U213" i="21"/>
  <c r="V213" i="21" s="1"/>
  <c r="U229" i="21"/>
  <c r="V229" i="21" s="1"/>
  <c r="U252" i="21"/>
  <c r="V252" i="21" s="1"/>
  <c r="U235" i="21"/>
  <c r="V235" i="21" s="1"/>
  <c r="U214" i="21"/>
  <c r="V214" i="21" s="1"/>
  <c r="U192" i="21"/>
  <c r="V192" i="21" s="1"/>
  <c r="U162" i="21"/>
  <c r="V162" i="21" s="1"/>
  <c r="U130" i="21"/>
  <c r="V130" i="21" s="1"/>
  <c r="U98" i="21"/>
  <c r="V98" i="21" s="1"/>
  <c r="U66" i="21"/>
  <c r="V66" i="21" s="1"/>
  <c r="U34" i="21"/>
  <c r="V34" i="21" s="1"/>
  <c r="U211" i="21"/>
  <c r="V211" i="21" s="1"/>
  <c r="U71" i="21"/>
  <c r="V71" i="21" s="1"/>
  <c r="U215" i="21"/>
  <c r="V215" i="21" s="1"/>
  <c r="U131" i="21"/>
  <c r="V131" i="21" s="1"/>
  <c r="U99" i="21"/>
  <c r="V99" i="21" s="1"/>
  <c r="U4" i="21"/>
  <c r="V4" i="21" s="1"/>
  <c r="U36" i="21"/>
  <c r="V36" i="21" s="1"/>
  <c r="U84" i="21"/>
  <c r="V84" i="21" s="1"/>
  <c r="U132" i="21"/>
  <c r="V132" i="21" s="1"/>
  <c r="U9" i="21"/>
  <c r="V9" i="21" s="1"/>
  <c r="U41" i="21"/>
  <c r="V41" i="21" s="1"/>
  <c r="U105" i="21"/>
  <c r="V105" i="21" s="1"/>
  <c r="U153" i="21"/>
  <c r="V153" i="21" s="1"/>
  <c r="U201" i="21"/>
  <c r="V201" i="21" s="1"/>
  <c r="U233" i="21"/>
  <c r="V233" i="21" s="1"/>
  <c r="U208" i="21"/>
  <c r="V208" i="21" s="1"/>
  <c r="U122" i="21"/>
  <c r="V122" i="21" s="1"/>
  <c r="U26" i="21"/>
  <c r="V26" i="21" s="1"/>
  <c r="U118" i="21"/>
  <c r="V118" i="21" s="1"/>
  <c r="U70" i="21"/>
  <c r="V70" i="21" s="1"/>
  <c r="U102" i="21"/>
  <c r="V102" i="21" s="1"/>
  <c r="U151" i="21"/>
  <c r="V151" i="21" s="1"/>
  <c r="U207" i="21"/>
  <c r="V207" i="21" s="1"/>
  <c r="U247" i="21"/>
  <c r="V247" i="21" s="1"/>
  <c r="U95" i="21"/>
  <c r="V95" i="21" s="1"/>
  <c r="U212" i="21"/>
  <c r="V212" i="21" s="1"/>
  <c r="U47" i="21"/>
  <c r="V47" i="21" s="1"/>
  <c r="U175" i="21"/>
  <c r="V175" i="21" s="1"/>
  <c r="U195" i="21"/>
  <c r="V195" i="21" s="1"/>
  <c r="U150" i="21"/>
  <c r="V150" i="21" s="1"/>
  <c r="U250" i="21"/>
  <c r="V250" i="21" s="1"/>
  <c r="U94" i="21"/>
  <c r="V94" i="21" s="1"/>
  <c r="U30" i="21"/>
  <c r="V30" i="21" s="1"/>
  <c r="U253" i="21"/>
  <c r="V253" i="21" s="1"/>
  <c r="U194" i="21"/>
  <c r="V194" i="21" s="1"/>
  <c r="U35" i="21"/>
  <c r="V35" i="21" s="1"/>
  <c r="U20" i="21"/>
  <c r="V20" i="21" s="1"/>
  <c r="U68" i="21"/>
  <c r="V68" i="21" s="1"/>
  <c r="U116" i="21"/>
  <c r="V116" i="21" s="1"/>
  <c r="U164" i="21"/>
  <c r="V164" i="21" s="1"/>
  <c r="U25" i="21"/>
  <c r="V25" i="21" s="1"/>
  <c r="U73" i="21"/>
  <c r="V73" i="21" s="1"/>
  <c r="U121" i="21"/>
  <c r="V121" i="21" s="1"/>
  <c r="U169" i="21"/>
  <c r="V169" i="21" s="1"/>
  <c r="U217" i="21"/>
  <c r="V217" i="21" s="1"/>
  <c r="U230" i="21"/>
  <c r="V230" i="21" s="1"/>
  <c r="U154" i="21"/>
  <c r="V154" i="21" s="1"/>
  <c r="U58" i="21"/>
  <c r="V58" i="21" s="1"/>
  <c r="AL89" i="28" l="1"/>
  <c r="AB85" i="28"/>
  <c r="AO63" i="28" s="1"/>
  <c r="AP64" i="78"/>
  <c r="AM79" i="78"/>
  <c r="AC37" i="78" s="1"/>
  <c r="AM93" i="78"/>
  <c r="AC51" i="78" s="1"/>
  <c r="AM87" i="78"/>
  <c r="AC45" i="78" s="1"/>
  <c r="AM83" i="78"/>
  <c r="AC41" i="78" s="1"/>
  <c r="AM85" i="78"/>
  <c r="AC43" i="78" s="1"/>
  <c r="AM80" i="78"/>
  <c r="AC38" i="78" s="1"/>
  <c r="AM82" i="78"/>
  <c r="AC40" i="78" s="1"/>
  <c r="AM81" i="78"/>
  <c r="AC39" i="78" s="1"/>
  <c r="AM78" i="78"/>
  <c r="AC36" i="78" s="1"/>
  <c r="AM86" i="78"/>
  <c r="AC44" i="78" s="1"/>
  <c r="AM92" i="78"/>
  <c r="AC50" i="78" s="1"/>
  <c r="AM91" i="78"/>
  <c r="AC49" i="78" s="1"/>
  <c r="AM88" i="78"/>
  <c r="AC46" i="78" s="1"/>
  <c r="AM89" i="78"/>
  <c r="AC47" i="78" s="1"/>
  <c r="AM90" i="78"/>
  <c r="AC48" i="78" s="1"/>
  <c r="AM84" i="78"/>
  <c r="AC42" i="78" s="1"/>
  <c r="AB81" i="28"/>
  <c r="AO59" i="28" s="1"/>
  <c r="AB86" i="28"/>
  <c r="AO64" i="28" s="1"/>
  <c r="R2" i="21"/>
  <c r="W2" i="21"/>
  <c r="L246" i="21"/>
  <c r="M246" i="21"/>
  <c r="L118" i="21"/>
  <c r="M118" i="21"/>
  <c r="L190" i="21"/>
  <c r="M190" i="21"/>
  <c r="L206" i="21"/>
  <c r="M206" i="21"/>
  <c r="L78" i="21"/>
  <c r="M78" i="21"/>
  <c r="L158" i="21"/>
  <c r="M158" i="21"/>
  <c r="L166" i="21"/>
  <c r="M166" i="21"/>
  <c r="L38" i="21"/>
  <c r="M38" i="21"/>
  <c r="M213" i="21"/>
  <c r="L213" i="21"/>
  <c r="M149" i="21"/>
  <c r="L149" i="21"/>
  <c r="M85" i="21"/>
  <c r="L85" i="21"/>
  <c r="M21" i="21"/>
  <c r="L21" i="21"/>
  <c r="M221" i="21"/>
  <c r="L221" i="21"/>
  <c r="M157" i="21"/>
  <c r="L157" i="21"/>
  <c r="M93" i="21"/>
  <c r="L93" i="21"/>
  <c r="M29" i="21"/>
  <c r="L29" i="21"/>
  <c r="L234" i="21"/>
  <c r="M234" i="21"/>
  <c r="L202" i="21"/>
  <c r="M202" i="21"/>
  <c r="L170" i="21"/>
  <c r="M170" i="21"/>
  <c r="L138" i="21"/>
  <c r="M138" i="21"/>
  <c r="L106" i="21"/>
  <c r="M106" i="21"/>
  <c r="L74" i="21"/>
  <c r="M74" i="21"/>
  <c r="L42" i="21"/>
  <c r="M42" i="21"/>
  <c r="L10" i="21"/>
  <c r="M10" i="21"/>
  <c r="M233" i="21"/>
  <c r="L233" i="21"/>
  <c r="M201" i="21"/>
  <c r="L201" i="21"/>
  <c r="M169" i="21"/>
  <c r="L169" i="21"/>
  <c r="M137" i="21"/>
  <c r="L137" i="21"/>
  <c r="M105" i="21"/>
  <c r="L105" i="21"/>
  <c r="M73" i="21"/>
  <c r="L73" i="21"/>
  <c r="M41" i="21"/>
  <c r="L41" i="21"/>
  <c r="M9" i="21"/>
  <c r="L9" i="21"/>
  <c r="L244" i="21"/>
  <c r="M244" i="21"/>
  <c r="L228" i="21"/>
  <c r="M228" i="21"/>
  <c r="L212" i="21"/>
  <c r="M212" i="21"/>
  <c r="L196" i="21"/>
  <c r="M196" i="21"/>
  <c r="L180" i="21"/>
  <c r="M180" i="21"/>
  <c r="L164" i="21"/>
  <c r="M164" i="21"/>
  <c r="L148" i="21"/>
  <c r="M148" i="21"/>
  <c r="L132" i="21"/>
  <c r="M132" i="21"/>
  <c r="L116" i="21"/>
  <c r="M116" i="21"/>
  <c r="L100" i="21"/>
  <c r="M100" i="21"/>
  <c r="L84" i="21"/>
  <c r="M84" i="21"/>
  <c r="L68" i="21"/>
  <c r="M68" i="21"/>
  <c r="L52" i="21"/>
  <c r="M52" i="21"/>
  <c r="L36" i="21"/>
  <c r="M36" i="21"/>
  <c r="L20" i="21"/>
  <c r="M20" i="21"/>
  <c r="L4" i="21"/>
  <c r="M4" i="21"/>
  <c r="L243" i="21"/>
  <c r="M243" i="21"/>
  <c r="L227" i="21"/>
  <c r="M227" i="21"/>
  <c r="L211" i="21"/>
  <c r="M211" i="21"/>
  <c r="L195" i="21"/>
  <c r="M195" i="21"/>
  <c r="L179" i="21"/>
  <c r="M179" i="21"/>
  <c r="L163" i="21"/>
  <c r="M163" i="21"/>
  <c r="L147" i="21"/>
  <c r="M147" i="21"/>
  <c r="L131" i="21"/>
  <c r="M131" i="21"/>
  <c r="L115" i="21"/>
  <c r="M115" i="21"/>
  <c r="L99" i="21"/>
  <c r="M99" i="21"/>
  <c r="L83" i="21"/>
  <c r="M83" i="21"/>
  <c r="L67" i="21"/>
  <c r="M67" i="21"/>
  <c r="L51" i="21"/>
  <c r="M51" i="21"/>
  <c r="L35" i="21"/>
  <c r="M35" i="21"/>
  <c r="L19" i="21"/>
  <c r="M19" i="21"/>
  <c r="L3" i="21"/>
  <c r="M3" i="21"/>
  <c r="R75" i="21"/>
  <c r="Q75" i="21"/>
  <c r="R229" i="21"/>
  <c r="Q229" i="21"/>
  <c r="Q5" i="21"/>
  <c r="R5" i="21"/>
  <c r="R68" i="21"/>
  <c r="Q68" i="21"/>
  <c r="R183" i="21"/>
  <c r="Q183" i="21"/>
  <c r="R202" i="21"/>
  <c r="Q202" i="21"/>
  <c r="R165" i="21"/>
  <c r="Q165" i="21"/>
  <c r="R228" i="21"/>
  <c r="Q228" i="21"/>
  <c r="R36" i="21"/>
  <c r="Q36" i="21"/>
  <c r="R246" i="21"/>
  <c r="Q246" i="21"/>
  <c r="R199" i="21"/>
  <c r="Q199" i="21"/>
  <c r="R131" i="21"/>
  <c r="Q131" i="21"/>
  <c r="R3" i="21"/>
  <c r="Q3" i="21"/>
  <c r="Q130" i="21"/>
  <c r="R130" i="21"/>
  <c r="R193" i="21"/>
  <c r="Q193" i="21"/>
  <c r="R129" i="21"/>
  <c r="Q129" i="21"/>
  <c r="Q65" i="21"/>
  <c r="R65" i="21"/>
  <c r="R256" i="21"/>
  <c r="Q256" i="21"/>
  <c r="R192" i="21"/>
  <c r="Q192" i="21"/>
  <c r="R128" i="21"/>
  <c r="Q128" i="21"/>
  <c r="R64" i="21"/>
  <c r="Q64" i="21"/>
  <c r="Q22" i="21"/>
  <c r="R22" i="21"/>
  <c r="R247" i="21"/>
  <c r="Q247" i="21"/>
  <c r="R170" i="21"/>
  <c r="Q170" i="21"/>
  <c r="R149" i="21"/>
  <c r="Q149" i="21"/>
  <c r="R244" i="21"/>
  <c r="Q244" i="21"/>
  <c r="R52" i="21"/>
  <c r="Q52" i="21"/>
  <c r="R134" i="21"/>
  <c r="Q134" i="21"/>
  <c r="R151" i="21"/>
  <c r="Q151" i="21"/>
  <c r="R187" i="21"/>
  <c r="Q187" i="21"/>
  <c r="R59" i="21"/>
  <c r="Q59" i="21"/>
  <c r="R186" i="21"/>
  <c r="Q186" i="21"/>
  <c r="Q58" i="21"/>
  <c r="R58" i="21"/>
  <c r="R221" i="21"/>
  <c r="Q221" i="21"/>
  <c r="R157" i="21"/>
  <c r="Q157" i="21"/>
  <c r="R93" i="21"/>
  <c r="Q93" i="21"/>
  <c r="Q29" i="21"/>
  <c r="R29" i="21"/>
  <c r="R220" i="21"/>
  <c r="Q220" i="21"/>
  <c r="R156" i="21"/>
  <c r="Q156" i="21"/>
  <c r="R92" i="21"/>
  <c r="Q92" i="21"/>
  <c r="R28" i="21"/>
  <c r="Q28" i="21"/>
  <c r="R39" i="21"/>
  <c r="Q39" i="21"/>
  <c r="R243" i="21"/>
  <c r="Q243" i="21"/>
  <c r="R115" i="21"/>
  <c r="Q115" i="21"/>
  <c r="R242" i="21"/>
  <c r="Q242" i="21"/>
  <c r="R114" i="21"/>
  <c r="Q114" i="21"/>
  <c r="R249" i="21"/>
  <c r="Q249" i="21"/>
  <c r="R185" i="21"/>
  <c r="Q185" i="21"/>
  <c r="R121" i="21"/>
  <c r="Q121" i="21"/>
  <c r="Q57" i="21"/>
  <c r="R57" i="21"/>
  <c r="R248" i="21"/>
  <c r="Q248" i="21"/>
  <c r="R184" i="21"/>
  <c r="Q184" i="21"/>
  <c r="R120" i="21"/>
  <c r="Q120" i="21"/>
  <c r="R56" i="21"/>
  <c r="Q56" i="21"/>
  <c r="R191" i="21"/>
  <c r="Q191" i="21"/>
  <c r="R254" i="21"/>
  <c r="Q254" i="21"/>
  <c r="R223" i="21"/>
  <c r="Q223" i="21"/>
  <c r="R222" i="21"/>
  <c r="Q222" i="21"/>
  <c r="R239" i="21"/>
  <c r="Q239" i="21"/>
  <c r="R111" i="21"/>
  <c r="Q111" i="21"/>
  <c r="R238" i="21"/>
  <c r="Q238" i="21"/>
  <c r="R110" i="21"/>
  <c r="Q110" i="21"/>
  <c r="L214" i="21"/>
  <c r="M214" i="21"/>
  <c r="L86" i="21"/>
  <c r="M86" i="21"/>
  <c r="L126" i="21"/>
  <c r="M126" i="21"/>
  <c r="L174" i="21"/>
  <c r="M174" i="21"/>
  <c r="L46" i="21"/>
  <c r="M46" i="21"/>
  <c r="L30" i="21"/>
  <c r="M30" i="21"/>
  <c r="L134" i="21"/>
  <c r="M134" i="21"/>
  <c r="L6" i="21"/>
  <c r="M6" i="21"/>
  <c r="M197" i="21"/>
  <c r="L197" i="21"/>
  <c r="M133" i="21"/>
  <c r="L133" i="21"/>
  <c r="M69" i="21"/>
  <c r="L69" i="21"/>
  <c r="M5" i="21"/>
  <c r="L5" i="21"/>
  <c r="M205" i="21"/>
  <c r="L205" i="21"/>
  <c r="M141" i="21"/>
  <c r="L141" i="21"/>
  <c r="M77" i="21"/>
  <c r="L77" i="21"/>
  <c r="M13" i="21"/>
  <c r="L13" i="21"/>
  <c r="L226" i="21"/>
  <c r="M226" i="21"/>
  <c r="L194" i="21"/>
  <c r="M194" i="21"/>
  <c r="L162" i="21"/>
  <c r="M162" i="21"/>
  <c r="L130" i="21"/>
  <c r="M130" i="21"/>
  <c r="L98" i="21"/>
  <c r="M98" i="21"/>
  <c r="L66" i="21"/>
  <c r="M66" i="21"/>
  <c r="L34" i="21"/>
  <c r="M34" i="21"/>
  <c r="M2" i="21"/>
  <c r="L2" i="21"/>
  <c r="M225" i="21"/>
  <c r="L225" i="21"/>
  <c r="M193" i="21"/>
  <c r="L193" i="21"/>
  <c r="M161" i="21"/>
  <c r="L161" i="21"/>
  <c r="M129" i="21"/>
  <c r="L129" i="21"/>
  <c r="M97" i="21"/>
  <c r="L97" i="21"/>
  <c r="M65" i="21"/>
  <c r="L65" i="21"/>
  <c r="M33" i="21"/>
  <c r="L33" i="21"/>
  <c r="L256" i="21"/>
  <c r="M256" i="21"/>
  <c r="L240" i="21"/>
  <c r="M240" i="21"/>
  <c r="L224" i="21"/>
  <c r="M224" i="21"/>
  <c r="L208" i="21"/>
  <c r="M208" i="21"/>
  <c r="L192" i="21"/>
  <c r="M192" i="21"/>
  <c r="L176" i="21"/>
  <c r="M176" i="21"/>
  <c r="L160" i="21"/>
  <c r="M160" i="21"/>
  <c r="L144" i="21"/>
  <c r="M144" i="21"/>
  <c r="L128" i="21"/>
  <c r="M128" i="21"/>
  <c r="L112" i="21"/>
  <c r="M112" i="21"/>
  <c r="L96" i="21"/>
  <c r="M96" i="21"/>
  <c r="L80" i="21"/>
  <c r="M80" i="21"/>
  <c r="L64" i="21"/>
  <c r="M64" i="21"/>
  <c r="L48" i="21"/>
  <c r="M48" i="21"/>
  <c r="L32" i="21"/>
  <c r="M32" i="21"/>
  <c r="L16" i="21"/>
  <c r="M16" i="21"/>
  <c r="L255" i="21"/>
  <c r="M255" i="21"/>
  <c r="L239" i="21"/>
  <c r="M239" i="21"/>
  <c r="L223" i="21"/>
  <c r="M223" i="21"/>
  <c r="L207" i="21"/>
  <c r="M207" i="21"/>
  <c r="L191" i="21"/>
  <c r="M191" i="21"/>
  <c r="L175" i="21"/>
  <c r="M175" i="21"/>
  <c r="L159" i="21"/>
  <c r="M159" i="21"/>
  <c r="L143" i="21"/>
  <c r="M143" i="21"/>
  <c r="L127" i="21"/>
  <c r="M127" i="21"/>
  <c r="L111" i="21"/>
  <c r="M111" i="21"/>
  <c r="L95" i="21"/>
  <c r="M95" i="21"/>
  <c r="L79" i="21"/>
  <c r="M79" i="21"/>
  <c r="L63" i="21"/>
  <c r="M63" i="21"/>
  <c r="L47" i="21"/>
  <c r="M47" i="21"/>
  <c r="L31" i="21"/>
  <c r="M31" i="21"/>
  <c r="L15" i="21"/>
  <c r="M15" i="21"/>
  <c r="R166" i="21"/>
  <c r="Q166" i="21"/>
  <c r="R234" i="21"/>
  <c r="Q234" i="21"/>
  <c r="R181" i="21"/>
  <c r="Q181" i="21"/>
  <c r="R212" i="21"/>
  <c r="Q212" i="21"/>
  <c r="R20" i="21"/>
  <c r="Q20" i="21"/>
  <c r="R203" i="21"/>
  <c r="Q203" i="21"/>
  <c r="R106" i="21"/>
  <c r="Q106" i="21"/>
  <c r="R101" i="21"/>
  <c r="Q101" i="21"/>
  <c r="R180" i="21"/>
  <c r="Q180" i="21"/>
  <c r="Q54" i="21"/>
  <c r="R54" i="21"/>
  <c r="R7" i="21"/>
  <c r="Q7" i="21"/>
  <c r="R227" i="21"/>
  <c r="Q227" i="21"/>
  <c r="R99" i="21"/>
  <c r="Q99" i="21"/>
  <c r="Q226" i="21"/>
  <c r="R226" i="21"/>
  <c r="Q98" i="21"/>
  <c r="R98" i="21"/>
  <c r="R241" i="21"/>
  <c r="Q241" i="21"/>
  <c r="R177" i="21"/>
  <c r="Q177" i="21"/>
  <c r="R113" i="21"/>
  <c r="Q113" i="21"/>
  <c r="Q49" i="21"/>
  <c r="R49" i="21"/>
  <c r="R240" i="21"/>
  <c r="Q240" i="21"/>
  <c r="R176" i="21"/>
  <c r="Q176" i="21"/>
  <c r="R112" i="21"/>
  <c r="Q112" i="21"/>
  <c r="R48" i="21"/>
  <c r="Q48" i="21"/>
  <c r="Q38" i="21"/>
  <c r="R38" i="21"/>
  <c r="R235" i="21"/>
  <c r="Q235" i="21"/>
  <c r="Q74" i="21"/>
  <c r="R74" i="21"/>
  <c r="R117" i="21"/>
  <c r="Q117" i="21"/>
  <c r="R196" i="21"/>
  <c r="Q196" i="21"/>
  <c r="R4" i="21"/>
  <c r="Q4" i="21"/>
  <c r="R198" i="21"/>
  <c r="Q198" i="21"/>
  <c r="R215" i="21"/>
  <c r="Q215" i="21"/>
  <c r="R155" i="21"/>
  <c r="Q155" i="21"/>
  <c r="R27" i="21"/>
  <c r="Q27" i="21"/>
  <c r="R154" i="21"/>
  <c r="Q154" i="21"/>
  <c r="Q26" i="21"/>
  <c r="R26" i="21"/>
  <c r="R205" i="21"/>
  <c r="Q205" i="21"/>
  <c r="R141" i="21"/>
  <c r="Q141" i="21"/>
  <c r="Q77" i="21"/>
  <c r="R77" i="21"/>
  <c r="Q13" i="21"/>
  <c r="R13" i="21"/>
  <c r="R204" i="21"/>
  <c r="Q204" i="21"/>
  <c r="R140" i="21"/>
  <c r="Q140" i="21"/>
  <c r="R76" i="21"/>
  <c r="Q76" i="21"/>
  <c r="R12" i="21"/>
  <c r="Q12" i="21"/>
  <c r="R103" i="21"/>
  <c r="Q103" i="21"/>
  <c r="R211" i="21"/>
  <c r="Q211" i="21"/>
  <c r="R83" i="21"/>
  <c r="Q83" i="21"/>
  <c r="R210" i="21"/>
  <c r="Q210" i="21"/>
  <c r="Q82" i="21"/>
  <c r="R82" i="21"/>
  <c r="R233" i="21"/>
  <c r="Q233" i="21"/>
  <c r="R169" i="21"/>
  <c r="Q169" i="21"/>
  <c r="R105" i="21"/>
  <c r="Q105" i="21"/>
  <c r="Q41" i="21"/>
  <c r="R41" i="21"/>
  <c r="R232" i="21"/>
  <c r="Q232" i="21"/>
  <c r="R168" i="21"/>
  <c r="Q168" i="21"/>
  <c r="R104" i="21"/>
  <c r="Q104" i="21"/>
  <c r="R40" i="21"/>
  <c r="Q40" i="21"/>
  <c r="R127" i="21"/>
  <c r="Q127" i="21"/>
  <c r="R190" i="21"/>
  <c r="Q190" i="21"/>
  <c r="R159" i="21"/>
  <c r="Q159" i="21"/>
  <c r="R158" i="21"/>
  <c r="Q158" i="21"/>
  <c r="R207" i="21"/>
  <c r="Q207" i="21"/>
  <c r="R79" i="21"/>
  <c r="Q79" i="21"/>
  <c r="R206" i="21"/>
  <c r="Q206" i="21"/>
  <c r="Q78" i="21"/>
  <c r="R78" i="21"/>
  <c r="L254" i="21"/>
  <c r="M254" i="21"/>
  <c r="L182" i="21"/>
  <c r="M182" i="21"/>
  <c r="L54" i="21"/>
  <c r="M54" i="21"/>
  <c r="L62" i="21"/>
  <c r="M62" i="21"/>
  <c r="L142" i="21"/>
  <c r="M142" i="21"/>
  <c r="L14" i="21"/>
  <c r="M14" i="21"/>
  <c r="L230" i="21"/>
  <c r="M230" i="21"/>
  <c r="L102" i="21"/>
  <c r="M102" i="21"/>
  <c r="M245" i="21"/>
  <c r="L245" i="21"/>
  <c r="M181" i="21"/>
  <c r="L181" i="21"/>
  <c r="M117" i="21"/>
  <c r="L117" i="21"/>
  <c r="M53" i="21"/>
  <c r="L53" i="21"/>
  <c r="M253" i="21"/>
  <c r="L253" i="21"/>
  <c r="M189" i="21"/>
  <c r="L189" i="21"/>
  <c r="M125" i="21"/>
  <c r="L125" i="21"/>
  <c r="M61" i="21"/>
  <c r="L61" i="21"/>
  <c r="L250" i="21"/>
  <c r="M250" i="21"/>
  <c r="L218" i="21"/>
  <c r="M218" i="21"/>
  <c r="L186" i="21"/>
  <c r="M186" i="21"/>
  <c r="L154" i="21"/>
  <c r="M154" i="21"/>
  <c r="L122" i="21"/>
  <c r="M122" i="21"/>
  <c r="L90" i="21"/>
  <c r="M90" i="21"/>
  <c r="L58" i="21"/>
  <c r="M58" i="21"/>
  <c r="L26" i="21"/>
  <c r="M26" i="21"/>
  <c r="M249" i="21"/>
  <c r="L249" i="21"/>
  <c r="M217" i="21"/>
  <c r="L217" i="21"/>
  <c r="M185" i="21"/>
  <c r="L185" i="21"/>
  <c r="M153" i="21"/>
  <c r="L153" i="21"/>
  <c r="M121" i="21"/>
  <c r="L121" i="21"/>
  <c r="M89" i="21"/>
  <c r="L89" i="21"/>
  <c r="M57" i="21"/>
  <c r="L57" i="21"/>
  <c r="M25" i="21"/>
  <c r="L25" i="21"/>
  <c r="L252" i="21"/>
  <c r="M252" i="21"/>
  <c r="L236" i="21"/>
  <c r="M236" i="21"/>
  <c r="L220" i="21"/>
  <c r="M220" i="21"/>
  <c r="L204" i="21"/>
  <c r="M204" i="21"/>
  <c r="L188" i="21"/>
  <c r="M188" i="21"/>
  <c r="L172" i="21"/>
  <c r="M172" i="21"/>
  <c r="L156" i="21"/>
  <c r="M156" i="21"/>
  <c r="L140" i="21"/>
  <c r="M140" i="21"/>
  <c r="L124" i="21"/>
  <c r="M124" i="21"/>
  <c r="L108" i="21"/>
  <c r="M108" i="21"/>
  <c r="L92" i="21"/>
  <c r="M92" i="21"/>
  <c r="L76" i="21"/>
  <c r="M76" i="21"/>
  <c r="L60" i="21"/>
  <c r="M60" i="21"/>
  <c r="L44" i="21"/>
  <c r="M44" i="21"/>
  <c r="L28" i="21"/>
  <c r="M28" i="21"/>
  <c r="L12" i="21"/>
  <c r="M12" i="21"/>
  <c r="L251" i="21"/>
  <c r="M251" i="21"/>
  <c r="L235" i="21"/>
  <c r="M235" i="21"/>
  <c r="L219" i="21"/>
  <c r="M219" i="21"/>
  <c r="L203" i="21"/>
  <c r="M203" i="21"/>
  <c r="L187" i="21"/>
  <c r="M187" i="21"/>
  <c r="L171" i="21"/>
  <c r="M171" i="21"/>
  <c r="L155" i="21"/>
  <c r="M155" i="21"/>
  <c r="L139" i="21"/>
  <c r="M139" i="21"/>
  <c r="L123" i="21"/>
  <c r="M123" i="21"/>
  <c r="L107" i="21"/>
  <c r="M107" i="21"/>
  <c r="L91" i="21"/>
  <c r="M91" i="21"/>
  <c r="L75" i="21"/>
  <c r="M75" i="21"/>
  <c r="L59" i="21"/>
  <c r="M59" i="21"/>
  <c r="L43" i="21"/>
  <c r="M43" i="21"/>
  <c r="L27" i="21"/>
  <c r="M27" i="21"/>
  <c r="L11" i="21"/>
  <c r="M11" i="21"/>
  <c r="R119" i="21"/>
  <c r="Q119" i="21"/>
  <c r="R138" i="21"/>
  <c r="Q138" i="21"/>
  <c r="R133" i="21"/>
  <c r="Q133" i="21"/>
  <c r="R164" i="21"/>
  <c r="Q164" i="21"/>
  <c r="Q86" i="21"/>
  <c r="R86" i="21"/>
  <c r="R107" i="21"/>
  <c r="Q107" i="21"/>
  <c r="Q10" i="21"/>
  <c r="R10" i="21"/>
  <c r="Q69" i="21"/>
  <c r="R69" i="21"/>
  <c r="R132" i="21"/>
  <c r="Q132" i="21"/>
  <c r="R118" i="21"/>
  <c r="Q118" i="21"/>
  <c r="R71" i="21"/>
  <c r="Q71" i="21"/>
  <c r="R195" i="21"/>
  <c r="Q195" i="21"/>
  <c r="R67" i="21"/>
  <c r="Q67" i="21"/>
  <c r="Q194" i="21"/>
  <c r="R194" i="21"/>
  <c r="Q66" i="21"/>
  <c r="R66" i="21"/>
  <c r="R225" i="21"/>
  <c r="Q225" i="21"/>
  <c r="R161" i="21"/>
  <c r="Q161" i="21"/>
  <c r="R97" i="21"/>
  <c r="Q97" i="21"/>
  <c r="Q33" i="21"/>
  <c r="R33" i="21"/>
  <c r="R224" i="21"/>
  <c r="Q224" i="21"/>
  <c r="R160" i="21"/>
  <c r="Q160" i="21"/>
  <c r="R96" i="21"/>
  <c r="Q96" i="21"/>
  <c r="R32" i="21"/>
  <c r="Q32" i="21"/>
  <c r="R230" i="21"/>
  <c r="Q230" i="21"/>
  <c r="R139" i="21"/>
  <c r="Q139" i="21"/>
  <c r="R245" i="21"/>
  <c r="Q245" i="21"/>
  <c r="Q85" i="21"/>
  <c r="R85" i="21"/>
  <c r="R148" i="21"/>
  <c r="Q148" i="21"/>
  <c r="Q6" i="21"/>
  <c r="R6" i="21"/>
  <c r="R23" i="21"/>
  <c r="Q23" i="21"/>
  <c r="R251" i="21"/>
  <c r="Q251" i="21"/>
  <c r="R123" i="21"/>
  <c r="Q123" i="21"/>
  <c r="R250" i="21"/>
  <c r="Q250" i="21"/>
  <c r="R122" i="21"/>
  <c r="Q122" i="21"/>
  <c r="R253" i="21"/>
  <c r="Q253" i="21"/>
  <c r="R189" i="21"/>
  <c r="Q189" i="21"/>
  <c r="R125" i="21"/>
  <c r="Q125" i="21"/>
  <c r="Q61" i="21"/>
  <c r="R61" i="21"/>
  <c r="R252" i="21"/>
  <c r="Q252" i="21"/>
  <c r="R188" i="21"/>
  <c r="Q188" i="21"/>
  <c r="R124" i="21"/>
  <c r="Q124" i="21"/>
  <c r="R60" i="21"/>
  <c r="Q60" i="21"/>
  <c r="R150" i="21"/>
  <c r="Q150" i="21"/>
  <c r="R167" i="21"/>
  <c r="Q167" i="21"/>
  <c r="R179" i="21"/>
  <c r="Q179" i="21"/>
  <c r="R51" i="21"/>
  <c r="Q51" i="21"/>
  <c r="R178" i="21"/>
  <c r="Q178" i="21"/>
  <c r="Q50" i="21"/>
  <c r="R50" i="21"/>
  <c r="R217" i="21"/>
  <c r="Q217" i="21"/>
  <c r="R153" i="21"/>
  <c r="Q153" i="21"/>
  <c r="R89" i="21"/>
  <c r="Q89" i="21"/>
  <c r="Q25" i="21"/>
  <c r="R25" i="21"/>
  <c r="R216" i="21"/>
  <c r="Q216" i="21"/>
  <c r="R152" i="21"/>
  <c r="Q152" i="21"/>
  <c r="R88" i="21"/>
  <c r="Q88" i="21"/>
  <c r="R24" i="21"/>
  <c r="Q24" i="21"/>
  <c r="R255" i="21"/>
  <c r="Q255" i="21"/>
  <c r="R126" i="21"/>
  <c r="Q126" i="21"/>
  <c r="R95" i="21"/>
  <c r="Q95" i="21"/>
  <c r="R94" i="21"/>
  <c r="Q94" i="21"/>
  <c r="R175" i="21"/>
  <c r="Q175" i="21"/>
  <c r="R47" i="21"/>
  <c r="Q47" i="21"/>
  <c r="R174" i="21"/>
  <c r="Q174" i="21"/>
  <c r="Q46" i="21"/>
  <c r="R46" i="21"/>
  <c r="L94" i="21"/>
  <c r="M94" i="21"/>
  <c r="L150" i="21"/>
  <c r="M150" i="21"/>
  <c r="L22" i="21"/>
  <c r="M22" i="21"/>
  <c r="L238" i="21"/>
  <c r="M238" i="21"/>
  <c r="L110" i="21"/>
  <c r="M110" i="21"/>
  <c r="L222" i="21"/>
  <c r="M222" i="21"/>
  <c r="L198" i="21"/>
  <c r="M198" i="21"/>
  <c r="L70" i="21"/>
  <c r="M70" i="21"/>
  <c r="M229" i="21"/>
  <c r="L229" i="21"/>
  <c r="M165" i="21"/>
  <c r="L165" i="21"/>
  <c r="M101" i="21"/>
  <c r="L101" i="21"/>
  <c r="M37" i="21"/>
  <c r="L37" i="21"/>
  <c r="M237" i="21"/>
  <c r="L237" i="21"/>
  <c r="M173" i="21"/>
  <c r="L173" i="21"/>
  <c r="M109" i="21"/>
  <c r="L109" i="21"/>
  <c r="M45" i="21"/>
  <c r="L45" i="21"/>
  <c r="L242" i="21"/>
  <c r="M242" i="21"/>
  <c r="L210" i="21"/>
  <c r="M210" i="21"/>
  <c r="L178" i="21"/>
  <c r="M178" i="21"/>
  <c r="L146" i="21"/>
  <c r="M146" i="21"/>
  <c r="L114" i="21"/>
  <c r="M114" i="21"/>
  <c r="L82" i="21"/>
  <c r="M82" i="21"/>
  <c r="L50" i="21"/>
  <c r="M50" i="21"/>
  <c r="L18" i="21"/>
  <c r="M18" i="21"/>
  <c r="M241" i="21"/>
  <c r="L241" i="21"/>
  <c r="M209" i="21"/>
  <c r="L209" i="21"/>
  <c r="M177" i="21"/>
  <c r="L177" i="21"/>
  <c r="M145" i="21"/>
  <c r="L145" i="21"/>
  <c r="M113" i="21"/>
  <c r="L113" i="21"/>
  <c r="M81" i="21"/>
  <c r="L81" i="21"/>
  <c r="M49" i="21"/>
  <c r="L49" i="21"/>
  <c r="M17" i="21"/>
  <c r="L17" i="21"/>
  <c r="L248" i="21"/>
  <c r="M248" i="21"/>
  <c r="L232" i="21"/>
  <c r="M232" i="21"/>
  <c r="L216" i="21"/>
  <c r="M216" i="21"/>
  <c r="L200" i="21"/>
  <c r="M200" i="21"/>
  <c r="L184" i="21"/>
  <c r="M184" i="21"/>
  <c r="L168" i="21"/>
  <c r="M168" i="21"/>
  <c r="L152" i="21"/>
  <c r="M152" i="21"/>
  <c r="L136" i="21"/>
  <c r="M136" i="21"/>
  <c r="L120" i="21"/>
  <c r="M120" i="21"/>
  <c r="L104" i="21"/>
  <c r="M104" i="21"/>
  <c r="L88" i="21"/>
  <c r="M88" i="21"/>
  <c r="L72" i="21"/>
  <c r="M72" i="21"/>
  <c r="L56" i="21"/>
  <c r="M56" i="21"/>
  <c r="L40" i="21"/>
  <c r="M40" i="21"/>
  <c r="L24" i="21"/>
  <c r="M24" i="21"/>
  <c r="L8" i="21"/>
  <c r="M8" i="21"/>
  <c r="L247" i="21"/>
  <c r="M247" i="21"/>
  <c r="L231" i="21"/>
  <c r="M231" i="21"/>
  <c r="L215" i="21"/>
  <c r="M215" i="21"/>
  <c r="L199" i="21"/>
  <c r="M199" i="21"/>
  <c r="L183" i="21"/>
  <c r="M183" i="21"/>
  <c r="L167" i="21"/>
  <c r="M167" i="21"/>
  <c r="L151" i="21"/>
  <c r="M151" i="21"/>
  <c r="L135" i="21"/>
  <c r="M135" i="21"/>
  <c r="L119" i="21"/>
  <c r="M119" i="21"/>
  <c r="L103" i="21"/>
  <c r="M103" i="21"/>
  <c r="L87" i="21"/>
  <c r="M87" i="21"/>
  <c r="L71" i="21"/>
  <c r="M71" i="21"/>
  <c r="L55" i="21"/>
  <c r="M55" i="21"/>
  <c r="L39" i="21"/>
  <c r="M39" i="21"/>
  <c r="L23" i="21"/>
  <c r="M23" i="21"/>
  <c r="L7" i="21"/>
  <c r="M7" i="21"/>
  <c r="R171" i="21"/>
  <c r="Q171" i="21"/>
  <c r="Q42" i="21"/>
  <c r="R42" i="21"/>
  <c r="Q53" i="21"/>
  <c r="R53" i="21"/>
  <c r="R116" i="21"/>
  <c r="Q116" i="21"/>
  <c r="R102" i="21"/>
  <c r="Q102" i="21"/>
  <c r="R11" i="21"/>
  <c r="Q11" i="21"/>
  <c r="R213" i="21"/>
  <c r="Q213" i="21"/>
  <c r="Q21" i="21"/>
  <c r="R21" i="21"/>
  <c r="R84" i="21"/>
  <c r="Q84" i="21"/>
  <c r="R182" i="21"/>
  <c r="Q182" i="21"/>
  <c r="R135" i="21"/>
  <c r="Q135" i="21"/>
  <c r="R163" i="21"/>
  <c r="Q163" i="21"/>
  <c r="R35" i="21"/>
  <c r="Q35" i="21"/>
  <c r="Q162" i="21"/>
  <c r="R162" i="21"/>
  <c r="Q34" i="21"/>
  <c r="R34" i="21"/>
  <c r="R209" i="21"/>
  <c r="Q209" i="21"/>
  <c r="R145" i="21"/>
  <c r="Q145" i="21"/>
  <c r="Q81" i="21"/>
  <c r="R81" i="21"/>
  <c r="Q17" i="21"/>
  <c r="R17" i="21"/>
  <c r="R208" i="21"/>
  <c r="Q208" i="21"/>
  <c r="R144" i="21"/>
  <c r="Q144" i="21"/>
  <c r="R80" i="21"/>
  <c r="Q80" i="21"/>
  <c r="R16" i="21"/>
  <c r="Q16" i="21"/>
  <c r="R55" i="21"/>
  <c r="Q55" i="21"/>
  <c r="R43" i="21"/>
  <c r="Q43" i="21"/>
  <c r="R197" i="21"/>
  <c r="Q197" i="21"/>
  <c r="Q37" i="21"/>
  <c r="R37" i="21"/>
  <c r="R100" i="21"/>
  <c r="Q100" i="21"/>
  <c r="Q70" i="21"/>
  <c r="R70" i="21"/>
  <c r="R87" i="21"/>
  <c r="Q87" i="21"/>
  <c r="R219" i="21"/>
  <c r="Q219" i="21"/>
  <c r="R91" i="21"/>
  <c r="Q91" i="21"/>
  <c r="R218" i="21"/>
  <c r="Q218" i="21"/>
  <c r="R90" i="21"/>
  <c r="Q90" i="21"/>
  <c r="R237" i="21"/>
  <c r="Q237" i="21"/>
  <c r="R173" i="21"/>
  <c r="Q173" i="21"/>
  <c r="R109" i="21"/>
  <c r="Q109" i="21"/>
  <c r="Q45" i="21"/>
  <c r="R45" i="21"/>
  <c r="R236" i="21"/>
  <c r="Q236" i="21"/>
  <c r="R172" i="21"/>
  <c r="Q172" i="21"/>
  <c r="R108" i="21"/>
  <c r="Q108" i="21"/>
  <c r="R44" i="21"/>
  <c r="Q44" i="21"/>
  <c r="R214" i="21"/>
  <c r="Q214" i="21"/>
  <c r="R231" i="21"/>
  <c r="Q231" i="21"/>
  <c r="R147" i="21"/>
  <c r="Q147" i="21"/>
  <c r="R19" i="21"/>
  <c r="Q19" i="21"/>
  <c r="R146" i="21"/>
  <c r="Q146" i="21"/>
  <c r="Q18" i="21"/>
  <c r="R18" i="21"/>
  <c r="R201" i="21"/>
  <c r="Q201" i="21"/>
  <c r="R137" i="21"/>
  <c r="Q137" i="21"/>
  <c r="Q73" i="21"/>
  <c r="R73" i="21"/>
  <c r="Q9" i="21"/>
  <c r="R9" i="21"/>
  <c r="R200" i="21"/>
  <c r="Q200" i="21"/>
  <c r="R136" i="21"/>
  <c r="Q136" i="21"/>
  <c r="R72" i="21"/>
  <c r="Q72" i="21"/>
  <c r="R8" i="21"/>
  <c r="Q8" i="21"/>
  <c r="R63" i="21"/>
  <c r="Q63" i="21"/>
  <c r="Q62" i="21"/>
  <c r="R62" i="21"/>
  <c r="R31" i="21"/>
  <c r="Q31" i="21"/>
  <c r="Q30" i="21"/>
  <c r="R30" i="21"/>
  <c r="R143" i="21"/>
  <c r="Q143" i="21"/>
  <c r="R15" i="21"/>
  <c r="Q15" i="21"/>
  <c r="R142" i="21"/>
  <c r="Q142" i="21"/>
  <c r="Q14" i="21"/>
  <c r="R14" i="21"/>
  <c r="W243" i="21"/>
  <c r="W234" i="21"/>
  <c r="W231" i="21"/>
  <c r="W236" i="21"/>
  <c r="W233" i="21"/>
  <c r="W252" i="21"/>
  <c r="W241" i="21"/>
  <c r="W239" i="21"/>
  <c r="W242" i="21"/>
  <c r="W230" i="21"/>
  <c r="W250" i="21"/>
  <c r="W228" i="21"/>
  <c r="W251" i="21"/>
  <c r="W247" i="21"/>
  <c r="W232" i="21"/>
  <c r="W254" i="21"/>
  <c r="W253" i="21"/>
  <c r="W245" i="21"/>
  <c r="W249" i="21"/>
  <c r="W237" i="21"/>
  <c r="W246" i="21"/>
  <c r="W235" i="21"/>
  <c r="W238" i="21"/>
  <c r="W256" i="21"/>
  <c r="W240" i="21"/>
  <c r="W244" i="21"/>
  <c r="W248" i="21"/>
  <c r="W255" i="21"/>
  <c r="W229" i="21"/>
  <c r="W227" i="21"/>
  <c r="W215" i="21"/>
  <c r="W220" i="21"/>
  <c r="W57" i="21"/>
  <c r="W181" i="21"/>
  <c r="W43" i="21"/>
  <c r="W160" i="21"/>
  <c r="W69" i="21"/>
  <c r="W68" i="21"/>
  <c r="W196" i="21"/>
  <c r="W190" i="21"/>
  <c r="W24" i="21"/>
  <c r="W4" i="21"/>
  <c r="W154" i="21"/>
  <c r="W186" i="21"/>
  <c r="W135" i="21"/>
  <c r="W146" i="21"/>
  <c r="W112" i="21"/>
  <c r="W195" i="21"/>
  <c r="W72" i="21"/>
  <c r="W71" i="21"/>
  <c r="W225" i="21"/>
  <c r="W136" i="21"/>
  <c r="W205" i="21"/>
  <c r="W90" i="21"/>
  <c r="W200" i="21"/>
  <c r="W194" i="21"/>
  <c r="W20" i="21"/>
  <c r="W5" i="21"/>
  <c r="W124" i="21"/>
  <c r="W40" i="21"/>
  <c r="W9" i="21"/>
  <c r="W183" i="21"/>
  <c r="W7" i="21"/>
  <c r="W204" i="21"/>
  <c r="W98" i="21"/>
  <c r="W185" i="21"/>
  <c r="W46" i="21"/>
  <c r="W212" i="21"/>
  <c r="W128" i="21"/>
  <c r="W197" i="21"/>
  <c r="W94" i="21"/>
  <c r="W184" i="21"/>
  <c r="W178" i="21"/>
  <c r="W36" i="21"/>
  <c r="W11" i="21"/>
  <c r="W105" i="21"/>
  <c r="W127" i="21"/>
  <c r="W74" i="21"/>
  <c r="W78" i="21"/>
  <c r="W49" i="21"/>
  <c r="W199" i="21"/>
  <c r="W27" i="21"/>
  <c r="W52" i="21"/>
  <c r="W164" i="21"/>
  <c r="W85" i="21"/>
  <c r="W129" i="21"/>
  <c r="W26" i="21"/>
  <c r="W218" i="21"/>
  <c r="W120" i="21"/>
  <c r="W149" i="21"/>
  <c r="W34" i="21"/>
  <c r="W123" i="21"/>
  <c r="W187" i="21"/>
  <c r="W31" i="21"/>
  <c r="W148" i="21"/>
  <c r="W209" i="21"/>
  <c r="W88" i="21"/>
  <c r="W130" i="21"/>
  <c r="W37" i="21"/>
  <c r="W28" i="21"/>
  <c r="W62" i="21"/>
  <c r="W137" i="21"/>
  <c r="W176" i="21"/>
  <c r="W157" i="21"/>
  <c r="W15" i="21"/>
  <c r="W25" i="21"/>
  <c r="W224" i="21"/>
  <c r="W96" i="21"/>
  <c r="W173" i="21"/>
  <c r="W59" i="21"/>
  <c r="W150" i="21"/>
  <c r="W211" i="21"/>
  <c r="W84" i="21"/>
  <c r="W180" i="21"/>
  <c r="W174" i="21"/>
  <c r="W92" i="21"/>
  <c r="W102" i="21"/>
  <c r="W207" i="21"/>
  <c r="W95" i="21"/>
  <c r="W198" i="21"/>
  <c r="W163" i="21"/>
  <c r="W35" i="21"/>
  <c r="W167" i="21"/>
  <c r="W226" i="21"/>
  <c r="W104" i="21"/>
  <c r="W165" i="21"/>
  <c r="W75" i="21"/>
  <c r="W142" i="21"/>
  <c r="W203" i="21"/>
  <c r="W91" i="21"/>
  <c r="W166" i="21"/>
  <c r="W109" i="21"/>
  <c r="W56" i="21"/>
  <c r="W113" i="21"/>
  <c r="W110" i="21"/>
  <c r="W175" i="21"/>
  <c r="W93" i="21"/>
  <c r="W29" i="21"/>
  <c r="W60" i="21"/>
  <c r="W64" i="21"/>
  <c r="W70" i="21"/>
  <c r="W202" i="21"/>
  <c r="W188" i="21"/>
  <c r="W182" i="21"/>
  <c r="W16" i="21"/>
  <c r="W17" i="21"/>
  <c r="W106" i="21"/>
  <c r="W155" i="21"/>
  <c r="W22" i="21"/>
  <c r="W41" i="21"/>
  <c r="W177" i="21"/>
  <c r="W51" i="21"/>
  <c r="W191" i="21"/>
  <c r="W76" i="21"/>
  <c r="W3" i="21"/>
  <c r="W87" i="21"/>
  <c r="W44" i="21"/>
  <c r="W221" i="21"/>
  <c r="W18" i="21"/>
  <c r="W156" i="21"/>
  <c r="W208" i="21"/>
  <c r="W214" i="21"/>
  <c r="W8" i="21"/>
  <c r="W141" i="21"/>
  <c r="W50" i="21"/>
  <c r="W33" i="21"/>
  <c r="W179" i="21"/>
  <c r="W47" i="21"/>
  <c r="W140" i="21"/>
  <c r="W201" i="21"/>
  <c r="W67" i="21"/>
  <c r="W159" i="21"/>
  <c r="W89" i="21"/>
  <c r="W133" i="21"/>
  <c r="W111" i="21"/>
  <c r="W79" i="21"/>
  <c r="W101" i="21"/>
  <c r="W97" i="21"/>
  <c r="W45" i="21"/>
  <c r="W131" i="21"/>
  <c r="W66" i="21"/>
  <c r="W65" i="21"/>
  <c r="W171" i="21"/>
  <c r="W63" i="21"/>
  <c r="W132" i="21"/>
  <c r="W193" i="21"/>
  <c r="W19" i="21"/>
  <c r="W77" i="21"/>
  <c r="W151" i="21"/>
  <c r="W55" i="21"/>
  <c r="W152" i="21"/>
  <c r="W206" i="21"/>
  <c r="W10" i="21"/>
  <c r="W216" i="21"/>
  <c r="W168" i="21"/>
  <c r="W108" i="21"/>
  <c r="W143" i="21"/>
  <c r="W223" i="21"/>
  <c r="W144" i="21"/>
  <c r="W21" i="21"/>
  <c r="W80" i="21"/>
  <c r="W61" i="21"/>
  <c r="W210" i="21"/>
  <c r="W103" i="21"/>
  <c r="W86" i="21"/>
  <c r="W116" i="21"/>
  <c r="W145" i="21"/>
  <c r="W42" i="21"/>
  <c r="W23" i="21"/>
  <c r="W192" i="21"/>
  <c r="W126" i="21"/>
  <c r="W39" i="21"/>
  <c r="W222" i="21"/>
  <c r="W134" i="21"/>
  <c r="W53" i="21"/>
  <c r="W118" i="21"/>
  <c r="W217" i="21"/>
  <c r="W172" i="21"/>
  <c r="W158" i="21"/>
  <c r="W32" i="21"/>
  <c r="W13" i="21"/>
  <c r="W114" i="21"/>
  <c r="W147" i="21"/>
  <c r="W38" i="21"/>
  <c r="W73" i="21"/>
  <c r="W169" i="21"/>
  <c r="W58" i="21"/>
  <c r="W107" i="21"/>
  <c r="W170" i="21"/>
  <c r="W213" i="21"/>
  <c r="W82" i="21"/>
  <c r="W115" i="21"/>
  <c r="W14" i="21"/>
  <c r="W219" i="21"/>
  <c r="W162" i="21"/>
  <c r="W125" i="21"/>
  <c r="W48" i="21"/>
  <c r="W6" i="21"/>
  <c r="W122" i="21"/>
  <c r="W139" i="21"/>
  <c r="W54" i="21"/>
  <c r="W100" i="21"/>
  <c r="W161" i="21"/>
  <c r="W83" i="21"/>
  <c r="W119" i="21"/>
  <c r="W30" i="21"/>
  <c r="W138" i="21"/>
  <c r="W189" i="21"/>
  <c r="W117" i="21"/>
  <c r="W12" i="21"/>
  <c r="W81" i="21"/>
  <c r="W99" i="21"/>
  <c r="W121" i="21"/>
  <c r="W153" i="21"/>
  <c r="AL48" i="78" l="1"/>
  <c r="AZ68" i="78" s="1"/>
  <c r="AQ48" i="78"/>
  <c r="AC140" i="78"/>
  <c r="AG48" i="78"/>
  <c r="AU68" i="78" s="1"/>
  <c r="AF48" i="78"/>
  <c r="AT68" i="78" s="1"/>
  <c r="AM48" i="78"/>
  <c r="BA68" i="78" s="1"/>
  <c r="AE48" i="78"/>
  <c r="AS68" i="78" s="1"/>
  <c r="AD48" i="78"/>
  <c r="AR68" i="78" s="1"/>
  <c r="AJ48" i="78"/>
  <c r="AX68" i="78" s="1"/>
  <c r="AH48" i="78"/>
  <c r="AV68" i="78" s="1"/>
  <c r="AI48" i="78"/>
  <c r="AW68" i="78" s="1"/>
  <c r="AK48" i="78"/>
  <c r="AY68" i="78" s="1"/>
  <c r="AQ68" i="78"/>
  <c r="AF50" i="78"/>
  <c r="AT70" i="78" s="1"/>
  <c r="AJ50" i="78"/>
  <c r="AX70" i="78" s="1"/>
  <c r="AE50" i="78"/>
  <c r="AS70" i="78" s="1"/>
  <c r="AD50" i="78"/>
  <c r="AR70" i="78" s="1"/>
  <c r="AH50" i="78"/>
  <c r="AV70" i="78" s="1"/>
  <c r="AG50" i="78"/>
  <c r="AU70" i="78" s="1"/>
  <c r="AK50" i="78"/>
  <c r="AY70" i="78" s="1"/>
  <c r="AM50" i="78"/>
  <c r="BA70" i="78" s="1"/>
  <c r="AL50" i="78"/>
  <c r="AZ70" i="78" s="1"/>
  <c r="AQ50" i="78"/>
  <c r="AQ70" i="78"/>
  <c r="AC131" i="78"/>
  <c r="AI50" i="78"/>
  <c r="AW70" i="78" s="1"/>
  <c r="AH40" i="78"/>
  <c r="AV60" i="78" s="1"/>
  <c r="AF40" i="78"/>
  <c r="AT60" i="78" s="1"/>
  <c r="AD40" i="78"/>
  <c r="AR60" i="78" s="1"/>
  <c r="AQ60" i="78"/>
  <c r="AK40" i="78"/>
  <c r="AY60" i="78" s="1"/>
  <c r="AC125" i="78"/>
  <c r="AJ40" i="78"/>
  <c r="AX60" i="78" s="1"/>
  <c r="AL40" i="78"/>
  <c r="AZ60" i="78" s="1"/>
  <c r="AQ40" i="78"/>
  <c r="AM40" i="78"/>
  <c r="BA60" i="78" s="1"/>
  <c r="AE40" i="78"/>
  <c r="AS60" i="78" s="1"/>
  <c r="AI40" i="78"/>
  <c r="AW60" i="78" s="1"/>
  <c r="AG40" i="78"/>
  <c r="AU60" i="78" s="1"/>
  <c r="AF45" i="78"/>
  <c r="AT65" i="78" s="1"/>
  <c r="AQ45" i="78"/>
  <c r="AM45" i="78"/>
  <c r="BA65" i="78" s="1"/>
  <c r="AI45" i="78"/>
  <c r="AW65" i="78" s="1"/>
  <c r="AG45" i="78"/>
  <c r="AU65" i="78" s="1"/>
  <c r="AL45" i="78"/>
  <c r="AZ65" i="78" s="1"/>
  <c r="AE45" i="78"/>
  <c r="AS65" i="78" s="1"/>
  <c r="AD45" i="78"/>
  <c r="AR65" i="78" s="1"/>
  <c r="AJ45" i="78"/>
  <c r="AX65" i="78" s="1"/>
  <c r="AC129" i="78"/>
  <c r="AQ65" i="78"/>
  <c r="AH45" i="78"/>
  <c r="AV65" i="78" s="1"/>
  <c r="AK45" i="78"/>
  <c r="AY65" i="78" s="1"/>
  <c r="AQ47" i="78"/>
  <c r="AI47" i="78"/>
  <c r="AW67" i="78" s="1"/>
  <c r="AH47" i="78"/>
  <c r="AV67" i="78" s="1"/>
  <c r="AM47" i="78"/>
  <c r="BA67" i="78" s="1"/>
  <c r="AJ47" i="78"/>
  <c r="AX67" i="78" s="1"/>
  <c r="AF47" i="78"/>
  <c r="AT67" i="78" s="1"/>
  <c r="AK47" i="78"/>
  <c r="AY67" i="78" s="1"/>
  <c r="AQ67" i="78"/>
  <c r="AG47" i="78"/>
  <c r="AU67" i="78" s="1"/>
  <c r="AL47" i="78"/>
  <c r="AZ67" i="78" s="1"/>
  <c r="AC130" i="78"/>
  <c r="AD47" i="78"/>
  <c r="AR67" i="78" s="1"/>
  <c r="AE47" i="78"/>
  <c r="AS67" i="78" s="1"/>
  <c r="AC138" i="78"/>
  <c r="AQ44" i="78"/>
  <c r="AJ44" i="78"/>
  <c r="AX64" i="78" s="1"/>
  <c r="AD44" i="78"/>
  <c r="AR64" i="78" s="1"/>
  <c r="AG44" i="78"/>
  <c r="AU64" i="78" s="1"/>
  <c r="AF44" i="78"/>
  <c r="AT64" i="78" s="1"/>
  <c r="AI44" i="78"/>
  <c r="AW64" i="78" s="1"/>
  <c r="AE44" i="78"/>
  <c r="AS64" i="78" s="1"/>
  <c r="AQ64" i="78"/>
  <c r="AK44" i="78"/>
  <c r="AY64" i="78" s="1"/>
  <c r="AL44" i="78"/>
  <c r="AZ64" i="78" s="1"/>
  <c r="AH44" i="78"/>
  <c r="AV64" i="78" s="1"/>
  <c r="AM44" i="78"/>
  <c r="BA64" i="78" s="1"/>
  <c r="AJ38" i="78"/>
  <c r="AX58" i="78" s="1"/>
  <c r="AF38" i="78"/>
  <c r="AT58" i="78" s="1"/>
  <c r="AD38" i="78"/>
  <c r="AR58" i="78" s="1"/>
  <c r="AK38" i="78"/>
  <c r="AY58" i="78" s="1"/>
  <c r="AQ58" i="78"/>
  <c r="AC124" i="78"/>
  <c r="AH38" i="78"/>
  <c r="AV58" i="78" s="1"/>
  <c r="AQ38" i="78"/>
  <c r="AG38" i="78"/>
  <c r="AU58" i="78" s="1"/>
  <c r="AL38" i="78"/>
  <c r="AZ58" i="78" s="1"/>
  <c r="AI38" i="78"/>
  <c r="AW58" i="78" s="1"/>
  <c r="AE38" i="78"/>
  <c r="AS58" i="78" s="1"/>
  <c r="AM38" i="78"/>
  <c r="BA58" i="78" s="1"/>
  <c r="AJ51" i="78"/>
  <c r="AX71" i="78" s="1"/>
  <c r="AQ71" i="78"/>
  <c r="AM51" i="78"/>
  <c r="BA71" i="78" s="1"/>
  <c r="AH51" i="78"/>
  <c r="AV71" i="78" s="1"/>
  <c r="AD51" i="78"/>
  <c r="AR71" i="78" s="1"/>
  <c r="AL51" i="78"/>
  <c r="AZ71" i="78" s="1"/>
  <c r="AG51" i="78"/>
  <c r="AU71" i="78" s="1"/>
  <c r="AE51" i="78"/>
  <c r="AS71" i="78" s="1"/>
  <c r="AI51" i="78"/>
  <c r="AW71" i="78" s="1"/>
  <c r="AC141" i="78"/>
  <c r="AQ51" i="78"/>
  <c r="AK51" i="78"/>
  <c r="AY71" i="78" s="1"/>
  <c r="AF51" i="78"/>
  <c r="AT71" i="78" s="1"/>
  <c r="AL46" i="78"/>
  <c r="AZ66" i="78" s="1"/>
  <c r="AI46" i="78"/>
  <c r="AW66" i="78" s="1"/>
  <c r="AJ46" i="78"/>
  <c r="AX66" i="78" s="1"/>
  <c r="AQ46" i="78"/>
  <c r="AM46" i="78"/>
  <c r="BA66" i="78" s="1"/>
  <c r="AF46" i="78"/>
  <c r="AT66" i="78" s="1"/>
  <c r="AQ66" i="78"/>
  <c r="AH46" i="78"/>
  <c r="AV66" i="78" s="1"/>
  <c r="AG46" i="78"/>
  <c r="AU66" i="78" s="1"/>
  <c r="AC139" i="78"/>
  <c r="AD46" i="78"/>
  <c r="AR66" i="78" s="1"/>
  <c r="AE46" i="78"/>
  <c r="AS66" i="78" s="1"/>
  <c r="AK46" i="78"/>
  <c r="AY66" i="78" s="1"/>
  <c r="AL36" i="78"/>
  <c r="AZ56" i="78" s="1"/>
  <c r="AJ36" i="78"/>
  <c r="AX56" i="78" s="1"/>
  <c r="AD36" i="78"/>
  <c r="AR56" i="78" s="1"/>
  <c r="AH36" i="78"/>
  <c r="AV56" i="78" s="1"/>
  <c r="AF36" i="78"/>
  <c r="AT56" i="78" s="1"/>
  <c r="AQ36" i="78"/>
  <c r="AI36" i="78"/>
  <c r="AW56" i="78" s="1"/>
  <c r="AK36" i="78"/>
  <c r="AY56" i="78" s="1"/>
  <c r="AG36" i="78"/>
  <c r="AU56" i="78" s="1"/>
  <c r="AC123" i="78"/>
  <c r="AE36" i="78"/>
  <c r="AS56" i="78" s="1"/>
  <c r="AQ56" i="78"/>
  <c r="AM36" i="78"/>
  <c r="BA56" i="78" s="1"/>
  <c r="AH43" i="78"/>
  <c r="AV63" i="78" s="1"/>
  <c r="AQ63" i="78"/>
  <c r="AI43" i="78"/>
  <c r="AW63" i="78" s="1"/>
  <c r="AG43" i="78"/>
  <c r="AU63" i="78" s="1"/>
  <c r="AJ43" i="78"/>
  <c r="AX63" i="78" s="1"/>
  <c r="AD43" i="78"/>
  <c r="AR63" i="78" s="1"/>
  <c r="AQ43" i="78"/>
  <c r="AF43" i="78"/>
  <c r="AT63" i="78" s="1"/>
  <c r="AC126" i="78"/>
  <c r="AL43" i="78"/>
  <c r="AZ63" i="78" s="1"/>
  <c r="AE43" i="78"/>
  <c r="AS63" i="78" s="1"/>
  <c r="AK43" i="78"/>
  <c r="AY63" i="78" s="1"/>
  <c r="AM43" i="78"/>
  <c r="BA63" i="78" s="1"/>
  <c r="AC134" i="78"/>
  <c r="AK37" i="78"/>
  <c r="AY57" i="78" s="1"/>
  <c r="AL37" i="78"/>
  <c r="AZ57" i="78" s="1"/>
  <c r="AQ37" i="78"/>
  <c r="AE37" i="78"/>
  <c r="AS57" i="78" s="1"/>
  <c r="AQ57" i="78"/>
  <c r="AJ37" i="78"/>
  <c r="AX57" i="78" s="1"/>
  <c r="AD37" i="78"/>
  <c r="AR57" i="78" s="1"/>
  <c r="AG37" i="78"/>
  <c r="AU57" i="78" s="1"/>
  <c r="AF37" i="78"/>
  <c r="AT57" i="78" s="1"/>
  <c r="AH37" i="78"/>
  <c r="AV57" i="78" s="1"/>
  <c r="AI37" i="78"/>
  <c r="AW57" i="78" s="1"/>
  <c r="AM37" i="78"/>
  <c r="BA57" i="78" s="1"/>
  <c r="AG42" i="78"/>
  <c r="AU62" i="78" s="1"/>
  <c r="AM42" i="78"/>
  <c r="BA62" i="78" s="1"/>
  <c r="AQ42" i="78"/>
  <c r="AF42" i="78"/>
  <c r="AT62" i="78" s="1"/>
  <c r="AE42" i="78"/>
  <c r="AS62" i="78" s="1"/>
  <c r="AJ42" i="78"/>
  <c r="AX62" i="78" s="1"/>
  <c r="AC137" i="78"/>
  <c r="AQ62" i="78"/>
  <c r="AL42" i="78"/>
  <c r="AZ62" i="78" s="1"/>
  <c r="AD42" i="78"/>
  <c r="AR62" i="78" s="1"/>
  <c r="AI42" i="78"/>
  <c r="AW62" i="78" s="1"/>
  <c r="AK42" i="78"/>
  <c r="AY62" i="78" s="1"/>
  <c r="AH42" i="78"/>
  <c r="AV62" i="78" s="1"/>
  <c r="AK49" i="78"/>
  <c r="AY69" i="78" s="1"/>
  <c r="AQ69" i="78"/>
  <c r="AM49" i="78"/>
  <c r="BA69" i="78" s="1"/>
  <c r="AG49" i="78"/>
  <c r="AU69" i="78" s="1"/>
  <c r="AJ49" i="78"/>
  <c r="AX69" i="78" s="1"/>
  <c r="AL49" i="78"/>
  <c r="AZ69" i="78" s="1"/>
  <c r="AH49" i="78"/>
  <c r="AV69" i="78" s="1"/>
  <c r="AF49" i="78"/>
  <c r="AT69" i="78" s="1"/>
  <c r="AQ49" i="78"/>
  <c r="AD49" i="78"/>
  <c r="AR69" i="78" s="1"/>
  <c r="AE49" i="78"/>
  <c r="AS69" i="78" s="1"/>
  <c r="AI49" i="78"/>
  <c r="AW69" i="78" s="1"/>
  <c r="AD39" i="78"/>
  <c r="AR59" i="78" s="1"/>
  <c r="AK39" i="78"/>
  <c r="AY59" i="78" s="1"/>
  <c r="AQ59" i="78"/>
  <c r="AJ39" i="78"/>
  <c r="AX59" i="78" s="1"/>
  <c r="AF39" i="78"/>
  <c r="AT59" i="78" s="1"/>
  <c r="AE39" i="78"/>
  <c r="AS59" i="78" s="1"/>
  <c r="AM39" i="78"/>
  <c r="BA59" i="78" s="1"/>
  <c r="AI39" i="78"/>
  <c r="AW59" i="78" s="1"/>
  <c r="AL39" i="78"/>
  <c r="AZ59" i="78" s="1"/>
  <c r="AH39" i="78"/>
  <c r="AV59" i="78" s="1"/>
  <c r="AG39" i="78"/>
  <c r="AU59" i="78" s="1"/>
  <c r="AQ39" i="78"/>
  <c r="AG41" i="78"/>
  <c r="AU61" i="78" s="1"/>
  <c r="AJ41" i="78"/>
  <c r="AX61" i="78" s="1"/>
  <c r="AQ61" i="78"/>
  <c r="AD41" i="78"/>
  <c r="AR61" i="78" s="1"/>
  <c r="AK41" i="78"/>
  <c r="AY61" i="78" s="1"/>
  <c r="AI41" i="78"/>
  <c r="AW61" i="78" s="1"/>
  <c r="AL41" i="78"/>
  <c r="AZ61" i="78" s="1"/>
  <c r="AH41" i="78"/>
  <c r="AV61" i="78" s="1"/>
  <c r="AF41" i="78"/>
  <c r="AT61" i="78" s="1"/>
  <c r="AM41" i="78"/>
  <c r="BA61" i="78" s="1"/>
  <c r="AE41" i="78"/>
  <c r="AS61" i="78" s="1"/>
  <c r="AQ41" i="78"/>
  <c r="D36" i="8"/>
  <c r="D4" i="8"/>
  <c r="D8" i="6"/>
  <c r="D52" i="6"/>
  <c r="D44" i="6"/>
  <c r="AD134" i="78" l="1"/>
  <c r="AH134" i="78"/>
  <c r="AL134" i="78"/>
  <c r="AF134" i="78"/>
  <c r="AK134" i="78"/>
  <c r="AG134" i="78"/>
  <c r="AE134" i="78"/>
  <c r="AD124" i="78"/>
  <c r="AL124" i="78"/>
  <c r="AF124" i="78"/>
  <c r="AH124" i="78"/>
  <c r="AG124" i="78"/>
  <c r="AK124" i="78"/>
  <c r="AE124" i="78"/>
  <c r="AK125" i="78"/>
  <c r="AD125" i="78"/>
  <c r="AE125" i="78"/>
  <c r="AF125" i="78"/>
  <c r="AH125" i="78"/>
  <c r="AG125" i="78"/>
  <c r="AL125" i="78"/>
  <c r="AD137" i="78"/>
  <c r="AF137" i="78"/>
  <c r="AH137" i="78"/>
  <c r="AL137" i="78"/>
  <c r="AE137" i="78"/>
  <c r="AK137" i="78"/>
  <c r="AG137" i="78"/>
  <c r="AG126" i="78"/>
  <c r="AH126" i="78"/>
  <c r="AL126" i="78"/>
  <c r="AD126" i="78"/>
  <c r="AF126" i="78"/>
  <c r="AE126" i="78"/>
  <c r="AK126" i="78"/>
  <c r="AE123" i="78"/>
  <c r="AD123" i="78"/>
  <c r="AF123" i="78"/>
  <c r="AH123" i="78"/>
  <c r="AK123" i="78"/>
  <c r="AL123" i="78"/>
  <c r="AG123" i="78"/>
  <c r="AH130" i="78"/>
  <c r="AK130" i="78"/>
  <c r="AD130" i="78"/>
  <c r="AG130" i="78"/>
  <c r="AF130" i="78"/>
  <c r="AE130" i="78"/>
  <c r="AL130" i="78"/>
  <c r="AE140" i="78"/>
  <c r="AD140" i="78"/>
  <c r="AL140" i="78"/>
  <c r="AF140" i="78"/>
  <c r="AK140" i="78"/>
  <c r="AG140" i="78"/>
  <c r="AH140" i="78"/>
  <c r="AE139" i="78"/>
  <c r="AK139" i="78"/>
  <c r="AH139" i="78"/>
  <c r="AL139" i="78"/>
  <c r="AD139" i="78"/>
  <c r="AF139" i="78"/>
  <c r="AG139" i="78"/>
  <c r="AL138" i="78"/>
  <c r="AK138" i="78"/>
  <c r="AH138" i="78"/>
  <c r="AF138" i="78"/>
  <c r="AD138" i="78"/>
  <c r="AE138" i="78"/>
  <c r="AG138" i="78"/>
  <c r="AE141" i="78"/>
  <c r="AD141" i="78"/>
  <c r="AG141" i="78"/>
  <c r="AL141" i="78"/>
  <c r="AF141" i="78"/>
  <c r="AK141" i="78"/>
  <c r="AH141" i="78"/>
  <c r="AE129" i="78"/>
  <c r="AG129" i="78"/>
  <c r="AL129" i="78"/>
  <c r="AF129" i="78"/>
  <c r="AD129" i="78"/>
  <c r="AK129" i="78"/>
  <c r="AH129" i="78"/>
  <c r="AK131" i="78"/>
  <c r="AL131" i="78"/>
  <c r="AE131" i="78"/>
  <c r="AD131" i="78"/>
  <c r="AG131" i="78"/>
  <c r="AF131" i="78"/>
  <c r="AH131" i="78"/>
  <c r="X3" i="26"/>
  <c r="X14" i="26"/>
  <c r="X15" i="26"/>
  <c r="X11" i="26"/>
  <c r="X19" i="26"/>
  <c r="X16" i="26"/>
  <c r="X22" i="26"/>
  <c r="X28" i="26"/>
  <c r="X18" i="26"/>
  <c r="X24" i="26"/>
  <c r="X32" i="26"/>
  <c r="X38" i="26"/>
  <c r="X4" i="26"/>
  <c r="X5" i="26"/>
  <c r="AC9" i="26"/>
  <c r="AC35" i="26"/>
  <c r="AC44" i="26"/>
  <c r="AC32" i="26"/>
  <c r="AC47" i="26"/>
  <c r="AC48" i="26"/>
  <c r="AC12" i="26"/>
  <c r="AC45" i="26"/>
  <c r="AC30" i="26"/>
  <c r="AC8" i="26"/>
  <c r="AC27" i="26"/>
  <c r="AC42" i="26"/>
  <c r="AC20" i="26"/>
  <c r="AC39" i="26"/>
  <c r="X52" i="26"/>
  <c r="X39" i="26"/>
  <c r="X42" i="26"/>
  <c r="X25" i="26"/>
  <c r="X12" i="26"/>
  <c r="X49" i="26"/>
  <c r="X8" i="26"/>
  <c r="X45" i="26"/>
  <c r="AC50" i="26"/>
  <c r="AC46" i="26"/>
  <c r="AC17" i="26"/>
  <c r="AC36" i="26"/>
  <c r="X48" i="26"/>
  <c r="X35" i="26"/>
  <c r="AC16" i="26"/>
  <c r="AC25" i="26"/>
  <c r="AC13" i="26"/>
  <c r="AC51" i="26"/>
  <c r="AC14" i="26"/>
  <c r="AC37" i="26"/>
  <c r="AC11" i="26"/>
  <c r="AC26" i="26"/>
  <c r="AC49" i="26"/>
  <c r="AC4" i="26"/>
  <c r="AC23" i="26"/>
  <c r="AC38" i="26"/>
  <c r="AC28" i="26"/>
  <c r="X6" i="26"/>
  <c r="X41" i="26"/>
  <c r="X20" i="26"/>
  <c r="X7" i="26"/>
  <c r="X10" i="26"/>
  <c r="X47" i="26"/>
  <c r="X50" i="26"/>
  <c r="X33" i="26"/>
  <c r="X43" i="26"/>
  <c r="X46" i="26"/>
  <c r="X29" i="26"/>
  <c r="X21" i="26"/>
  <c r="AC5" i="26"/>
  <c r="AC24" i="26"/>
  <c r="AC43" i="26"/>
  <c r="AC6" i="26"/>
  <c r="AC15" i="26"/>
  <c r="S53" i="26"/>
  <c r="S30" i="26"/>
  <c r="S94" i="26"/>
  <c r="S11" i="26"/>
  <c r="S75" i="26"/>
  <c r="S64" i="26"/>
  <c r="S48" i="26"/>
  <c r="S41" i="26"/>
  <c r="S18" i="26"/>
  <c r="S82" i="26"/>
  <c r="S63" i="26"/>
  <c r="S5" i="26"/>
  <c r="S69" i="26"/>
  <c r="S46" i="26"/>
  <c r="S27" i="26"/>
  <c r="S91" i="26"/>
  <c r="S36" i="26"/>
  <c r="S24" i="26"/>
  <c r="S60" i="26"/>
  <c r="S57" i="26"/>
  <c r="S34" i="26"/>
  <c r="S98" i="26"/>
  <c r="S15" i="26"/>
  <c r="S79" i="26"/>
  <c r="S85" i="26"/>
  <c r="S62" i="26"/>
  <c r="S43" i="26"/>
  <c r="S100" i="26"/>
  <c r="S88" i="26"/>
  <c r="S73" i="26"/>
  <c r="S37" i="26"/>
  <c r="S14" i="26"/>
  <c r="S59" i="26"/>
  <c r="S31" i="26"/>
  <c r="S40" i="26"/>
  <c r="S76" i="26"/>
  <c r="S61" i="26"/>
  <c r="S38" i="26"/>
  <c r="S102" i="26"/>
  <c r="S83" i="26"/>
  <c r="S28" i="26"/>
  <c r="S96" i="26"/>
  <c r="S65" i="26"/>
  <c r="S42" i="26"/>
  <c r="S23" i="26"/>
  <c r="S87" i="26"/>
  <c r="S20" i="26"/>
  <c r="S44" i="26"/>
  <c r="S66" i="26"/>
  <c r="S12" i="26"/>
  <c r="S90" i="26"/>
  <c r="S101" i="26"/>
  <c r="S78" i="26"/>
  <c r="S8" i="26"/>
  <c r="S47" i="26"/>
  <c r="S77" i="26"/>
  <c r="S54" i="26"/>
  <c r="S35" i="26"/>
  <c r="S99" i="26"/>
  <c r="S68" i="26"/>
  <c r="S56" i="26"/>
  <c r="S92" i="26"/>
  <c r="S17" i="26"/>
  <c r="S81" i="26"/>
  <c r="S58" i="26"/>
  <c r="S39" i="26"/>
  <c r="S84" i="26"/>
  <c r="S72" i="26"/>
  <c r="S45" i="26"/>
  <c r="S22" i="26"/>
  <c r="S4" i="26"/>
  <c r="S16" i="26"/>
  <c r="S71" i="26"/>
  <c r="S25" i="26"/>
  <c r="S50" i="26"/>
  <c r="S95" i="26"/>
  <c r="S52" i="26"/>
  <c r="S29" i="26"/>
  <c r="S93" i="26"/>
  <c r="S6" i="26"/>
  <c r="S70" i="26"/>
  <c r="S51" i="26"/>
  <c r="S33" i="26"/>
  <c r="S97" i="26"/>
  <c r="S10" i="26"/>
  <c r="S74" i="26"/>
  <c r="S55" i="26"/>
  <c r="S89" i="26"/>
  <c r="S80" i="26"/>
  <c r="S86" i="26"/>
  <c r="S67" i="26"/>
  <c r="S49" i="26"/>
  <c r="S26" i="26"/>
  <c r="S32" i="26"/>
  <c r="AC41" i="26"/>
  <c r="AC29" i="26"/>
  <c r="AC31" i="26"/>
  <c r="AC34" i="26"/>
  <c r="AC19" i="26"/>
  <c r="AC18" i="26"/>
  <c r="AC3" i="26"/>
  <c r="AC21" i="26"/>
  <c r="AC40" i="26"/>
  <c r="AC10" i="26"/>
  <c r="AC33" i="26"/>
  <c r="AC52" i="26"/>
  <c r="AC7" i="26"/>
  <c r="AC22" i="26"/>
  <c r="X36" i="26"/>
  <c r="X23" i="26"/>
  <c r="X26" i="26"/>
  <c r="X9" i="26"/>
  <c r="X51" i="26"/>
  <c r="X37" i="26"/>
  <c r="X44" i="26"/>
  <c r="X31" i="26"/>
  <c r="X34" i="26"/>
  <c r="X17" i="26"/>
  <c r="X40" i="26"/>
  <c r="X27" i="26"/>
  <c r="X30" i="26"/>
  <c r="X13" i="26"/>
  <c r="D1" i="6"/>
  <c r="AI134" i="78" l="1"/>
  <c r="AJ139" i="78"/>
  <c r="AI138" i="78"/>
  <c r="AJ137" i="78"/>
  <c r="AJ129" i="78"/>
  <c r="AI137" i="78"/>
  <c r="AI139" i="78"/>
  <c r="AJ141" i="78"/>
  <c r="AI125" i="78"/>
  <c r="AI124" i="78"/>
  <c r="AI130" i="78"/>
  <c r="AI123" i="78"/>
  <c r="AJ124" i="78"/>
  <c r="AI126" i="78"/>
  <c r="AJ138" i="78"/>
  <c r="AB138" i="78" s="1"/>
  <c r="AP83" i="78" s="1"/>
  <c r="AJ126" i="78"/>
  <c r="AJ125" i="78"/>
  <c r="AI129" i="78"/>
  <c r="AI131" i="78"/>
  <c r="AI140" i="78"/>
  <c r="AJ140" i="78"/>
  <c r="AJ130" i="78"/>
  <c r="AJ131" i="78"/>
  <c r="AI141" i="78"/>
  <c r="AJ123" i="78"/>
  <c r="AJ134" i="78"/>
  <c r="S3" i="26"/>
  <c r="T3" i="26"/>
  <c r="U3" i="26"/>
  <c r="S13" i="26"/>
  <c r="S21" i="26"/>
  <c r="S19" i="26"/>
  <c r="S9" i="26"/>
  <c r="S7" i="26"/>
  <c r="U11" i="26"/>
  <c r="U43" i="26"/>
  <c r="T43" i="26"/>
  <c r="U34" i="26"/>
  <c r="T34" i="26"/>
  <c r="Y10" i="26"/>
  <c r="Z10" i="26"/>
  <c r="Z38" i="26"/>
  <c r="Y38" i="26"/>
  <c r="Z13" i="26"/>
  <c r="Y13" i="26"/>
  <c r="Z51" i="26"/>
  <c r="Y51" i="26"/>
  <c r="Z20" i="26"/>
  <c r="Y20" i="26"/>
  <c r="Y39" i="26"/>
  <c r="Z39" i="26"/>
  <c r="Z4" i="26"/>
  <c r="Y4" i="26"/>
  <c r="Y33" i="26"/>
  <c r="Z33" i="26"/>
  <c r="Z52" i="26"/>
  <c r="Y52" i="26"/>
  <c r="Z14" i="26"/>
  <c r="Y14" i="26"/>
  <c r="Y47" i="26"/>
  <c r="Z47" i="26"/>
  <c r="Z34" i="26"/>
  <c r="Y34" i="26"/>
  <c r="Y24" i="26"/>
  <c r="Z24" i="26"/>
  <c r="AD23" i="26"/>
  <c r="AE23" i="26"/>
  <c r="AD31" i="26"/>
  <c r="AE31" i="26"/>
  <c r="AE42" i="26"/>
  <c r="AD42" i="26"/>
  <c r="T17" i="26"/>
  <c r="T78" i="26"/>
  <c r="U78" i="26"/>
  <c r="T35" i="26"/>
  <c r="U35" i="26"/>
  <c r="U6" i="26"/>
  <c r="T6" i="26"/>
  <c r="T23" i="26"/>
  <c r="U23" i="26"/>
  <c r="T101" i="26"/>
  <c r="U101" i="26"/>
  <c r="T40" i="26"/>
  <c r="U40" i="26"/>
  <c r="T67" i="26"/>
  <c r="U67" i="26"/>
  <c r="AD48" i="26"/>
  <c r="AE48" i="26"/>
  <c r="AE34" i="26"/>
  <c r="AD34" i="26"/>
  <c r="AD4" i="26"/>
  <c r="AE4" i="26"/>
  <c r="AD5" i="26"/>
  <c r="AE5" i="26"/>
  <c r="AE17" i="26"/>
  <c r="AD17" i="26"/>
  <c r="T22" i="26"/>
  <c r="T4" i="26"/>
  <c r="U4" i="26"/>
  <c r="T61" i="26"/>
  <c r="U61" i="26"/>
  <c r="T100" i="26"/>
  <c r="U100" i="26"/>
  <c r="U83" i="26"/>
  <c r="T83" i="26"/>
  <c r="U81" i="26"/>
  <c r="T81" i="26"/>
  <c r="U55" i="26"/>
  <c r="T55" i="26"/>
  <c r="T89" i="26"/>
  <c r="U89" i="26"/>
  <c r="U28" i="26"/>
  <c r="T28" i="26"/>
  <c r="U58" i="26"/>
  <c r="T58" i="26"/>
  <c r="T65" i="26"/>
  <c r="U65" i="26"/>
  <c r="T60" i="26"/>
  <c r="U60" i="26"/>
  <c r="T99" i="26"/>
  <c r="U99" i="26"/>
  <c r="U69" i="26"/>
  <c r="T69" i="26"/>
  <c r="T102" i="26"/>
  <c r="U102" i="26"/>
  <c r="T91" i="26"/>
  <c r="U91" i="26"/>
  <c r="T31" i="26"/>
  <c r="U31" i="26"/>
  <c r="T5" i="26"/>
  <c r="U5" i="26"/>
  <c r="U10" i="26"/>
  <c r="U8" i="26"/>
  <c r="U37" i="26"/>
  <c r="T37" i="26"/>
  <c r="U79" i="26"/>
  <c r="T79" i="26"/>
  <c r="U50" i="26"/>
  <c r="T50" i="26"/>
  <c r="T86" i="26"/>
  <c r="U86" i="26"/>
  <c r="U71" i="26"/>
  <c r="T71" i="26"/>
  <c r="Z43" i="26"/>
  <c r="Y43" i="26"/>
  <c r="Z30" i="26"/>
  <c r="Y30" i="26"/>
  <c r="Y32" i="26"/>
  <c r="Z32" i="26"/>
  <c r="Y7" i="26"/>
  <c r="Z7" i="26"/>
  <c r="Y41" i="26"/>
  <c r="Z41" i="26"/>
  <c r="Y16" i="26"/>
  <c r="Z16" i="26"/>
  <c r="Y36" i="26"/>
  <c r="Z36" i="26"/>
  <c r="AE13" i="26"/>
  <c r="AD13" i="26"/>
  <c r="AE8" i="26"/>
  <c r="AD8" i="26"/>
  <c r="AD11" i="26"/>
  <c r="AE11" i="26"/>
  <c r="U15" i="26"/>
  <c r="U85" i="26"/>
  <c r="T85" i="26"/>
  <c r="T82" i="26"/>
  <c r="U82" i="26"/>
  <c r="T48" i="26"/>
  <c r="U48" i="26"/>
  <c r="T56" i="26"/>
  <c r="U56" i="26"/>
  <c r="U97" i="26"/>
  <c r="T97" i="26"/>
  <c r="U14" i="26"/>
  <c r="AD36" i="26"/>
  <c r="AE36" i="26"/>
  <c r="AD50" i="26"/>
  <c r="AE50" i="26"/>
  <c r="AD40" i="26"/>
  <c r="AE40" i="26"/>
  <c r="AD24" i="26"/>
  <c r="AE24" i="26"/>
  <c r="AE51" i="26"/>
  <c r="AD51" i="26"/>
  <c r="AD33" i="26"/>
  <c r="AE33" i="26"/>
  <c r="AE21" i="26"/>
  <c r="AD21" i="26"/>
  <c r="AE15" i="26"/>
  <c r="AD15" i="26"/>
  <c r="AE35" i="26"/>
  <c r="AD35" i="26"/>
  <c r="AD32" i="26"/>
  <c r="AE32" i="26"/>
  <c r="AD19" i="26"/>
  <c r="AE19" i="26"/>
  <c r="AE3" i="26"/>
  <c r="AD3" i="26"/>
  <c r="AD14" i="26"/>
  <c r="AE14" i="26"/>
  <c r="U46" i="26"/>
  <c r="T46" i="26"/>
  <c r="T27" i="26"/>
  <c r="U27" i="26"/>
  <c r="T39" i="26"/>
  <c r="U39" i="26"/>
  <c r="T96" i="26"/>
  <c r="U96" i="26"/>
  <c r="T74" i="26"/>
  <c r="U74" i="26"/>
  <c r="T49" i="26"/>
  <c r="U49" i="26"/>
  <c r="U9" i="26"/>
  <c r="U73" i="26"/>
  <c r="T73" i="26"/>
  <c r="U30" i="26"/>
  <c r="T30" i="26"/>
  <c r="T80" i="26"/>
  <c r="U80" i="26"/>
  <c r="T44" i="26"/>
  <c r="U44" i="26"/>
  <c r="U93" i="26"/>
  <c r="T93" i="26"/>
  <c r="U59" i="26"/>
  <c r="T59" i="26"/>
  <c r="U47" i="26"/>
  <c r="T47" i="26"/>
  <c r="T25" i="26"/>
  <c r="U25" i="26"/>
  <c r="T95" i="26"/>
  <c r="U95" i="26"/>
  <c r="U38" i="26"/>
  <c r="T38" i="26"/>
  <c r="T84" i="26"/>
  <c r="U84" i="26"/>
  <c r="U77" i="26"/>
  <c r="T77" i="26"/>
  <c r="T57" i="26"/>
  <c r="U57" i="26"/>
  <c r="U42" i="26"/>
  <c r="T42" i="26"/>
  <c r="Y12" i="26"/>
  <c r="Z12" i="26"/>
  <c r="Y35" i="26"/>
  <c r="Z35" i="26"/>
  <c r="Y37" i="26"/>
  <c r="Z37" i="26"/>
  <c r="Y22" i="26"/>
  <c r="Z22" i="26"/>
  <c r="Z21" i="26"/>
  <c r="Y21" i="26"/>
  <c r="Z19" i="26"/>
  <c r="Y19" i="26"/>
  <c r="Z42" i="26"/>
  <c r="Y42" i="26"/>
  <c r="Y25" i="26"/>
  <c r="Z25" i="26"/>
  <c r="Y31" i="26"/>
  <c r="Z31" i="26"/>
  <c r="Z45" i="26"/>
  <c r="Y45" i="26"/>
  <c r="Y48" i="26"/>
  <c r="Z48" i="26"/>
  <c r="AE39" i="26"/>
  <c r="AD39" i="26"/>
  <c r="AE27" i="26"/>
  <c r="AD27" i="26"/>
  <c r="AE52" i="26"/>
  <c r="AD52" i="26"/>
  <c r="T92" i="26"/>
  <c r="U92" i="26"/>
  <c r="U68" i="26"/>
  <c r="T68" i="26"/>
  <c r="U33" i="26"/>
  <c r="T33" i="26"/>
  <c r="T12" i="26"/>
  <c r="U12" i="26"/>
  <c r="T72" i="26"/>
  <c r="U72" i="26"/>
  <c r="AE45" i="26"/>
  <c r="AD45" i="26"/>
  <c r="AD37" i="26"/>
  <c r="AE37" i="26"/>
  <c r="AE22" i="26"/>
  <c r="AD22" i="26"/>
  <c r="AE26" i="26"/>
  <c r="AD26" i="26"/>
  <c r="AD28" i="26"/>
  <c r="AE28" i="26"/>
  <c r="AD6" i="26"/>
  <c r="AE6" i="26"/>
  <c r="AE20" i="26"/>
  <c r="AD20" i="26"/>
  <c r="AD30" i="26"/>
  <c r="AE30" i="26"/>
  <c r="AE9" i="26"/>
  <c r="AD9" i="26"/>
  <c r="AD29" i="26"/>
  <c r="AE29" i="26"/>
  <c r="AD43" i="26"/>
  <c r="AE43" i="26"/>
  <c r="AE16" i="26"/>
  <c r="AD16" i="26"/>
  <c r="AD44" i="26"/>
  <c r="AE44" i="26"/>
  <c r="T41" i="26"/>
  <c r="U41" i="26"/>
  <c r="AD49" i="26"/>
  <c r="AE49" i="26"/>
  <c r="AE7" i="26"/>
  <c r="AD7" i="26"/>
  <c r="AD46" i="26"/>
  <c r="AE46" i="26"/>
  <c r="AD12" i="26"/>
  <c r="AE12" i="26"/>
  <c r="AE18" i="26"/>
  <c r="AD18" i="26"/>
  <c r="AE10" i="26"/>
  <c r="AD10" i="26"/>
  <c r="AD38" i="26"/>
  <c r="AE38" i="26"/>
  <c r="AE41" i="26"/>
  <c r="AD41" i="26"/>
  <c r="AD25" i="26"/>
  <c r="AE25" i="26"/>
  <c r="AE47" i="26"/>
  <c r="AD47" i="26"/>
  <c r="U45" i="26"/>
  <c r="T45" i="26"/>
  <c r="T88" i="26"/>
  <c r="U88" i="26"/>
  <c r="U70" i="26"/>
  <c r="T70" i="26"/>
  <c r="U51" i="26"/>
  <c r="T51" i="26"/>
  <c r="U54" i="26"/>
  <c r="T54" i="26"/>
  <c r="U29" i="26"/>
  <c r="T29" i="26"/>
  <c r="T63" i="26"/>
  <c r="U63" i="26"/>
  <c r="T13" i="26"/>
  <c r="U13" i="26"/>
  <c r="U24" i="26"/>
  <c r="T24" i="26"/>
  <c r="T53" i="26"/>
  <c r="U53" i="26"/>
  <c r="U87" i="26"/>
  <c r="T87" i="26"/>
  <c r="T64" i="26"/>
  <c r="U64" i="26"/>
  <c r="T32" i="26"/>
  <c r="U32" i="26"/>
  <c r="U7" i="26"/>
  <c r="U62" i="26"/>
  <c r="T62" i="26"/>
  <c r="U76" i="26"/>
  <c r="T76" i="26"/>
  <c r="U36" i="26"/>
  <c r="T36" i="26"/>
  <c r="T90" i="26"/>
  <c r="U90" i="26"/>
  <c r="T98" i="26"/>
  <c r="U98" i="26"/>
  <c r="T66" i="26"/>
  <c r="U66" i="26"/>
  <c r="U26" i="26"/>
  <c r="T26" i="26"/>
  <c r="U94" i="26"/>
  <c r="T94" i="26"/>
  <c r="T52" i="26"/>
  <c r="U52" i="26"/>
  <c r="T75" i="26"/>
  <c r="U75" i="26"/>
  <c r="Z49" i="26"/>
  <c r="Y49" i="26"/>
  <c r="Z15" i="26"/>
  <c r="Y15" i="26"/>
  <c r="Z18" i="26"/>
  <c r="Y18" i="26"/>
  <c r="Z29" i="26"/>
  <c r="Y29" i="26"/>
  <c r="Y8" i="26"/>
  <c r="Z8" i="26"/>
  <c r="Y27" i="26"/>
  <c r="Z27" i="26"/>
  <c r="Y3" i="26"/>
  <c r="Z3" i="26"/>
  <c r="Y28" i="26"/>
  <c r="Z28" i="26"/>
  <c r="Z11" i="26"/>
  <c r="Y11" i="26"/>
  <c r="Z6" i="26"/>
  <c r="Y6" i="26"/>
  <c r="Z44" i="26"/>
  <c r="Y44" i="26"/>
  <c r="Z50" i="26"/>
  <c r="Y50" i="26"/>
  <c r="Z5" i="26"/>
  <c r="Y5" i="26"/>
  <c r="Y40" i="26"/>
  <c r="Z40" i="26"/>
  <c r="Z46" i="26"/>
  <c r="Y46" i="26"/>
  <c r="Y17" i="26"/>
  <c r="Z17" i="26"/>
  <c r="Y26" i="26"/>
  <c r="Z26" i="26"/>
  <c r="Y9" i="26"/>
  <c r="Z9" i="26"/>
  <c r="Z23" i="26"/>
  <c r="Y23" i="26"/>
  <c r="AB134" i="78" l="1"/>
  <c r="AP80" i="78" s="1"/>
  <c r="AB131" i="78"/>
  <c r="AB139" i="78"/>
  <c r="AP84" i="78" s="1"/>
  <c r="AB137" i="78"/>
  <c r="AP82" i="78" s="1"/>
  <c r="AB129" i="78"/>
  <c r="AP78" i="78" s="1"/>
  <c r="AB130" i="78"/>
  <c r="AP79" i="78" s="1"/>
  <c r="AB141" i="78"/>
  <c r="AP86" i="78" s="1"/>
  <c r="AB123" i="78"/>
  <c r="AP74" i="78" s="1"/>
  <c r="AB125" i="78"/>
  <c r="AP76" i="78" s="1"/>
  <c r="AB124" i="78"/>
  <c r="AP75" i="78" s="1"/>
  <c r="AB126" i="78"/>
  <c r="AP77" i="78" s="1"/>
  <c r="AB140" i="78"/>
  <c r="AP85" i="78" s="1"/>
  <c r="T16" i="26"/>
  <c r="U16" i="26"/>
  <c r="U18" i="26"/>
  <c r="T21" i="26"/>
  <c r="T19" i="26"/>
  <c r="T10" i="26"/>
  <c r="U22" i="26"/>
  <c r="U17" i="26"/>
  <c r="U19" i="26"/>
  <c r="U20" i="26"/>
  <c r="T9" i="26"/>
  <c r="T8" i="26"/>
  <c r="T18" i="26"/>
  <c r="U21" i="26"/>
  <c r="T14" i="26"/>
  <c r="T20" i="26"/>
  <c r="T7" i="26"/>
  <c r="T15" i="26"/>
  <c r="T11" i="26"/>
  <c r="D20" i="6"/>
  <c r="AM123" i="78" l="1"/>
  <c r="AC56" i="78" s="1"/>
  <c r="AH56" i="78" s="1"/>
  <c r="AW78" i="78" s="1"/>
  <c r="AM125" i="78"/>
  <c r="AC58" i="78" s="1"/>
  <c r="AL58" i="78" s="1"/>
  <c r="AY80" i="78" s="1"/>
  <c r="AM124" i="78"/>
  <c r="AC57" i="78" s="1"/>
  <c r="AE57" i="78" s="1"/>
  <c r="AT79" i="78" s="1"/>
  <c r="AM130" i="78"/>
  <c r="AC61" i="78" s="1"/>
  <c r="AL61" i="78" s="1"/>
  <c r="AY84" i="78" s="1"/>
  <c r="AM126" i="78"/>
  <c r="AC59" i="78" s="1"/>
  <c r="AL59" i="78" s="1"/>
  <c r="AY82" i="78" s="1"/>
  <c r="AM131" i="78"/>
  <c r="AC62" i="78" s="1"/>
  <c r="AI62" i="78" s="1"/>
  <c r="AX85" i="78" s="1"/>
  <c r="AM129" i="78"/>
  <c r="AC60" i="78" s="1"/>
  <c r="AH60" i="78" s="1"/>
  <c r="AW83" i="78" s="1"/>
  <c r="AM142" i="78"/>
  <c r="AC73" i="78" s="1"/>
  <c r="AM141" i="78"/>
  <c r="AC71" i="78" s="1"/>
  <c r="AM137" i="78"/>
  <c r="AC67" i="78" s="1"/>
  <c r="AM138" i="78"/>
  <c r="AC68" i="78" s="1"/>
  <c r="AM134" i="78"/>
  <c r="AC66" i="78" s="1"/>
  <c r="AM139" i="78"/>
  <c r="AC69" i="78" s="1"/>
  <c r="AM140" i="78"/>
  <c r="AC70" i="78" s="1"/>
  <c r="D19" i="6"/>
  <c r="D3" i="8"/>
  <c r="D7" i="8"/>
  <c r="AE56" i="78" l="1"/>
  <c r="AT78" i="78" s="1"/>
  <c r="AK59" i="78"/>
  <c r="AR82" i="78" s="1"/>
  <c r="AQ96" i="78"/>
  <c r="AM56" i="78"/>
  <c r="BA78" i="78" s="1"/>
  <c r="AD56" i="78"/>
  <c r="AS78" i="78" s="1"/>
  <c r="AQ78" i="78"/>
  <c r="AF56" i="78"/>
  <c r="AU78" i="78" s="1"/>
  <c r="AC145" i="78"/>
  <c r="AK145" i="78" s="1"/>
  <c r="AI57" i="78"/>
  <c r="AX79" i="78" s="1"/>
  <c r="AH57" i="78"/>
  <c r="AW79" i="78" s="1"/>
  <c r="AM60" i="78"/>
  <c r="BA83" i="78" s="1"/>
  <c r="AK57" i="78"/>
  <c r="AR79" i="78" s="1"/>
  <c r="AD60" i="78"/>
  <c r="AS83" i="78" s="1"/>
  <c r="AJ57" i="78"/>
  <c r="AZ79" i="78" s="1"/>
  <c r="AQ80" i="78"/>
  <c r="AJ58" i="78"/>
  <c r="AZ80" i="78" s="1"/>
  <c r="AG58" i="78"/>
  <c r="AV80" i="78" s="1"/>
  <c r="AF59" i="78"/>
  <c r="AU82" i="78" s="1"/>
  <c r="AJ56" i="78"/>
  <c r="AZ78" i="78" s="1"/>
  <c r="AL56" i="78"/>
  <c r="AY78" i="78" s="1"/>
  <c r="AI56" i="78"/>
  <c r="AX78" i="78" s="1"/>
  <c r="AM58" i="78"/>
  <c r="BA80" i="78" s="1"/>
  <c r="AF58" i="78"/>
  <c r="AU80" i="78" s="1"/>
  <c r="AK58" i="78"/>
  <c r="AR80" i="78" s="1"/>
  <c r="AL62" i="78"/>
  <c r="AY85" i="78" s="1"/>
  <c r="AI59" i="78"/>
  <c r="AX82" i="78" s="1"/>
  <c r="AK56" i="78"/>
  <c r="AR78" i="78" s="1"/>
  <c r="AG56" i="78"/>
  <c r="AV78" i="78" s="1"/>
  <c r="AD58" i="78"/>
  <c r="AS80" i="78" s="1"/>
  <c r="AE58" i="78"/>
  <c r="AT80" i="78" s="1"/>
  <c r="AJ62" i="78"/>
  <c r="AZ85" i="78" s="1"/>
  <c r="AH58" i="78"/>
  <c r="AW80" i="78" s="1"/>
  <c r="AI58" i="78"/>
  <c r="AX80" i="78" s="1"/>
  <c r="AH62" i="78"/>
  <c r="AW85" i="78" s="1"/>
  <c r="AF61" i="78"/>
  <c r="AU84" i="78" s="1"/>
  <c r="AQ84" i="78"/>
  <c r="AE61" i="78"/>
  <c r="AT84" i="78" s="1"/>
  <c r="AJ61" i="78"/>
  <c r="AZ84" i="78" s="1"/>
  <c r="AI61" i="78"/>
  <c r="AX84" i="78" s="1"/>
  <c r="AH61" i="78"/>
  <c r="AW84" i="78" s="1"/>
  <c r="AG61" i="78"/>
  <c r="AV84" i="78" s="1"/>
  <c r="AD61" i="78"/>
  <c r="AS84" i="78" s="1"/>
  <c r="AK61" i="78"/>
  <c r="AR84" i="78" s="1"/>
  <c r="AF60" i="78"/>
  <c r="AU83" i="78" s="1"/>
  <c r="AL60" i="78"/>
  <c r="AY83" i="78" s="1"/>
  <c r="AG60" i="78"/>
  <c r="AV83" i="78" s="1"/>
  <c r="AQ79" i="78"/>
  <c r="AG57" i="78"/>
  <c r="AV79" i="78" s="1"/>
  <c r="AD57" i="78"/>
  <c r="AS79" i="78" s="1"/>
  <c r="AI60" i="78"/>
  <c r="AX83" i="78" s="1"/>
  <c r="AK60" i="78"/>
  <c r="AR83" i="78" s="1"/>
  <c r="AJ60" i="78"/>
  <c r="AZ83" i="78" s="1"/>
  <c r="AC146" i="78"/>
  <c r="AE146" i="78" s="1"/>
  <c r="AT98" i="78" s="1"/>
  <c r="AL57" i="78"/>
  <c r="AY79" i="78" s="1"/>
  <c r="AM57" i="78"/>
  <c r="BA79" i="78" s="1"/>
  <c r="AQ83" i="78"/>
  <c r="AE60" i="78"/>
  <c r="AT83" i="78" s="1"/>
  <c r="AQ98" i="78"/>
  <c r="AF57" i="78"/>
  <c r="AU79" i="78" s="1"/>
  <c r="AG59" i="78"/>
  <c r="AV82" i="78" s="1"/>
  <c r="AQ82" i="78"/>
  <c r="AD59" i="78"/>
  <c r="AS82" i="78" s="1"/>
  <c r="AE59" i="78"/>
  <c r="AT82" i="78" s="1"/>
  <c r="AM59" i="78"/>
  <c r="BA82" i="78" s="1"/>
  <c r="AH59" i="78"/>
  <c r="AW82" i="78" s="1"/>
  <c r="AJ59" i="78"/>
  <c r="AZ82" i="78" s="1"/>
  <c r="AG62" i="78"/>
  <c r="AV85" i="78" s="1"/>
  <c r="AF62" i="78"/>
  <c r="AU85" i="78" s="1"/>
  <c r="AD62" i="78"/>
  <c r="AS85" i="78" s="1"/>
  <c r="AM62" i="78"/>
  <c r="BA85" i="78" s="1"/>
  <c r="AQ85" i="78"/>
  <c r="AE62" i="78"/>
  <c r="AT85" i="78" s="1"/>
  <c r="AM61" i="78"/>
  <c r="BA84" i="78" s="1"/>
  <c r="AK62" i="78"/>
  <c r="AR85" i="78" s="1"/>
  <c r="AI69" i="78"/>
  <c r="AX91" i="78" s="1"/>
  <c r="AF69" i="78"/>
  <c r="AU91" i="78" s="1"/>
  <c r="AD69" i="78"/>
  <c r="AS91" i="78" s="1"/>
  <c r="AH69" i="78"/>
  <c r="AW91" i="78" s="1"/>
  <c r="AE69" i="78"/>
  <c r="AT91" i="78" s="1"/>
  <c r="AQ91" i="78"/>
  <c r="AJ69" i="78"/>
  <c r="AG69" i="78"/>
  <c r="AV91" i="78" s="1"/>
  <c r="AM69" i="78"/>
  <c r="BA91" i="78" s="1"/>
  <c r="AL69" i="78"/>
  <c r="AY91" i="78" s="1"/>
  <c r="AK69" i="78"/>
  <c r="AR91" i="78" s="1"/>
  <c r="AG68" i="78"/>
  <c r="AV90" i="78" s="1"/>
  <c r="AK68" i="78"/>
  <c r="AR90" i="78" s="1"/>
  <c r="AH68" i="78"/>
  <c r="AW90" i="78" s="1"/>
  <c r="AD68" i="78"/>
  <c r="AS90" i="78" s="1"/>
  <c r="AJ68" i="78"/>
  <c r="AF68" i="78"/>
  <c r="AU90" i="78" s="1"/>
  <c r="AE68" i="78"/>
  <c r="AT90" i="78" s="1"/>
  <c r="AQ90" i="78"/>
  <c r="AI68" i="78"/>
  <c r="AX90" i="78" s="1"/>
  <c r="AM68" i="78"/>
  <c r="BA90" i="78" s="1"/>
  <c r="AL68" i="78"/>
  <c r="AY90" i="78" s="1"/>
  <c r="AC148" i="78"/>
  <c r="AE67" i="78"/>
  <c r="AT88" i="78" s="1"/>
  <c r="AQ88" i="78"/>
  <c r="AQ100" i="78"/>
  <c r="AI67" i="78"/>
  <c r="AX88" i="78" s="1"/>
  <c r="AL67" i="78"/>
  <c r="AY88" i="78" s="1"/>
  <c r="AK67" i="78"/>
  <c r="AR88" i="78" s="1"/>
  <c r="AM67" i="78"/>
  <c r="BA88" i="78" s="1"/>
  <c r="AG67" i="78"/>
  <c r="AV88" i="78" s="1"/>
  <c r="AJ67" i="78"/>
  <c r="AD67" i="78"/>
  <c r="AS88" i="78" s="1"/>
  <c r="AF67" i="78"/>
  <c r="AU88" i="78" s="1"/>
  <c r="AH67" i="78"/>
  <c r="AW88" i="78" s="1"/>
  <c r="AE71" i="78"/>
  <c r="AT93" i="78" s="1"/>
  <c r="AQ93" i="78"/>
  <c r="AK71" i="78"/>
  <c r="AR93" i="78" s="1"/>
  <c r="AH71" i="78"/>
  <c r="AW93" i="78" s="1"/>
  <c r="AI71" i="78"/>
  <c r="AX93" i="78" s="1"/>
  <c r="AL71" i="78"/>
  <c r="AY93" i="78" s="1"/>
  <c r="AM71" i="78"/>
  <c r="BA93" i="78" s="1"/>
  <c r="AD71" i="78"/>
  <c r="AS93" i="78" s="1"/>
  <c r="AF71" i="78"/>
  <c r="AU93" i="78" s="1"/>
  <c r="AG71" i="78"/>
  <c r="AV93" i="78" s="1"/>
  <c r="AJ71" i="78"/>
  <c r="AQ92" i="78"/>
  <c r="AG70" i="78"/>
  <c r="AV92" i="78" s="1"/>
  <c r="AJ70" i="78"/>
  <c r="AI70" i="78"/>
  <c r="AX92" i="78" s="1"/>
  <c r="AF70" i="78"/>
  <c r="AU92" i="78" s="1"/>
  <c r="AH70" i="78"/>
  <c r="AW92" i="78" s="1"/>
  <c r="AL70" i="78"/>
  <c r="AY92" i="78" s="1"/>
  <c r="AM70" i="78"/>
  <c r="BA92" i="78" s="1"/>
  <c r="AE70" i="78"/>
  <c r="AT92" i="78" s="1"/>
  <c r="AK70" i="78"/>
  <c r="AR92" i="78" s="1"/>
  <c r="AD70" i="78"/>
  <c r="AS92" i="78" s="1"/>
  <c r="AD66" i="78"/>
  <c r="AS87" i="78" s="1"/>
  <c r="AE66" i="78"/>
  <c r="AT87" i="78" s="1"/>
  <c r="AF66" i="78"/>
  <c r="AU87" i="78" s="1"/>
  <c r="AQ99" i="78"/>
  <c r="AH66" i="78"/>
  <c r="AW87" i="78" s="1"/>
  <c r="AM66" i="78"/>
  <c r="BA87" i="78" s="1"/>
  <c r="AK66" i="78"/>
  <c r="AR87" i="78" s="1"/>
  <c r="AG66" i="78"/>
  <c r="AV87" i="78" s="1"/>
  <c r="AL66" i="78"/>
  <c r="AY87" i="78" s="1"/>
  <c r="AJ66" i="78"/>
  <c r="AI66" i="78"/>
  <c r="AX87" i="78" s="1"/>
  <c r="AC147" i="78"/>
  <c r="AQ87" i="78"/>
  <c r="AK73" i="78"/>
  <c r="AR94" i="78" s="1"/>
  <c r="AF73" i="78"/>
  <c r="AU94" i="78" s="1"/>
  <c r="AD73" i="78"/>
  <c r="AS94" i="78" s="1"/>
  <c r="AL73" i="78"/>
  <c r="AY94" i="78" s="1"/>
  <c r="AJ73" i="78"/>
  <c r="AM73" i="78"/>
  <c r="BA94" i="78" s="1"/>
  <c r="AH73" i="78"/>
  <c r="AW94" i="78" s="1"/>
  <c r="AI73" i="78"/>
  <c r="AX94" i="78" s="1"/>
  <c r="AG73" i="78"/>
  <c r="AV94" i="78" s="1"/>
  <c r="AQ94" i="78"/>
  <c r="AE73" i="78"/>
  <c r="AT94" i="78" s="1"/>
  <c r="C61" i="6"/>
  <c r="AL145" i="78" l="1"/>
  <c r="AY96" i="78" s="1"/>
  <c r="AE145" i="78"/>
  <c r="AT96" i="78" s="1"/>
  <c r="AT45" i="78" s="1"/>
  <c r="AF145" i="78"/>
  <c r="AU96" i="78" s="1"/>
  <c r="AU45" i="78" s="1"/>
  <c r="AD145" i="78"/>
  <c r="AG145" i="78"/>
  <c r="AH145" i="78"/>
  <c r="AW96" i="78" s="1"/>
  <c r="AW45" i="78" s="1"/>
  <c r="AD146" i="78"/>
  <c r="AJ146" i="78" s="1"/>
  <c r="AB56" i="78"/>
  <c r="AB58" i="78"/>
  <c r="AF146" i="78"/>
  <c r="AU98" i="78" s="1"/>
  <c r="AU38" i="78" s="1"/>
  <c r="AB59" i="78"/>
  <c r="AL146" i="78"/>
  <c r="AY98" i="78" s="1"/>
  <c r="AY43" i="78" s="1"/>
  <c r="AH146" i="78"/>
  <c r="AW98" i="78" s="1"/>
  <c r="AB61" i="78"/>
  <c r="AG146" i="78"/>
  <c r="AV98" i="78" s="1"/>
  <c r="AV47" i="78" s="1"/>
  <c r="AK146" i="78"/>
  <c r="AR98" i="78" s="1"/>
  <c r="AR38" i="78" s="1"/>
  <c r="AB60" i="78"/>
  <c r="AB57" i="78"/>
  <c r="AB62" i="78"/>
  <c r="AY47" i="78"/>
  <c r="AZ87" i="78"/>
  <c r="AB66" i="78"/>
  <c r="AR96" i="78"/>
  <c r="AR45" i="78" s="1"/>
  <c r="AZ96" i="78"/>
  <c r="AW43" i="78"/>
  <c r="AV41" i="78"/>
  <c r="AY38" i="78"/>
  <c r="AX49" i="78"/>
  <c r="AX40" i="78"/>
  <c r="AU41" i="78"/>
  <c r="AU49" i="78"/>
  <c r="AS40" i="78"/>
  <c r="AV43" i="78"/>
  <c r="AU39" i="78"/>
  <c r="AS49" i="78"/>
  <c r="AZ50" i="78"/>
  <c r="AZ39" i="78"/>
  <c r="AV48" i="78"/>
  <c r="AR49" i="78"/>
  <c r="AR40" i="78"/>
  <c r="AT47" i="78"/>
  <c r="AU36" i="78"/>
  <c r="AS98" i="78"/>
  <c r="AS43" i="78" s="1"/>
  <c r="AZ90" i="78"/>
  <c r="AB68" i="78"/>
  <c r="AZ93" i="78"/>
  <c r="AB71" i="78"/>
  <c r="AW39" i="78"/>
  <c r="AS48" i="78"/>
  <c r="AV51" i="78"/>
  <c r="AW50" i="78"/>
  <c r="AZ41" i="78"/>
  <c r="AV50" i="78"/>
  <c r="AX41" i="78"/>
  <c r="AU51" i="78"/>
  <c r="AZ49" i="78"/>
  <c r="AX50" i="78"/>
  <c r="AT43" i="78"/>
  <c r="AT41" i="78"/>
  <c r="AU48" i="78"/>
  <c r="AY49" i="78"/>
  <c r="AZ40" i="78"/>
  <c r="AT38" i="78"/>
  <c r="AZ88" i="78"/>
  <c r="AB67" i="78"/>
  <c r="AY36" i="78"/>
  <c r="AZ91" i="78"/>
  <c r="AB69" i="78"/>
  <c r="AZ94" i="78"/>
  <c r="AB73" i="78"/>
  <c r="AL147" i="78"/>
  <c r="AY99" i="78" s="1"/>
  <c r="AK147" i="78"/>
  <c r="AH147" i="78"/>
  <c r="AW99" i="78" s="1"/>
  <c r="AF147" i="78"/>
  <c r="AU99" i="78" s="1"/>
  <c r="AG147" i="78"/>
  <c r="AD147" i="78"/>
  <c r="AE147" i="78"/>
  <c r="AT99" i="78" s="1"/>
  <c r="AZ92" i="78"/>
  <c r="AB70" i="78"/>
  <c r="AT39" i="78"/>
  <c r="AX48" i="78"/>
  <c r="AW51" i="78"/>
  <c r="AR50" i="78"/>
  <c r="AW47" i="78"/>
  <c r="AR39" i="78"/>
  <c r="AW48" i="78"/>
  <c r="AT51" i="78"/>
  <c r="AS50" i="78"/>
  <c r="AX39" i="78"/>
  <c r="AR41" i="78"/>
  <c r="AY51" i="78"/>
  <c r="AV49" i="78"/>
  <c r="AU40" i="78"/>
  <c r="AU43" i="78"/>
  <c r="AY41" i="78"/>
  <c r="AS51" i="78"/>
  <c r="AT50" i="78"/>
  <c r="AT40" i="78"/>
  <c r="AY45" i="78"/>
  <c r="AK148" i="78"/>
  <c r="AG148" i="78"/>
  <c r="AD148" i="78"/>
  <c r="AH148" i="78"/>
  <c r="AW100" i="78" s="1"/>
  <c r="AW42" i="78" s="1"/>
  <c r="AE148" i="78"/>
  <c r="AT100" i="78" s="1"/>
  <c r="AT42" i="78" s="1"/>
  <c r="AL148" i="78"/>
  <c r="AY100" i="78" s="1"/>
  <c r="AY42" i="78" s="1"/>
  <c r="AF148" i="78"/>
  <c r="AU100" i="78" s="1"/>
  <c r="AU42" i="78" s="1"/>
  <c r="AV96" i="78"/>
  <c r="AV45" i="78" s="1"/>
  <c r="AS41" i="78"/>
  <c r="AY48" i="78"/>
  <c r="AT49" i="78"/>
  <c r="AY40" i="78"/>
  <c r="AW36" i="78"/>
  <c r="AY39" i="78"/>
  <c r="AR48" i="78"/>
  <c r="AW49" i="78"/>
  <c r="AV40" i="78"/>
  <c r="AV39" i="78"/>
  <c r="AT48" i="78"/>
  <c r="AX51" i="78"/>
  <c r="AY50" i="78"/>
  <c r="AW40" i="78"/>
  <c r="AS39" i="78"/>
  <c r="AW41" i="78"/>
  <c r="AR51" i="78"/>
  <c r="AU50" i="78"/>
  <c r="AW44" i="78"/>
  <c r="AT36" i="78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D19" i="8"/>
  <c r="AW46" i="78" l="1"/>
  <c r="AS47" i="78"/>
  <c r="AI145" i="78"/>
  <c r="AX96" i="78" s="1"/>
  <c r="AU47" i="78"/>
  <c r="AZ51" i="78"/>
  <c r="AP51" i="78" s="1"/>
  <c r="AY37" i="78"/>
  <c r="AU37" i="78"/>
  <c r="AT37" i="78"/>
  <c r="AW37" i="78"/>
  <c r="AR47" i="78"/>
  <c r="AW38" i="78"/>
  <c r="AT46" i="78"/>
  <c r="AU46" i="78"/>
  <c r="AY46" i="78"/>
  <c r="AY44" i="78"/>
  <c r="AR43" i="78"/>
  <c r="AU44" i="78"/>
  <c r="AT44" i="78"/>
  <c r="AJ145" i="78"/>
  <c r="AB145" i="78" s="1"/>
  <c r="AS96" i="78"/>
  <c r="AS45" i="78" s="1"/>
  <c r="AZ98" i="78"/>
  <c r="AZ47" i="78" s="1"/>
  <c r="AZ48" i="78"/>
  <c r="AP48" i="78" s="1"/>
  <c r="AZ36" i="78"/>
  <c r="AI146" i="78"/>
  <c r="AX98" i="78" s="1"/>
  <c r="AX47" i="78" s="1"/>
  <c r="AV36" i="78"/>
  <c r="AV38" i="78"/>
  <c r="AP40" i="78"/>
  <c r="AP49" i="78"/>
  <c r="AR36" i="78"/>
  <c r="AJ148" i="78"/>
  <c r="AS100" i="78"/>
  <c r="AS99" i="78"/>
  <c r="AJ147" i="78"/>
  <c r="AR99" i="78"/>
  <c r="AZ99" i="78"/>
  <c r="AZ37" i="78" s="1"/>
  <c r="AP41" i="78"/>
  <c r="AX36" i="78"/>
  <c r="AI148" i="78"/>
  <c r="AX100" i="78" s="1"/>
  <c r="AV100" i="78"/>
  <c r="AV99" i="78"/>
  <c r="AI147" i="78"/>
  <c r="AX99" i="78" s="1"/>
  <c r="AP50" i="78"/>
  <c r="AZ100" i="78"/>
  <c r="AZ42" i="78" s="1"/>
  <c r="AR100" i="78"/>
  <c r="AS36" i="78"/>
  <c r="AP39" i="78"/>
  <c r="E59" i="6"/>
  <c r="E61" i="6" s="1"/>
  <c r="D58" i="6"/>
  <c r="D57" i="6"/>
  <c r="D56" i="6"/>
  <c r="D55" i="6"/>
  <c r="D54" i="6"/>
  <c r="D53" i="6"/>
  <c r="D51" i="6"/>
  <c r="D50" i="6"/>
  <c r="D49" i="6"/>
  <c r="D48" i="6"/>
  <c r="D47" i="6"/>
  <c r="D46" i="6"/>
  <c r="D45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18" i="6"/>
  <c r="D17" i="6"/>
  <c r="D16" i="6"/>
  <c r="D15" i="6"/>
  <c r="D14" i="6"/>
  <c r="D13" i="6"/>
  <c r="D12" i="6"/>
  <c r="D11" i="6"/>
  <c r="D10" i="6"/>
  <c r="D9" i="6"/>
  <c r="D7" i="6"/>
  <c r="D6" i="6"/>
  <c r="D5" i="6"/>
  <c r="D4" i="6"/>
  <c r="D3" i="6"/>
  <c r="E59" i="8"/>
  <c r="E61" i="8" s="1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8" i="8"/>
  <c r="D17" i="8"/>
  <c r="D16" i="8"/>
  <c r="D15" i="8"/>
  <c r="D14" i="8"/>
  <c r="D13" i="8"/>
  <c r="D12" i="8"/>
  <c r="D11" i="8"/>
  <c r="D10" i="8"/>
  <c r="D9" i="8"/>
  <c r="D8" i="8"/>
  <c r="D6" i="8"/>
  <c r="D5" i="8"/>
  <c r="AP47" i="78" l="1"/>
  <c r="AX45" i="78"/>
  <c r="AZ45" i="78"/>
  <c r="AB146" i="78"/>
  <c r="AS38" i="78"/>
  <c r="AX37" i="78"/>
  <c r="AX44" i="78"/>
  <c r="AV37" i="78"/>
  <c r="AV44" i="78"/>
  <c r="AS37" i="78"/>
  <c r="AS44" i="78"/>
  <c r="AV42" i="78"/>
  <c r="AV46" i="78"/>
  <c r="AS42" i="78"/>
  <c r="AS46" i="78"/>
  <c r="AX38" i="78"/>
  <c r="AX43" i="78"/>
  <c r="AR42" i="78"/>
  <c r="AR46" i="78"/>
  <c r="AZ38" i="78"/>
  <c r="AZ43" i="78"/>
  <c r="AP43" i="78" s="1"/>
  <c r="AX42" i="78"/>
  <c r="AX46" i="78"/>
  <c r="AR37" i="78"/>
  <c r="AR44" i="78"/>
  <c r="AZ46" i="78"/>
  <c r="AZ44" i="78"/>
  <c r="AP36" i="78"/>
  <c r="AB148" i="78"/>
  <c r="AB147" i="78"/>
  <c r="M22" i="28"/>
  <c r="AF87" i="28" s="1"/>
  <c r="L22" i="28"/>
  <c r="AE87" i="28" s="1"/>
  <c r="K22" i="28"/>
  <c r="AD87" i="28" s="1"/>
  <c r="AJ87" i="28" l="1"/>
  <c r="AB87" i="28" s="1"/>
  <c r="AO65" i="28" s="1"/>
  <c r="AP45" i="78"/>
  <c r="AP38" i="78"/>
  <c r="AP42" i="78"/>
  <c r="AP37" i="78"/>
  <c r="AP44" i="78"/>
  <c r="AP46" i="78"/>
  <c r="L29" i="28"/>
  <c r="M29" i="28"/>
  <c r="K29" i="28"/>
  <c r="BA45" i="78" l="1"/>
  <c r="BA40" i="78"/>
  <c r="BA41" i="78"/>
  <c r="BA50" i="78"/>
  <c r="BA47" i="78"/>
  <c r="BA38" i="78"/>
  <c r="BA48" i="78"/>
  <c r="BA36" i="78"/>
  <c r="BA49" i="78"/>
  <c r="BA51" i="78"/>
  <c r="BA43" i="78"/>
  <c r="BA39" i="78"/>
  <c r="BA42" i="78"/>
  <c r="BA44" i="78"/>
  <c r="BA46" i="78"/>
  <c r="BA37" i="78"/>
  <c r="K32" i="28"/>
  <c r="AD88" i="28" s="1"/>
  <c r="M32" i="28"/>
  <c r="AF88" i="28" s="1"/>
  <c r="L32" i="28"/>
  <c r="AE88" i="28" s="1"/>
  <c r="AJ88" i="28" l="1"/>
  <c r="BB36" i="78"/>
  <c r="BC36" i="78" s="1"/>
  <c r="AO36" i="78" s="1"/>
  <c r="AG3" i="78" s="1"/>
  <c r="BB37" i="78"/>
  <c r="BC37" i="78" s="1"/>
  <c r="AO37" i="78" s="1"/>
  <c r="BB39" i="78"/>
  <c r="BC39" i="78" s="1"/>
  <c r="AO39" i="78" s="1"/>
  <c r="BB41" i="78"/>
  <c r="BC41" i="78" s="1"/>
  <c r="AO41" i="78" s="1"/>
  <c r="BB45" i="78"/>
  <c r="BC45" i="78" s="1"/>
  <c r="AO45" i="78" s="1"/>
  <c r="BB46" i="78"/>
  <c r="BC46" i="78" s="1"/>
  <c r="AO46" i="78" s="1"/>
  <c r="BB50" i="78"/>
  <c r="BC50" i="78" s="1"/>
  <c r="AO50" i="78" s="1"/>
  <c r="BB43" i="78"/>
  <c r="BC43" i="78" s="1"/>
  <c r="AO43" i="78" s="1"/>
  <c r="BB49" i="78"/>
  <c r="BC49" i="78" s="1"/>
  <c r="AO49" i="78" s="1"/>
  <c r="BB44" i="78"/>
  <c r="BC44" i="78" s="1"/>
  <c r="AO44" i="78" s="1"/>
  <c r="BB38" i="78"/>
  <c r="BC38" i="78" s="1"/>
  <c r="AO38" i="78" s="1"/>
  <c r="BB51" i="78"/>
  <c r="BC51" i="78" s="1"/>
  <c r="AO51" i="78" s="1"/>
  <c r="BB48" i="78"/>
  <c r="BC48" i="78" s="1"/>
  <c r="AO48" i="78" s="1"/>
  <c r="BB42" i="78"/>
  <c r="BC42" i="78" s="1"/>
  <c r="AO42" i="78" s="1"/>
  <c r="BB47" i="78"/>
  <c r="BC47" i="78" s="1"/>
  <c r="AO47" i="78" s="1"/>
  <c r="BB40" i="78"/>
  <c r="BC40" i="78" s="1"/>
  <c r="AO40" i="78" s="1"/>
  <c r="AB83" i="28"/>
  <c r="AO61" i="28" s="1"/>
  <c r="L23" i="28"/>
  <c r="M23" i="28"/>
  <c r="K23" i="28"/>
  <c r="AK3" i="78" l="1"/>
  <c r="AJ3" i="78"/>
  <c r="AC3" i="78"/>
  <c r="AF3" i="78"/>
  <c r="AJ4" i="78"/>
  <c r="AE3" i="78"/>
  <c r="AL3" i="78"/>
  <c r="AI3" i="78"/>
  <c r="AD3" i="78"/>
  <c r="AH3" i="78"/>
  <c r="AI4" i="78"/>
  <c r="AD4" i="78"/>
  <c r="AG4" i="78"/>
  <c r="AC4" i="78"/>
  <c r="AH4" i="78"/>
  <c r="AL4" i="78"/>
  <c r="AF4" i="78"/>
  <c r="AE4" i="78"/>
  <c r="AK4" i="78"/>
  <c r="AF5" i="78"/>
  <c r="AC6" i="78"/>
  <c r="AH6" i="78"/>
  <c r="AF6" i="78"/>
  <c r="AG6" i="78"/>
  <c r="AE6" i="78"/>
  <c r="AI6" i="78"/>
  <c r="AJ6" i="78"/>
  <c r="AK12" i="78"/>
  <c r="AJ8" i="78"/>
  <c r="AG12" i="78"/>
  <c r="AK6" i="78"/>
  <c r="AD6" i="78"/>
  <c r="AL6" i="78"/>
  <c r="AE5" i="78"/>
  <c r="AC5" i="78"/>
  <c r="AJ12" i="78"/>
  <c r="AJ7" i="78"/>
  <c r="AK5" i="78"/>
  <c r="AH5" i="78"/>
  <c r="AL5" i="78"/>
  <c r="AI18" i="78"/>
  <c r="AD5" i="78"/>
  <c r="AH14" i="78"/>
  <c r="AF17" i="78"/>
  <c r="AK16" i="78"/>
  <c r="AJ18" i="78"/>
  <c r="AI8" i="78"/>
  <c r="AC9" i="78"/>
  <c r="AL7" i="78"/>
  <c r="AD8" i="78"/>
  <c r="AJ5" i="78"/>
  <c r="AG5" i="78"/>
  <c r="AI5" i="78"/>
  <c r="AK7" i="78"/>
  <c r="AG15" i="78"/>
  <c r="AC12" i="78"/>
  <c r="AL12" i="78"/>
  <c r="AL8" i="78"/>
  <c r="AD7" i="78"/>
  <c r="AC7" i="78"/>
  <c r="AL14" i="78"/>
  <c r="AE14" i="78"/>
  <c r="AF9" i="78"/>
  <c r="AJ15" i="78"/>
  <c r="AK15" i="78"/>
  <c r="AL18" i="78"/>
  <c r="AL11" i="78"/>
  <c r="AD17" i="78"/>
  <c r="AC8" i="78"/>
  <c r="AF12" i="78"/>
  <c r="AH12" i="78"/>
  <c r="AE8" i="78"/>
  <c r="AH7" i="78"/>
  <c r="AF7" i="78"/>
  <c r="AI14" i="78"/>
  <c r="AF14" i="78"/>
  <c r="AJ9" i="78"/>
  <c r="AF15" i="78"/>
  <c r="AC18" i="78"/>
  <c r="AD18" i="78"/>
  <c r="AG11" i="78"/>
  <c r="AG17" i="78"/>
  <c r="AE12" i="78"/>
  <c r="AI12" i="78"/>
  <c r="AD12" i="78"/>
  <c r="AI7" i="78"/>
  <c r="AE7" i="78"/>
  <c r="AG7" i="78"/>
  <c r="AC14" i="78"/>
  <c r="AG9" i="78"/>
  <c r="AE9" i="78"/>
  <c r="AH15" i="78"/>
  <c r="AJ16" i="78"/>
  <c r="AH13" i="78"/>
  <c r="AI11" i="78"/>
  <c r="AH10" i="78"/>
  <c r="AC17" i="78"/>
  <c r="AE16" i="78"/>
  <c r="AK10" i="78"/>
  <c r="AC13" i="78"/>
  <c r="AH9" i="78"/>
  <c r="AD11" i="78"/>
  <c r="AL13" i="78"/>
  <c r="AC11" i="78"/>
  <c r="AG8" i="78"/>
  <c r="AF16" i="78"/>
  <c r="AI10" i="78"/>
  <c r="AL17" i="78"/>
  <c r="AI13" i="78"/>
  <c r="AK13" i="78"/>
  <c r="AE18" i="78"/>
  <c r="AG10" i="78"/>
  <c r="AF11" i="78"/>
  <c r="AI16" i="78"/>
  <c r="AE10" i="78"/>
  <c r="AF10" i="78"/>
  <c r="AE17" i="78"/>
  <c r="AD13" i="78"/>
  <c r="AJ14" i="78"/>
  <c r="AG14" i="78"/>
  <c r="AK9" i="78"/>
  <c r="AD9" i="78"/>
  <c r="AF8" i="78"/>
  <c r="AL15" i="78"/>
  <c r="AE15" i="78"/>
  <c r="AG18" i="78"/>
  <c r="AF18" i="78"/>
  <c r="AK18" i="78"/>
  <c r="AH11" i="78"/>
  <c r="AE11" i="78"/>
  <c r="AJ11" i="78"/>
  <c r="AL16" i="78"/>
  <c r="AC16" i="78"/>
  <c r="AH16" i="78"/>
  <c r="AJ10" i="78"/>
  <c r="AL10" i="78"/>
  <c r="AI17" i="78"/>
  <c r="AJ17" i="78"/>
  <c r="AH17" i="78"/>
  <c r="AG13" i="78"/>
  <c r="AF13" i="78"/>
  <c r="AK8" i="78"/>
  <c r="AK14" i="78"/>
  <c r="AD14" i="78"/>
  <c r="AL9" i="78"/>
  <c r="AI9" i="78"/>
  <c r="AC15" i="78"/>
  <c r="AD15" i="78"/>
  <c r="AI15" i="78"/>
  <c r="AH18" i="78"/>
  <c r="AK11" i="78"/>
  <c r="AH8" i="78"/>
  <c r="AD16" i="78"/>
  <c r="AG16" i="78"/>
  <c r="AD10" i="78"/>
  <c r="AC10" i="78"/>
  <c r="AK17" i="78"/>
  <c r="AJ13" i="78"/>
  <c r="AE13" i="78"/>
  <c r="AB88" i="28"/>
  <c r="AO66" i="28" s="1"/>
  <c r="AB91" i="28"/>
  <c r="AO69" i="28" s="1"/>
  <c r="L26" i="28" l="1"/>
  <c r="AE93" i="28" s="1"/>
  <c r="K26" i="28"/>
  <c r="AD93" i="28" s="1"/>
  <c r="M26" i="28"/>
  <c r="AF93" i="28" s="1"/>
  <c r="AJ93" i="28" l="1"/>
  <c r="AB93" i="28" s="1"/>
  <c r="AO71" i="28" s="1"/>
  <c r="AB90" i="28"/>
  <c r="AO68" i="28" s="1"/>
  <c r="M34" i="28"/>
  <c r="K34" i="28"/>
  <c r="L34" i="28"/>
  <c r="L42" i="28" l="1"/>
  <c r="M42" i="28"/>
  <c r="AF89" i="28" s="1"/>
  <c r="AE89" i="28" l="1"/>
  <c r="AJ89" i="28" s="1"/>
  <c r="AB89" i="28" s="1"/>
  <c r="AO67" i="28" s="1"/>
  <c r="CR2" i="64"/>
  <c r="CR2" i="63"/>
  <c r="CR2" i="62" l="1"/>
  <c r="CR2" i="67"/>
  <c r="CR2" i="70"/>
  <c r="CR2" i="58"/>
  <c r="CR2" i="68"/>
  <c r="CR2" i="59"/>
  <c r="CR2" i="61"/>
  <c r="CR2" i="60"/>
  <c r="CR2" i="65"/>
  <c r="CR2" i="22"/>
  <c r="CR2" i="69"/>
  <c r="CR2" i="71"/>
  <c r="CR2" i="66"/>
  <c r="D18" i="62" l="1"/>
  <c r="D211" i="21" s="1"/>
  <c r="H22" i="62"/>
  <c r="B19" i="74" s="1"/>
  <c r="E13" i="21" l="1"/>
  <c r="E233" i="21"/>
  <c r="E146" i="21"/>
  <c r="E236" i="21"/>
  <c r="E220" i="21"/>
  <c r="E134" i="21"/>
  <c r="E219" i="21"/>
  <c r="E212" i="21"/>
  <c r="E162" i="21"/>
  <c r="E205" i="21"/>
  <c r="E142" i="21"/>
  <c r="E149" i="21"/>
  <c r="E120" i="21"/>
  <c r="E187" i="21"/>
  <c r="E29" i="21"/>
  <c r="E14" i="21"/>
  <c r="E237" i="21"/>
  <c r="E42" i="21"/>
  <c r="E240" i="21"/>
  <c r="E12" i="21"/>
  <c r="E211" i="21"/>
  <c r="E130" i="21"/>
  <c r="E238" i="21"/>
  <c r="E153" i="21"/>
  <c r="E129" i="21"/>
  <c r="E58" i="21"/>
  <c r="E213" i="21"/>
  <c r="E223" i="21"/>
  <c r="E151" i="21"/>
  <c r="E46" i="21"/>
  <c r="E56" i="21"/>
  <c r="E135" i="21"/>
  <c r="E79" i="21"/>
  <c r="E17" i="21"/>
  <c r="E50" i="21"/>
  <c r="E62" i="21"/>
  <c r="E221" i="21"/>
  <c r="E6" i="21"/>
  <c r="E116" i="21"/>
  <c r="E128" i="21"/>
  <c r="E101" i="21"/>
  <c r="E192" i="21"/>
  <c r="E182" i="21"/>
  <c r="E34" i="21"/>
  <c r="E94" i="21"/>
  <c r="E138" i="21"/>
  <c r="E230" i="21"/>
  <c r="E109" i="21"/>
  <c r="E2" i="21"/>
  <c r="E47" i="21"/>
  <c r="E155" i="21"/>
  <c r="E232" i="21"/>
  <c r="E85" i="21"/>
  <c r="E8" i="21"/>
  <c r="E48" i="21"/>
  <c r="E140" i="21"/>
  <c r="E169" i="21"/>
  <c r="E68" i="21"/>
  <c r="E164" i="21"/>
  <c r="E108" i="21"/>
  <c r="E31" i="21"/>
  <c r="E23" i="21"/>
  <c r="E51" i="21"/>
  <c r="E160" i="21"/>
  <c r="E4" i="21"/>
  <c r="E127" i="21"/>
  <c r="E217" i="21"/>
  <c r="E186" i="21"/>
  <c r="E86" i="21"/>
  <c r="E166" i="21"/>
  <c r="E157" i="21"/>
  <c r="E228" i="21"/>
  <c r="E141" i="21"/>
  <c r="E124" i="21"/>
  <c r="E133" i="21"/>
  <c r="E118" i="21"/>
  <c r="E61" i="21"/>
  <c r="E163" i="21"/>
  <c r="E231" i="21"/>
  <c r="E39" i="21"/>
  <c r="E197" i="21"/>
  <c r="E216" i="21"/>
  <c r="E239" i="21"/>
  <c r="E45" i="21"/>
  <c r="E139" i="21"/>
  <c r="E41" i="21"/>
  <c r="E55" i="21"/>
  <c r="E227" i="21"/>
  <c r="E84" i="21"/>
  <c r="E72" i="21"/>
  <c r="E89" i="21"/>
  <c r="E226" i="21"/>
  <c r="E119" i="21"/>
  <c r="E145" i="21"/>
  <c r="E170" i="21"/>
  <c r="E64" i="21"/>
  <c r="E117" i="21"/>
  <c r="E92" i="21"/>
  <c r="E189" i="21"/>
  <c r="E191" i="21"/>
  <c r="E183" i="21"/>
  <c r="E54" i="21"/>
  <c r="E102" i="21"/>
  <c r="E154" i="21"/>
  <c r="E69" i="21"/>
  <c r="E125" i="21"/>
  <c r="E3" i="21"/>
  <c r="E95" i="21"/>
  <c r="E167" i="21"/>
  <c r="E21" i="21"/>
  <c r="E93" i="21"/>
  <c r="E24" i="21"/>
  <c r="E52" i="21"/>
  <c r="E152" i="21"/>
  <c r="E225" i="21"/>
  <c r="E60" i="21"/>
  <c r="E75" i="21"/>
  <c r="E235" i="21"/>
  <c r="E131" i="21"/>
  <c r="E194" i="21"/>
  <c r="E222" i="21"/>
  <c r="E224" i="21"/>
  <c r="E19" i="21"/>
  <c r="E201" i="21"/>
  <c r="E9" i="21"/>
  <c r="E37" i="21"/>
  <c r="E104" i="21"/>
  <c r="E82" i="21"/>
  <c r="E10" i="21"/>
  <c r="E126" i="21"/>
  <c r="E97" i="21"/>
  <c r="E35" i="21"/>
  <c r="E143" i="21"/>
  <c r="E77" i="21"/>
  <c r="E36" i="21"/>
  <c r="E168" i="21"/>
  <c r="E53" i="21"/>
  <c r="E208" i="21"/>
  <c r="E241" i="21"/>
  <c r="E43" i="21"/>
  <c r="E49" i="21"/>
  <c r="E165" i="21"/>
  <c r="E229" i="21"/>
  <c r="E136" i="21"/>
  <c r="E215" i="21"/>
  <c r="E15" i="21"/>
  <c r="E40" i="21"/>
  <c r="E209" i="21"/>
  <c r="E114" i="21"/>
  <c r="E25" i="21"/>
  <c r="E28" i="21"/>
  <c r="E20" i="21"/>
  <c r="E161" i="21"/>
  <c r="E203" i="21"/>
  <c r="E190" i="21"/>
  <c r="E73" i="21"/>
  <c r="E83" i="21"/>
  <c r="E111" i="21"/>
  <c r="E59" i="21"/>
  <c r="E63" i="21"/>
  <c r="E159" i="21"/>
  <c r="E144" i="21"/>
  <c r="E100" i="21"/>
  <c r="E184" i="21"/>
  <c r="E202" i="21"/>
  <c r="E66" i="21"/>
  <c r="E122" i="21"/>
  <c r="E158" i="21"/>
  <c r="E81" i="21"/>
  <c r="E137" i="21"/>
  <c r="E7" i="21"/>
  <c r="E123" i="21"/>
  <c r="E207" i="21"/>
  <c r="E33" i="21"/>
  <c r="E121" i="21"/>
  <c r="E32" i="21"/>
  <c r="E96" i="21"/>
  <c r="E156" i="21"/>
  <c r="E5" i="21"/>
  <c r="E91" i="21"/>
  <c r="E210" i="21"/>
  <c r="E76" i="21"/>
  <c r="E193" i="21"/>
  <c r="E98" i="21"/>
  <c r="D22" i="62"/>
  <c r="Q3" i="28"/>
  <c r="B23" i="74"/>
  <c r="AH92" i="28" l="1"/>
  <c r="AI92" i="28" s="1"/>
  <c r="AG80" i="28"/>
  <c r="AI80" i="28" s="1"/>
  <c r="F130" i="21"/>
  <c r="F99" i="21"/>
  <c r="F227" i="21"/>
  <c r="F34" i="21"/>
  <c r="F162" i="21"/>
  <c r="F3" i="21"/>
  <c r="N4" i="26" s="1"/>
  <c r="F131" i="21"/>
  <c r="F56" i="21"/>
  <c r="F109" i="21"/>
  <c r="F66" i="21"/>
  <c r="F35" i="21"/>
  <c r="F120" i="21"/>
  <c r="F201" i="21"/>
  <c r="F92" i="21"/>
  <c r="F151" i="21"/>
  <c r="F132" i="21"/>
  <c r="F38" i="21"/>
  <c r="F166" i="21"/>
  <c r="F7" i="21"/>
  <c r="N8" i="26" s="1"/>
  <c r="F45" i="21"/>
  <c r="F50" i="21"/>
  <c r="F178" i="21"/>
  <c r="F51" i="21"/>
  <c r="F179" i="21"/>
  <c r="F152" i="21"/>
  <c r="F41" i="21"/>
  <c r="F77" i="21"/>
  <c r="F188" i="21"/>
  <c r="F22" i="21"/>
  <c r="F150" i="21"/>
  <c r="F23" i="21"/>
  <c r="F215" i="21"/>
  <c r="F113" i="21"/>
  <c r="F71" i="21"/>
  <c r="F199" i="21"/>
  <c r="F192" i="21"/>
  <c r="F81" i="21"/>
  <c r="F181" i="21"/>
  <c r="F228" i="21"/>
  <c r="F122" i="21"/>
  <c r="F250" i="21"/>
  <c r="F123" i="21"/>
  <c r="F40" i="21"/>
  <c r="F69" i="21"/>
  <c r="F185" i="21"/>
  <c r="F76" i="21"/>
  <c r="F247" i="21"/>
  <c r="F126" i="21"/>
  <c r="F254" i="21"/>
  <c r="F127" i="21"/>
  <c r="F98" i="21"/>
  <c r="F67" i="21"/>
  <c r="F184" i="21"/>
  <c r="F137" i="21"/>
  <c r="F28" i="21"/>
  <c r="F61" i="21"/>
  <c r="F239" i="21"/>
  <c r="F6" i="21"/>
  <c r="N7" i="26" s="1"/>
  <c r="F134" i="21"/>
  <c r="F32" i="21"/>
  <c r="F18" i="21"/>
  <c r="F146" i="21"/>
  <c r="F19" i="21"/>
  <c r="F147" i="21"/>
  <c r="F88" i="21"/>
  <c r="F189" i="21"/>
  <c r="F233" i="21"/>
  <c r="F124" i="21"/>
  <c r="F229" i="21"/>
  <c r="F118" i="21"/>
  <c r="F246" i="21"/>
  <c r="F183" i="21"/>
  <c r="F49" i="21"/>
  <c r="F251" i="21"/>
  <c r="F167" i="21"/>
  <c r="F128" i="21"/>
  <c r="F17" i="21"/>
  <c r="F13" i="21"/>
  <c r="F164" i="21"/>
  <c r="F90" i="21"/>
  <c r="F218" i="21"/>
  <c r="F91" i="21"/>
  <c r="F219" i="21"/>
  <c r="F232" i="21"/>
  <c r="F121" i="21"/>
  <c r="F12" i="21"/>
  <c r="F256" i="21"/>
  <c r="F94" i="21"/>
  <c r="F222" i="21"/>
  <c r="F95" i="21"/>
  <c r="F223" i="21"/>
  <c r="F237" i="21"/>
  <c r="F129" i="21"/>
  <c r="F20" i="21"/>
  <c r="F21" i="21"/>
  <c r="F10" i="21"/>
  <c r="N11" i="26" s="1"/>
  <c r="F138" i="21"/>
  <c r="F107" i="21"/>
  <c r="F200" i="21"/>
  <c r="F89" i="21"/>
  <c r="F197" i="21"/>
  <c r="F235" i="21"/>
  <c r="F78" i="21"/>
  <c r="F194" i="21"/>
  <c r="F163" i="21"/>
  <c r="F73" i="21"/>
  <c r="F157" i="21"/>
  <c r="F220" i="21"/>
  <c r="F213" i="21"/>
  <c r="F102" i="21"/>
  <c r="F230" i="21"/>
  <c r="F119" i="21"/>
  <c r="F68" i="21"/>
  <c r="F114" i="21"/>
  <c r="F242" i="21"/>
  <c r="F115" i="21"/>
  <c r="F24" i="21"/>
  <c r="F29" i="21"/>
  <c r="F169" i="21"/>
  <c r="F60" i="21"/>
  <c r="F205" i="21"/>
  <c r="F86" i="21"/>
  <c r="F214" i="21"/>
  <c r="F87" i="21"/>
  <c r="F224" i="21"/>
  <c r="F196" i="21"/>
  <c r="F135" i="21"/>
  <c r="F64" i="21"/>
  <c r="F125" i="21"/>
  <c r="F209" i="21"/>
  <c r="F100" i="21"/>
  <c r="F58" i="21"/>
  <c r="F186" i="21"/>
  <c r="F59" i="21"/>
  <c r="F187" i="21"/>
  <c r="F168" i="21"/>
  <c r="F57" i="21"/>
  <c r="F117" i="21"/>
  <c r="F204" i="21"/>
  <c r="F62" i="21"/>
  <c r="F190" i="21"/>
  <c r="F63" i="21"/>
  <c r="F226" i="21"/>
  <c r="F195" i="21"/>
  <c r="F243" i="21"/>
  <c r="F9" i="21"/>
  <c r="N10" i="26" s="1"/>
  <c r="F255" i="21"/>
  <c r="F156" i="21"/>
  <c r="F96" i="21"/>
  <c r="F101" i="21"/>
  <c r="F70" i="21"/>
  <c r="F198" i="21"/>
  <c r="F39" i="21"/>
  <c r="F177" i="21"/>
  <c r="F82" i="21"/>
  <c r="F210" i="21"/>
  <c r="F83" i="21"/>
  <c r="F211" i="21"/>
  <c r="F216" i="21"/>
  <c r="F105" i="21"/>
  <c r="F241" i="21"/>
  <c r="F245" i="21"/>
  <c r="F54" i="21"/>
  <c r="F182" i="21"/>
  <c r="F55" i="21"/>
  <c r="F160" i="21"/>
  <c r="F93" i="21"/>
  <c r="F4" i="21"/>
  <c r="N5" i="26" s="1"/>
  <c r="F103" i="21"/>
  <c r="F231" i="21"/>
  <c r="F248" i="21"/>
  <c r="F145" i="21"/>
  <c r="F36" i="21"/>
  <c r="F26" i="21"/>
  <c r="F154" i="21"/>
  <c r="F27" i="21"/>
  <c r="F155" i="21"/>
  <c r="F104" i="21"/>
  <c r="F236" i="21"/>
  <c r="F244" i="21"/>
  <c r="F140" i="21"/>
  <c r="F30" i="21"/>
  <c r="F158" i="21"/>
  <c r="F31" i="21"/>
  <c r="F159" i="21"/>
  <c r="F112" i="21"/>
  <c r="F252" i="21"/>
  <c r="F249" i="21"/>
  <c r="F148" i="21"/>
  <c r="F2" i="21"/>
  <c r="N3" i="26" s="1"/>
  <c r="F74" i="21"/>
  <c r="F202" i="21"/>
  <c r="F43" i="21"/>
  <c r="F171" i="21"/>
  <c r="F72" i="21"/>
  <c r="F149" i="21"/>
  <c r="F217" i="21"/>
  <c r="F108" i="21"/>
  <c r="F14" i="21"/>
  <c r="F142" i="21"/>
  <c r="F48" i="21"/>
  <c r="F193" i="21"/>
  <c r="F170" i="21"/>
  <c r="F139" i="21"/>
  <c r="F253" i="21"/>
  <c r="F44" i="21"/>
  <c r="F110" i="21"/>
  <c r="F174" i="21"/>
  <c r="F47" i="21"/>
  <c r="F175" i="21"/>
  <c r="F144" i="21"/>
  <c r="F173" i="21"/>
  <c r="F225" i="21"/>
  <c r="F116" i="21"/>
  <c r="F191" i="21"/>
  <c r="F65" i="21"/>
  <c r="F212" i="21"/>
  <c r="F106" i="21"/>
  <c r="F75" i="21"/>
  <c r="F136" i="21"/>
  <c r="F37" i="21"/>
  <c r="F46" i="21"/>
  <c r="F15" i="21"/>
  <c r="F143" i="21"/>
  <c r="F80" i="21"/>
  <c r="F5" i="21"/>
  <c r="N6" i="26" s="1"/>
  <c r="F161" i="21"/>
  <c r="F52" i="21"/>
  <c r="F85" i="21"/>
  <c r="F84" i="21"/>
  <c r="F42" i="21"/>
  <c r="F11" i="21"/>
  <c r="N12" i="26" s="1"/>
  <c r="F8" i="21"/>
  <c r="N9" i="26" s="1"/>
  <c r="F153" i="21"/>
  <c r="F141" i="21"/>
  <c r="F238" i="21"/>
  <c r="F111" i="21"/>
  <c r="F16" i="21"/>
  <c r="F97" i="21"/>
  <c r="F221" i="21"/>
  <c r="F240" i="21"/>
  <c r="F165" i="21"/>
  <c r="F176" i="21"/>
  <c r="F133" i="21"/>
  <c r="F234" i="21"/>
  <c r="F203" i="21"/>
  <c r="F25" i="21"/>
  <c r="F172" i="21"/>
  <c r="F206" i="21"/>
  <c r="F79" i="21"/>
  <c r="F207" i="21"/>
  <c r="F208" i="21"/>
  <c r="F33" i="21"/>
  <c r="F53" i="21"/>
  <c r="F180" i="21"/>
  <c r="T3" i="28"/>
  <c r="AD80" i="28" s="1"/>
  <c r="AI78" i="28"/>
  <c r="K3" i="28"/>
  <c r="AD92" i="28" s="1"/>
  <c r="V3" i="28"/>
  <c r="AF80" i="28" s="1"/>
  <c r="U3" i="28"/>
  <c r="AE80" i="28" s="1"/>
  <c r="L3" i="28"/>
  <c r="AE92" i="28" s="1"/>
  <c r="M3" i="28"/>
  <c r="AF92" i="28" s="1"/>
  <c r="AJ92" i="28" l="1"/>
  <c r="AJ80" i="28"/>
  <c r="G208" i="21"/>
  <c r="H208" i="21"/>
  <c r="H172" i="21"/>
  <c r="G172" i="21"/>
  <c r="H133" i="21"/>
  <c r="G133" i="21"/>
  <c r="H221" i="21"/>
  <c r="G221" i="21"/>
  <c r="G238" i="21"/>
  <c r="H238" i="21"/>
  <c r="H11" i="21"/>
  <c r="P12" i="26" s="1"/>
  <c r="G11" i="21"/>
  <c r="O12" i="26" s="1"/>
  <c r="H52" i="21"/>
  <c r="G52" i="21"/>
  <c r="G143" i="21"/>
  <c r="H143" i="21"/>
  <c r="H136" i="21"/>
  <c r="G136" i="21"/>
  <c r="G65" i="21"/>
  <c r="H65" i="21"/>
  <c r="G173" i="21"/>
  <c r="H173" i="21"/>
  <c r="H174" i="21"/>
  <c r="G174" i="21"/>
  <c r="H139" i="21"/>
  <c r="G139" i="21"/>
  <c r="G142" i="21"/>
  <c r="H142" i="21"/>
  <c r="H149" i="21"/>
  <c r="G149" i="21"/>
  <c r="G202" i="21"/>
  <c r="H202" i="21"/>
  <c r="H249" i="21"/>
  <c r="G249" i="21"/>
  <c r="H31" i="21"/>
  <c r="G31" i="21"/>
  <c r="G244" i="21"/>
  <c r="H244" i="21"/>
  <c r="H27" i="21"/>
  <c r="G27" i="21"/>
  <c r="G145" i="21"/>
  <c r="H145" i="21"/>
  <c r="H4" i="21"/>
  <c r="P5" i="26" s="1"/>
  <c r="G4" i="21"/>
  <c r="O5" i="26" s="1"/>
  <c r="G182" i="21"/>
  <c r="H182" i="21"/>
  <c r="H105" i="21"/>
  <c r="G105" i="21"/>
  <c r="H210" i="21"/>
  <c r="G210" i="21"/>
  <c r="H198" i="21"/>
  <c r="G198" i="21"/>
  <c r="G156" i="21"/>
  <c r="H156" i="21"/>
  <c r="G195" i="21"/>
  <c r="H195" i="21"/>
  <c r="G62" i="21"/>
  <c r="H62" i="21"/>
  <c r="H168" i="21"/>
  <c r="G168" i="21"/>
  <c r="G58" i="21"/>
  <c r="H58" i="21"/>
  <c r="H64" i="21"/>
  <c r="G64" i="21"/>
  <c r="G87" i="21"/>
  <c r="H87" i="21"/>
  <c r="G60" i="21"/>
  <c r="H60" i="21"/>
  <c r="G115" i="21"/>
  <c r="H115" i="21"/>
  <c r="G119" i="21"/>
  <c r="H119" i="21"/>
  <c r="H220" i="21"/>
  <c r="G220" i="21"/>
  <c r="H194" i="21"/>
  <c r="G194" i="21"/>
  <c r="G89" i="21"/>
  <c r="H89" i="21"/>
  <c r="G10" i="21"/>
  <c r="O11" i="26" s="1"/>
  <c r="H10" i="21"/>
  <c r="P11" i="26" s="1"/>
  <c r="H237" i="21"/>
  <c r="G237" i="21"/>
  <c r="G94" i="21"/>
  <c r="H94" i="21"/>
  <c r="H232" i="21"/>
  <c r="G232" i="21"/>
  <c r="G90" i="21"/>
  <c r="H90" i="21"/>
  <c r="H128" i="21"/>
  <c r="G128" i="21"/>
  <c r="H183" i="21"/>
  <c r="G183" i="21"/>
  <c r="H124" i="21"/>
  <c r="G124" i="21"/>
  <c r="G147" i="21"/>
  <c r="H147" i="21"/>
  <c r="H32" i="21"/>
  <c r="G32" i="21"/>
  <c r="G61" i="21"/>
  <c r="H61" i="21"/>
  <c r="G67" i="21"/>
  <c r="H67" i="21"/>
  <c r="H126" i="21"/>
  <c r="G126" i="21"/>
  <c r="H69" i="21"/>
  <c r="G69" i="21"/>
  <c r="H122" i="21"/>
  <c r="G122" i="21"/>
  <c r="G192" i="21"/>
  <c r="H192" i="21"/>
  <c r="H215" i="21"/>
  <c r="G215" i="21"/>
  <c r="G188" i="21"/>
  <c r="H188" i="21"/>
  <c r="H179" i="21"/>
  <c r="G179" i="21"/>
  <c r="H45" i="21"/>
  <c r="G45" i="21"/>
  <c r="G132" i="21"/>
  <c r="H132" i="21"/>
  <c r="G120" i="21"/>
  <c r="H120" i="21"/>
  <c r="G56" i="21"/>
  <c r="H56" i="21"/>
  <c r="H34" i="21"/>
  <c r="G34" i="21"/>
  <c r="G180" i="21"/>
  <c r="H180" i="21"/>
  <c r="H207" i="21"/>
  <c r="G207" i="21"/>
  <c r="G25" i="21"/>
  <c r="H25" i="21"/>
  <c r="H176" i="21"/>
  <c r="G176" i="21"/>
  <c r="G97" i="21"/>
  <c r="H97" i="21"/>
  <c r="G141" i="21"/>
  <c r="H141" i="21"/>
  <c r="H42" i="21"/>
  <c r="G42" i="21"/>
  <c r="H161" i="21"/>
  <c r="G161" i="21"/>
  <c r="G15" i="21"/>
  <c r="H15" i="21"/>
  <c r="H75" i="21"/>
  <c r="G75" i="21"/>
  <c r="G191" i="21"/>
  <c r="H191" i="21"/>
  <c r="G144" i="21"/>
  <c r="H144" i="21"/>
  <c r="H110" i="21"/>
  <c r="G110" i="21"/>
  <c r="H170" i="21"/>
  <c r="G170" i="21"/>
  <c r="H14" i="21"/>
  <c r="G14" i="21"/>
  <c r="G72" i="21"/>
  <c r="H72" i="21"/>
  <c r="H74" i="21"/>
  <c r="G74" i="21"/>
  <c r="G252" i="21"/>
  <c r="H252" i="21"/>
  <c r="H158" i="21"/>
  <c r="G158" i="21"/>
  <c r="G236" i="21"/>
  <c r="H236" i="21"/>
  <c r="H154" i="21"/>
  <c r="G154" i="21"/>
  <c r="G248" i="21"/>
  <c r="H248" i="21"/>
  <c r="G93" i="21"/>
  <c r="H93" i="21"/>
  <c r="H54" i="21"/>
  <c r="G54" i="21"/>
  <c r="G216" i="21"/>
  <c r="H216" i="21"/>
  <c r="H82" i="21"/>
  <c r="G82" i="21"/>
  <c r="H70" i="21"/>
  <c r="G70" i="21"/>
  <c r="H255" i="21"/>
  <c r="G255" i="21"/>
  <c r="G226" i="21"/>
  <c r="H226" i="21"/>
  <c r="H204" i="21"/>
  <c r="G204" i="21"/>
  <c r="G187" i="21"/>
  <c r="H187" i="21"/>
  <c r="H100" i="21"/>
  <c r="G100" i="21"/>
  <c r="G135" i="21"/>
  <c r="H135" i="21"/>
  <c r="H214" i="21"/>
  <c r="G214" i="21"/>
  <c r="H169" i="21"/>
  <c r="G169" i="21"/>
  <c r="G242" i="21"/>
  <c r="H242" i="21"/>
  <c r="G230" i="21"/>
  <c r="H230" i="21"/>
  <c r="H157" i="21"/>
  <c r="G157" i="21"/>
  <c r="G78" i="21"/>
  <c r="H78" i="21"/>
  <c r="H200" i="21"/>
  <c r="G200" i="21"/>
  <c r="G21" i="21"/>
  <c r="H21" i="21"/>
  <c r="G223" i="21"/>
  <c r="H223" i="21"/>
  <c r="H256" i="21"/>
  <c r="G256" i="21"/>
  <c r="G219" i="21"/>
  <c r="H219" i="21"/>
  <c r="H164" i="21"/>
  <c r="G164" i="21"/>
  <c r="G167" i="21"/>
  <c r="H167" i="21"/>
  <c r="H246" i="21"/>
  <c r="G246" i="21"/>
  <c r="H233" i="21"/>
  <c r="G233" i="21"/>
  <c r="G19" i="21"/>
  <c r="H19" i="21"/>
  <c r="G134" i="21"/>
  <c r="H134" i="21"/>
  <c r="G28" i="21"/>
  <c r="H28" i="21"/>
  <c r="G98" i="21"/>
  <c r="H98" i="21"/>
  <c r="H247" i="21"/>
  <c r="G247" i="21"/>
  <c r="G40" i="21"/>
  <c r="H40" i="21"/>
  <c r="G228" i="21"/>
  <c r="H228" i="21"/>
  <c r="H199" i="21"/>
  <c r="G199" i="21"/>
  <c r="G23" i="21"/>
  <c r="H23" i="21"/>
  <c r="H77" i="21"/>
  <c r="G77" i="21"/>
  <c r="H51" i="21"/>
  <c r="G51" i="21"/>
  <c r="G7" i="21"/>
  <c r="O8" i="26" s="1"/>
  <c r="H7" i="21"/>
  <c r="P8" i="26" s="1"/>
  <c r="H151" i="21"/>
  <c r="G151" i="21"/>
  <c r="H35" i="21"/>
  <c r="G35" i="21"/>
  <c r="H131" i="21"/>
  <c r="G131" i="21"/>
  <c r="G227" i="21"/>
  <c r="H227" i="21"/>
  <c r="H53" i="21"/>
  <c r="G53" i="21"/>
  <c r="G79" i="21"/>
  <c r="H79" i="21"/>
  <c r="G203" i="21"/>
  <c r="H203" i="21"/>
  <c r="H165" i="21"/>
  <c r="G165" i="21"/>
  <c r="H16" i="21"/>
  <c r="G16" i="21"/>
  <c r="G153" i="21"/>
  <c r="H153" i="21"/>
  <c r="G84" i="21"/>
  <c r="H84" i="21"/>
  <c r="H5" i="21"/>
  <c r="P6" i="26" s="1"/>
  <c r="G5" i="21"/>
  <c r="O6" i="26" s="1"/>
  <c r="G46" i="21"/>
  <c r="H46" i="21"/>
  <c r="G106" i="21"/>
  <c r="H106" i="21"/>
  <c r="G116" i="21"/>
  <c r="H116" i="21"/>
  <c r="H175" i="21"/>
  <c r="G175" i="21"/>
  <c r="H44" i="21"/>
  <c r="G44" i="21"/>
  <c r="G193" i="21"/>
  <c r="H193" i="21"/>
  <c r="G108" i="21"/>
  <c r="H108" i="21"/>
  <c r="G171" i="21"/>
  <c r="H171" i="21"/>
  <c r="H2" i="21"/>
  <c r="P3" i="26" s="1"/>
  <c r="G2" i="21"/>
  <c r="O3" i="26" s="1"/>
  <c r="H112" i="21"/>
  <c r="G112" i="21"/>
  <c r="H30" i="21"/>
  <c r="G30" i="21"/>
  <c r="G104" i="21"/>
  <c r="H104" i="21"/>
  <c r="H26" i="21"/>
  <c r="G26" i="21"/>
  <c r="H231" i="21"/>
  <c r="G231" i="21"/>
  <c r="H160" i="21"/>
  <c r="G160" i="21"/>
  <c r="G245" i="21"/>
  <c r="H245" i="21"/>
  <c r="H211" i="21"/>
  <c r="G211" i="21"/>
  <c r="G177" i="21"/>
  <c r="H177" i="21"/>
  <c r="H101" i="21"/>
  <c r="G101" i="21"/>
  <c r="G9" i="21"/>
  <c r="O10" i="26" s="1"/>
  <c r="H9" i="21"/>
  <c r="P10" i="26" s="1"/>
  <c r="G63" i="21"/>
  <c r="H63" i="21"/>
  <c r="H117" i="21"/>
  <c r="G117" i="21"/>
  <c r="G59" i="21"/>
  <c r="H59" i="21"/>
  <c r="H209" i="21"/>
  <c r="G209" i="21"/>
  <c r="G196" i="21"/>
  <c r="H196" i="21"/>
  <c r="G86" i="21"/>
  <c r="H86" i="21"/>
  <c r="G29" i="21"/>
  <c r="H29" i="21"/>
  <c r="G114" i="21"/>
  <c r="H114" i="21"/>
  <c r="H102" i="21"/>
  <c r="G102" i="21"/>
  <c r="G73" i="21"/>
  <c r="H73" i="21"/>
  <c r="G235" i="21"/>
  <c r="H235" i="21"/>
  <c r="H107" i="21"/>
  <c r="G107" i="21"/>
  <c r="H20" i="21"/>
  <c r="G20" i="21"/>
  <c r="G95" i="21"/>
  <c r="H95" i="21"/>
  <c r="G12" i="21"/>
  <c r="H12" i="21"/>
  <c r="G91" i="21"/>
  <c r="H91" i="21"/>
  <c r="G13" i="21"/>
  <c r="H13" i="21"/>
  <c r="G251" i="21"/>
  <c r="H251" i="21"/>
  <c r="H118" i="21"/>
  <c r="G118" i="21"/>
  <c r="H189" i="21"/>
  <c r="G189" i="21"/>
  <c r="G146" i="21"/>
  <c r="H146" i="21"/>
  <c r="G6" i="21"/>
  <c r="O7" i="26" s="1"/>
  <c r="H6" i="21"/>
  <c r="P7" i="26" s="1"/>
  <c r="H137" i="21"/>
  <c r="G137" i="21"/>
  <c r="H127" i="21"/>
  <c r="G127" i="21"/>
  <c r="H76" i="21"/>
  <c r="G76" i="21"/>
  <c r="H123" i="21"/>
  <c r="G123" i="21"/>
  <c r="G181" i="21"/>
  <c r="H181" i="21"/>
  <c r="H71" i="21"/>
  <c r="G71" i="21"/>
  <c r="G150" i="21"/>
  <c r="H150" i="21"/>
  <c r="H41" i="21"/>
  <c r="G41" i="21"/>
  <c r="H178" i="21"/>
  <c r="G178" i="21"/>
  <c r="H166" i="21"/>
  <c r="G166" i="21"/>
  <c r="H92" i="21"/>
  <c r="G92" i="21"/>
  <c r="H66" i="21"/>
  <c r="G66" i="21"/>
  <c r="G3" i="21"/>
  <c r="O4" i="26" s="1"/>
  <c r="H3" i="21"/>
  <c r="P4" i="26" s="1"/>
  <c r="G99" i="21"/>
  <c r="H99" i="21"/>
  <c r="H33" i="21"/>
  <c r="G33" i="21"/>
  <c r="H206" i="21"/>
  <c r="G206" i="21"/>
  <c r="G234" i="21"/>
  <c r="H234" i="21"/>
  <c r="H240" i="21"/>
  <c r="G240" i="21"/>
  <c r="H111" i="21"/>
  <c r="G111" i="21"/>
  <c r="G8" i="21"/>
  <c r="O9" i="26" s="1"/>
  <c r="H8" i="21"/>
  <c r="P9" i="26" s="1"/>
  <c r="H85" i="21"/>
  <c r="G85" i="21"/>
  <c r="H80" i="21"/>
  <c r="G80" i="21"/>
  <c r="G37" i="21"/>
  <c r="H37" i="21"/>
  <c r="H212" i="21"/>
  <c r="G212" i="21"/>
  <c r="G225" i="21"/>
  <c r="H225" i="21"/>
  <c r="H47" i="21"/>
  <c r="G47" i="21"/>
  <c r="G253" i="21"/>
  <c r="H253" i="21"/>
  <c r="G48" i="21"/>
  <c r="H48" i="21"/>
  <c r="G217" i="21"/>
  <c r="H217" i="21"/>
  <c r="H43" i="21"/>
  <c r="G43" i="21"/>
  <c r="G148" i="21"/>
  <c r="H148" i="21"/>
  <c r="H159" i="21"/>
  <c r="G159" i="21"/>
  <c r="G140" i="21"/>
  <c r="H140" i="21"/>
  <c r="H155" i="21"/>
  <c r="G155" i="21"/>
  <c r="G36" i="21"/>
  <c r="H36" i="21"/>
  <c r="H103" i="21"/>
  <c r="G103" i="21"/>
  <c r="G55" i="21"/>
  <c r="H55" i="21"/>
  <c r="G241" i="21"/>
  <c r="H241" i="21"/>
  <c r="H83" i="21"/>
  <c r="G83" i="21"/>
  <c r="H39" i="21"/>
  <c r="G39" i="21"/>
  <c r="G96" i="21"/>
  <c r="H96" i="21"/>
  <c r="G243" i="21"/>
  <c r="H243" i="21"/>
  <c r="G190" i="21"/>
  <c r="H190" i="21"/>
  <c r="G57" i="21"/>
  <c r="H57" i="21"/>
  <c r="G186" i="21"/>
  <c r="H186" i="21"/>
  <c r="H125" i="21"/>
  <c r="G125" i="21"/>
  <c r="H224" i="21"/>
  <c r="G224" i="21"/>
  <c r="H205" i="21"/>
  <c r="G205" i="21"/>
  <c r="H24" i="21"/>
  <c r="G24" i="21"/>
  <c r="H68" i="21"/>
  <c r="G68" i="21"/>
  <c r="H213" i="21"/>
  <c r="G213" i="21"/>
  <c r="H163" i="21"/>
  <c r="G163" i="21"/>
  <c r="H197" i="21"/>
  <c r="G197" i="21"/>
  <c r="G138" i="21"/>
  <c r="H138" i="21"/>
  <c r="H129" i="21"/>
  <c r="G129" i="21"/>
  <c r="G222" i="21"/>
  <c r="H222" i="21"/>
  <c r="H121" i="21"/>
  <c r="G121" i="21"/>
  <c r="G218" i="21"/>
  <c r="H218" i="21"/>
  <c r="G17" i="21"/>
  <c r="H17" i="21"/>
  <c r="H49" i="21"/>
  <c r="G49" i="21"/>
  <c r="G229" i="21"/>
  <c r="H229" i="21"/>
  <c r="H88" i="21"/>
  <c r="G88" i="21"/>
  <c r="G18" i="21"/>
  <c r="H18" i="21"/>
  <c r="G239" i="21"/>
  <c r="H239" i="21"/>
  <c r="H184" i="21"/>
  <c r="G184" i="21"/>
  <c r="H254" i="21"/>
  <c r="G254" i="21"/>
  <c r="G185" i="21"/>
  <c r="H185" i="21"/>
  <c r="H250" i="21"/>
  <c r="G250" i="21"/>
  <c r="H81" i="21"/>
  <c r="G81" i="21"/>
  <c r="H113" i="21"/>
  <c r="G113" i="21"/>
  <c r="H22" i="21"/>
  <c r="G22" i="21"/>
  <c r="G152" i="21"/>
  <c r="H152" i="21"/>
  <c r="H50" i="21"/>
  <c r="G50" i="21"/>
  <c r="H38" i="21"/>
  <c r="G38" i="21"/>
  <c r="G201" i="21"/>
  <c r="H201" i="21"/>
  <c r="G109" i="21"/>
  <c r="H109" i="21"/>
  <c r="H162" i="21"/>
  <c r="G162" i="21"/>
  <c r="G130" i="21"/>
  <c r="H130" i="21"/>
  <c r="AB92" i="28" l="1"/>
  <c r="AO70" i="28" s="1"/>
  <c r="AJ78" i="28"/>
  <c r="AB78" i="28" s="1"/>
  <c r="AB80" i="28"/>
  <c r="AO58" i="28" s="1"/>
  <c r="AB79" i="28" l="1"/>
  <c r="AO57" i="28" s="1"/>
  <c r="AO56" i="28"/>
  <c r="AM81" i="28" l="1"/>
  <c r="AC39" i="28" s="1"/>
  <c r="AM91" i="28"/>
  <c r="AC49" i="28" s="1"/>
  <c r="AM92" i="28"/>
  <c r="AC50" i="28" s="1"/>
  <c r="AM89" i="28"/>
  <c r="AC47" i="28" s="1"/>
  <c r="AP47" i="28" s="1"/>
  <c r="AM90" i="28"/>
  <c r="AC48" i="28" s="1"/>
  <c r="AM80" i="28"/>
  <c r="AC38" i="28" s="1"/>
  <c r="AP38" i="28" s="1"/>
  <c r="AM87" i="28"/>
  <c r="AC45" i="28" s="1"/>
  <c r="AP45" i="28" s="1"/>
  <c r="AM79" i="28"/>
  <c r="AC37" i="28" s="1"/>
  <c r="AM86" i="28"/>
  <c r="AC44" i="28" s="1"/>
  <c r="AP44" i="28" s="1"/>
  <c r="AM83" i="28"/>
  <c r="AC41" i="28" s="1"/>
  <c r="AP41" i="28" s="1"/>
  <c r="AM82" i="28"/>
  <c r="AC40" i="28" s="1"/>
  <c r="AM88" i="28"/>
  <c r="AC46" i="28" s="1"/>
  <c r="AM93" i="28"/>
  <c r="AC51" i="28" s="1"/>
  <c r="AM85" i="28"/>
  <c r="AC43" i="28" s="1"/>
  <c r="AP43" i="28" s="1"/>
  <c r="AM84" i="28"/>
  <c r="AC42" i="28" s="1"/>
  <c r="AP42" i="28" s="1"/>
  <c r="AM78" i="28"/>
  <c r="AC36" i="28" s="1"/>
  <c r="AP36" i="28" s="1"/>
  <c r="AJ50" i="28" l="1"/>
  <c r="AP50" i="28"/>
  <c r="AJ46" i="28"/>
  <c r="AP46" i="28"/>
  <c r="AE37" i="28"/>
  <c r="AP37" i="28"/>
  <c r="AH49" i="28"/>
  <c r="AP49" i="28"/>
  <c r="AK40" i="28"/>
  <c r="AP40" i="28"/>
  <c r="AK51" i="28"/>
  <c r="AX71" i="28" s="1"/>
  <c r="AP51" i="28"/>
  <c r="AD48" i="28"/>
  <c r="AP48" i="28"/>
  <c r="AD39" i="28"/>
  <c r="AP39" i="28"/>
  <c r="AD36" i="28"/>
  <c r="AL36" i="28"/>
  <c r="AH50" i="28"/>
  <c r="AU70" i="28" s="1"/>
  <c r="AG36" i="28"/>
  <c r="AT56" i="28" s="1"/>
  <c r="AF49" i="28"/>
  <c r="AS69" i="28" s="1"/>
  <c r="AJ48" i="28"/>
  <c r="AW68" i="28" s="1"/>
  <c r="AF48" i="28"/>
  <c r="AS68" i="28" s="1"/>
  <c r="AD50" i="28"/>
  <c r="AQ70" i="28" s="1"/>
  <c r="AD49" i="28"/>
  <c r="AQ69" i="28" s="1"/>
  <c r="AL48" i="28"/>
  <c r="AY68" i="28" s="1"/>
  <c r="AK48" i="28"/>
  <c r="AX68" i="28" s="1"/>
  <c r="AI48" i="28"/>
  <c r="AV68" i="28" s="1"/>
  <c r="AH48" i="28"/>
  <c r="AU68" i="28" s="1"/>
  <c r="AG48" i="28"/>
  <c r="AT68" i="28" s="1"/>
  <c r="AM36" i="28"/>
  <c r="AZ56" i="28" s="1"/>
  <c r="AP68" i="28"/>
  <c r="AE48" i="28"/>
  <c r="AR68" i="28" s="1"/>
  <c r="AG37" i="28"/>
  <c r="AT57" i="28" s="1"/>
  <c r="AI50" i="28"/>
  <c r="AV70" i="28" s="1"/>
  <c r="AE40" i="28"/>
  <c r="AR60" i="28" s="1"/>
  <c r="AP70" i="28"/>
  <c r="AL40" i="28"/>
  <c r="AY60" i="28" s="1"/>
  <c r="AH46" i="28"/>
  <c r="AU66" i="28" s="1"/>
  <c r="AL50" i="28"/>
  <c r="AY70" i="28" s="1"/>
  <c r="AF40" i="28"/>
  <c r="AS60" i="28" s="1"/>
  <c r="AG50" i="28"/>
  <c r="AT70" i="28" s="1"/>
  <c r="AM50" i="28"/>
  <c r="AZ70" i="28" s="1"/>
  <c r="AD40" i="28"/>
  <c r="AQ60" i="28" s="1"/>
  <c r="AJ40" i="28"/>
  <c r="AW60" i="28" s="1"/>
  <c r="AD38" i="28"/>
  <c r="AQ58" i="28" s="1"/>
  <c r="AG40" i="28"/>
  <c r="AT60" i="28" s="1"/>
  <c r="AI46" i="28"/>
  <c r="AV66" i="28" s="1"/>
  <c r="AK36" i="28"/>
  <c r="AX56" i="28" s="1"/>
  <c r="AL38" i="28"/>
  <c r="AY58" i="28" s="1"/>
  <c r="AK46" i="28"/>
  <c r="AX66" i="28" s="1"/>
  <c r="AE46" i="28"/>
  <c r="AR66" i="28" s="1"/>
  <c r="AG43" i="28"/>
  <c r="AT63" i="28" s="1"/>
  <c r="AD42" i="28"/>
  <c r="AQ62" i="28" s="1"/>
  <c r="AJ38" i="28"/>
  <c r="AW58" i="28" s="1"/>
  <c r="AD46" i="28"/>
  <c r="AQ66" i="28" s="1"/>
  <c r="AF46" i="28"/>
  <c r="AS66" i="28" s="1"/>
  <c r="AK50" i="28"/>
  <c r="AX70" i="28" s="1"/>
  <c r="AF50" i="28"/>
  <c r="AS70" i="28" s="1"/>
  <c r="AE50" i="28"/>
  <c r="AR70" i="28" s="1"/>
  <c r="AI40" i="28"/>
  <c r="AV60" i="28" s="1"/>
  <c r="AH40" i="28"/>
  <c r="AU60" i="28" s="1"/>
  <c r="AE38" i="28"/>
  <c r="AR58" i="28" s="1"/>
  <c r="AF44" i="28"/>
  <c r="AS64" i="28" s="1"/>
  <c r="AM45" i="28"/>
  <c r="AZ65" i="28" s="1"/>
  <c r="AG46" i="28"/>
  <c r="AT66" i="28" s="1"/>
  <c r="AL46" i="28"/>
  <c r="AY66" i="28" s="1"/>
  <c r="AF38" i="28"/>
  <c r="AS58" i="28" s="1"/>
  <c r="AE49" i="28"/>
  <c r="AR69" i="28" s="1"/>
  <c r="AL37" i="28"/>
  <c r="AY57" i="28" s="1"/>
  <c r="AH38" i="28"/>
  <c r="AU58" i="28" s="1"/>
  <c r="AK38" i="28"/>
  <c r="AX58" i="28" s="1"/>
  <c r="AI38" i="28"/>
  <c r="AV58" i="28" s="1"/>
  <c r="AJ44" i="28"/>
  <c r="AW64" i="28" s="1"/>
  <c r="AL42" i="28"/>
  <c r="AY62" i="28" s="1"/>
  <c r="AI45" i="28"/>
  <c r="AV65" i="28" s="1"/>
  <c r="AK44" i="28"/>
  <c r="AX64" i="28" s="1"/>
  <c r="AE42" i="28"/>
  <c r="AR62" i="28" s="1"/>
  <c r="AK43" i="28"/>
  <c r="AX63" i="28" s="1"/>
  <c r="AH45" i="28"/>
  <c r="AU65" i="28" s="1"/>
  <c r="AE44" i="28"/>
  <c r="AR64" i="28" s="1"/>
  <c r="AJ42" i="28"/>
  <c r="AW62" i="28" s="1"/>
  <c r="AL43" i="28"/>
  <c r="AY63" i="28" s="1"/>
  <c r="AF43" i="28"/>
  <c r="AS63" i="28" s="1"/>
  <c r="AL44" i="28"/>
  <c r="AY64" i="28" s="1"/>
  <c r="AM46" i="28"/>
  <c r="AZ66" i="28" s="1"/>
  <c r="AI42" i="28"/>
  <c r="AV62" i="28" s="1"/>
  <c r="AG38" i="28"/>
  <c r="AT58" i="28" s="1"/>
  <c r="AH43" i="28"/>
  <c r="AU63" i="28" s="1"/>
  <c r="AG45" i="28"/>
  <c r="AT65" i="28" s="1"/>
  <c r="AL45" i="28"/>
  <c r="AY65" i="28" s="1"/>
  <c r="AM44" i="28"/>
  <c r="AZ64" i="28" s="1"/>
  <c r="AH44" i="28"/>
  <c r="AU64" i="28" s="1"/>
  <c r="AG44" i="28"/>
  <c r="AT64" i="28" s="1"/>
  <c r="AK42" i="28"/>
  <c r="AX62" i="28" s="1"/>
  <c r="AF42" i="28"/>
  <c r="AS62" i="28" s="1"/>
  <c r="AD43" i="28"/>
  <c r="AQ63" i="28" s="1"/>
  <c r="AI43" i="28"/>
  <c r="AV63" i="28" s="1"/>
  <c r="AJ45" i="28"/>
  <c r="AW65" i="28" s="1"/>
  <c r="AE45" i="28"/>
  <c r="AR65" i="28" s="1"/>
  <c r="AD45" i="28"/>
  <c r="AQ65" i="28" s="1"/>
  <c r="AI44" i="28"/>
  <c r="AV64" i="28" s="1"/>
  <c r="AD44" i="28"/>
  <c r="AQ64" i="28" s="1"/>
  <c r="AG42" i="28"/>
  <c r="AT62" i="28" s="1"/>
  <c r="AH42" i="28"/>
  <c r="AU62" i="28" s="1"/>
  <c r="AE43" i="28"/>
  <c r="AR63" i="28" s="1"/>
  <c r="AM43" i="28"/>
  <c r="AZ63" i="28" s="1"/>
  <c r="AJ43" i="28"/>
  <c r="AW63" i="28" s="1"/>
  <c r="AF45" i="28"/>
  <c r="AS65" i="28" s="1"/>
  <c r="AK45" i="28"/>
  <c r="AX65" i="28" s="1"/>
  <c r="AD41" i="28"/>
  <c r="AQ61" i="28" s="1"/>
  <c r="AM39" i="28"/>
  <c r="AZ59" i="28" s="1"/>
  <c r="AE47" i="28"/>
  <c r="AR67" i="28" s="1"/>
  <c r="AF51" i="28"/>
  <c r="AS71" i="28" s="1"/>
  <c r="AI39" i="28"/>
  <c r="AV59" i="28" s="1"/>
  <c r="AM42" i="28"/>
  <c r="AZ62" i="28" s="1"/>
  <c r="AI47" i="28"/>
  <c r="AV67" i="28" s="1"/>
  <c r="AF41" i="28"/>
  <c r="AS61" i="28" s="1"/>
  <c r="AJ51" i="28"/>
  <c r="AW71" i="28" s="1"/>
  <c r="AJ39" i="28"/>
  <c r="AW59" i="28" s="1"/>
  <c r="AF47" i="28"/>
  <c r="AS67" i="28" s="1"/>
  <c r="AM38" i="28"/>
  <c r="AZ58" i="28" s="1"/>
  <c r="AE41" i="28"/>
  <c r="AR61" i="28" s="1"/>
  <c r="AL47" i="28"/>
  <c r="AY67" i="28" s="1"/>
  <c r="AK47" i="28"/>
  <c r="AX67" i="28" s="1"/>
  <c r="AK41" i="28"/>
  <c r="AX61" i="28" s="1"/>
  <c r="AG41" i="28"/>
  <c r="AT61" i="28" s="1"/>
  <c r="AE51" i="28"/>
  <c r="AR71" i="28" s="1"/>
  <c r="AP61" i="28"/>
  <c r="AI51" i="28"/>
  <c r="AV71" i="28" s="1"/>
  <c r="AM51" i="28"/>
  <c r="AZ71" i="28" s="1"/>
  <c r="AL39" i="28"/>
  <c r="AY59" i="28" s="1"/>
  <c r="AK39" i="28"/>
  <c r="AX59" i="28" s="1"/>
  <c r="AF39" i="28"/>
  <c r="AS59" i="28" s="1"/>
  <c r="AP59" i="28"/>
  <c r="AD51" i="28"/>
  <c r="AQ71" i="28" s="1"/>
  <c r="AH51" i="28"/>
  <c r="AU71" i="28" s="1"/>
  <c r="AL51" i="28"/>
  <c r="AY71" i="28" s="1"/>
  <c r="AH39" i="28"/>
  <c r="AU59" i="28" s="1"/>
  <c r="AG39" i="28"/>
  <c r="AT59" i="28" s="1"/>
  <c r="AH47" i="28"/>
  <c r="AU67" i="28" s="1"/>
  <c r="AG47" i="28"/>
  <c r="AT67" i="28" s="1"/>
  <c r="AM41" i="28"/>
  <c r="AZ61" i="28" s="1"/>
  <c r="AL41" i="28"/>
  <c r="AY61" i="28" s="1"/>
  <c r="AP71" i="28"/>
  <c r="AP67" i="28"/>
  <c r="AG51" i="28"/>
  <c r="AT71" i="28" s="1"/>
  <c r="AQ59" i="28"/>
  <c r="AE39" i="28"/>
  <c r="AR59" i="28" s="1"/>
  <c r="AM47" i="28"/>
  <c r="AZ67" i="28" s="1"/>
  <c r="AD47" i="28"/>
  <c r="AQ67" i="28" s="1"/>
  <c r="AJ47" i="28"/>
  <c r="AW67" i="28" s="1"/>
  <c r="AJ41" i="28"/>
  <c r="AW61" i="28" s="1"/>
  <c r="AI41" i="28"/>
  <c r="AV61" i="28" s="1"/>
  <c r="AH41" i="28"/>
  <c r="AU61" i="28" s="1"/>
  <c r="AK37" i="28"/>
  <c r="AX57" i="28" s="1"/>
  <c r="AM37" i="28"/>
  <c r="AZ57" i="28" s="1"/>
  <c r="AH37" i="28"/>
  <c r="AU57" i="28" s="1"/>
  <c r="AM40" i="28"/>
  <c r="AZ60" i="28" s="1"/>
  <c r="AK49" i="28"/>
  <c r="AX69" i="28" s="1"/>
  <c r="AG49" i="28"/>
  <c r="AT69" i="28" s="1"/>
  <c r="AI36" i="28"/>
  <c r="AV56" i="28" s="1"/>
  <c r="AH36" i="28"/>
  <c r="AU56" i="28" s="1"/>
  <c r="AM49" i="28"/>
  <c r="AZ69" i="28" s="1"/>
  <c r="AL49" i="28"/>
  <c r="AY69" i="28" s="1"/>
  <c r="AJ37" i="28"/>
  <c r="AW57" i="28" s="1"/>
  <c r="AI37" i="28"/>
  <c r="AV57" i="28" s="1"/>
  <c r="AD37" i="28"/>
  <c r="AQ57" i="28" s="1"/>
  <c r="AE36" i="28"/>
  <c r="AR56" i="28" s="1"/>
  <c r="AQ56" i="28"/>
  <c r="AP57" i="28"/>
  <c r="AP69" i="28"/>
  <c r="AJ49" i="28"/>
  <c r="AW69" i="28" s="1"/>
  <c r="AI49" i="28"/>
  <c r="AV69" i="28" s="1"/>
  <c r="AM48" i="28"/>
  <c r="AZ68" i="28" s="1"/>
  <c r="AF37" i="28"/>
  <c r="AS57" i="28" s="1"/>
  <c r="AF36" i="28"/>
  <c r="AS56" i="28" s="1"/>
  <c r="AJ36" i="28"/>
  <c r="AW56" i="28" s="1"/>
  <c r="AP66" i="28"/>
  <c r="AP60" i="28"/>
  <c r="AP62" i="28"/>
  <c r="AP63" i="28"/>
  <c r="AP58" i="28"/>
  <c r="AP64" i="28"/>
  <c r="AP65" i="28"/>
  <c r="AU69" i="28"/>
  <c r="AQ68" i="28"/>
  <c r="AW66" i="28"/>
  <c r="AR57" i="28"/>
  <c r="AW70" i="28"/>
  <c r="AX60" i="28"/>
  <c r="AY56" i="28"/>
  <c r="AP56" i="28"/>
  <c r="AB126" i="28" l="1"/>
  <c r="AO77" i="28" s="1"/>
  <c r="AB130" i="28"/>
  <c r="AO81" i="28" s="1"/>
  <c r="AB135" i="28"/>
  <c r="AO83" i="28" s="1"/>
  <c r="AB137" i="28" l="1"/>
  <c r="AO85" i="28" s="1"/>
  <c r="AB128" i="28"/>
  <c r="AO79" i="28" s="1"/>
  <c r="AB129" i="28"/>
  <c r="AO80" i="28" s="1"/>
  <c r="AB127" i="28"/>
  <c r="AO78" i="28" s="1"/>
  <c r="AB136" i="28"/>
  <c r="AO84" i="28" s="1"/>
  <c r="AB138" i="28"/>
  <c r="AO86" i="28" s="1"/>
  <c r="AB139" i="28"/>
  <c r="AO87" i="28" s="1"/>
  <c r="AB140" i="28"/>
  <c r="AO88" i="28" s="1"/>
  <c r="AI123" i="28"/>
  <c r="AI134" i="28"/>
  <c r="AJ134" i="28"/>
  <c r="AJ123" i="28"/>
  <c r="AB124" i="28" l="1"/>
  <c r="AO75" i="28" s="1"/>
  <c r="AB134" i="28"/>
  <c r="AB125" i="28"/>
  <c r="AO76" i="28" s="1"/>
  <c r="AB123" i="28"/>
  <c r="AO74" i="28" s="1"/>
  <c r="AM134" i="28" l="1"/>
  <c r="AO82" i="28"/>
  <c r="AM140" i="28"/>
  <c r="AC73" i="28" s="1"/>
  <c r="AM135" i="28"/>
  <c r="AC68" i="28" s="1"/>
  <c r="AM137" i="28"/>
  <c r="AC70" i="28" s="1"/>
  <c r="AM139" i="28"/>
  <c r="AM136" i="28"/>
  <c r="AC69" i="28" s="1"/>
  <c r="AM138" i="28"/>
  <c r="AC71" i="28" s="1"/>
  <c r="AM124" i="28"/>
  <c r="AC57" i="28" s="1"/>
  <c r="AM126" i="28"/>
  <c r="AC59" i="28" s="1"/>
  <c r="AM128" i="28"/>
  <c r="AC61" i="28" s="1"/>
  <c r="AM130" i="28"/>
  <c r="AC63" i="28" s="1"/>
  <c r="AM127" i="28"/>
  <c r="AC60" i="28" s="1"/>
  <c r="AM125" i="28"/>
  <c r="AC58" i="28" s="1"/>
  <c r="AM129" i="28"/>
  <c r="AC62" i="28" s="1"/>
  <c r="AM123" i="28"/>
  <c r="AC67" i="28"/>
  <c r="AC72" i="28"/>
  <c r="AC56" i="28" l="1"/>
  <c r="AM56" i="28" s="1"/>
  <c r="AM67" i="28"/>
  <c r="AP84" i="28"/>
  <c r="AP76" i="28"/>
  <c r="AP77" i="28"/>
  <c r="AL70" i="28"/>
  <c r="AP85" i="28"/>
  <c r="AL73" i="28"/>
  <c r="AP88" i="28"/>
  <c r="AL71" i="28"/>
  <c r="AP86" i="28"/>
  <c r="AL72" i="28"/>
  <c r="AP87" i="28"/>
  <c r="AL68" i="28"/>
  <c r="AP83" i="28"/>
  <c r="AL67" i="28"/>
  <c r="AP82" i="28"/>
  <c r="AL62" i="28"/>
  <c r="AP80" i="28"/>
  <c r="AL60" i="28"/>
  <c r="AP78" i="28"/>
  <c r="AL61" i="28"/>
  <c r="AP79" i="28"/>
  <c r="AL63" i="28"/>
  <c r="AP81" i="28"/>
  <c r="AL57" i="28"/>
  <c r="AP75" i="28"/>
  <c r="AL59" i="28"/>
  <c r="AC146" i="28"/>
  <c r="AL58" i="28"/>
  <c r="AC148" i="28"/>
  <c r="AL69" i="28"/>
  <c r="AC147" i="28"/>
  <c r="AL56" i="28"/>
  <c r="B37" i="26"/>
  <c r="AE73" i="28"/>
  <c r="D40" i="26" s="1"/>
  <c r="AD71" i="28"/>
  <c r="AR86" i="28" s="1"/>
  <c r="B35" i="26"/>
  <c r="AM57" i="28"/>
  <c r="AZ75" i="28" s="1"/>
  <c r="AM58" i="28"/>
  <c r="AZ76" i="28" s="1"/>
  <c r="AM59" i="28"/>
  <c r="AZ77" i="28" s="1"/>
  <c r="AM62" i="28"/>
  <c r="AZ80" i="28" s="1"/>
  <c r="AM60" i="28"/>
  <c r="AZ78" i="28" s="1"/>
  <c r="AM61" i="28"/>
  <c r="AZ79" i="28" s="1"/>
  <c r="AM63" i="28"/>
  <c r="AZ81" i="28" s="1"/>
  <c r="AE59" i="28"/>
  <c r="AI59" i="28"/>
  <c r="AH59" i="28"/>
  <c r="AV77" i="28" s="1"/>
  <c r="AF59" i="28"/>
  <c r="AJ59" i="28"/>
  <c r="AD59" i="28"/>
  <c r="C26" i="26" s="1"/>
  <c r="AG59" i="28"/>
  <c r="AK59" i="28"/>
  <c r="AF62" i="28"/>
  <c r="E29" i="26" s="1"/>
  <c r="AJ62" i="28"/>
  <c r="H29" i="26" s="1"/>
  <c r="AG62" i="28"/>
  <c r="AK62" i="28"/>
  <c r="J29" i="26" s="1"/>
  <c r="AE62" i="28"/>
  <c r="AD62" i="28"/>
  <c r="AH62" i="28"/>
  <c r="AV80" i="28" s="1"/>
  <c r="AI62" i="28"/>
  <c r="AE56" i="28"/>
  <c r="AD60" i="28"/>
  <c r="AH60" i="28"/>
  <c r="AV78" i="28" s="1"/>
  <c r="AG60" i="28"/>
  <c r="AE60" i="28"/>
  <c r="AI60" i="28"/>
  <c r="I27" i="26" s="1"/>
  <c r="AK60" i="28"/>
  <c r="J27" i="26" s="1"/>
  <c r="AF60" i="28"/>
  <c r="E27" i="26" s="1"/>
  <c r="AJ60" i="28"/>
  <c r="AG57" i="28"/>
  <c r="AK57" i="28"/>
  <c r="AD57" i="28"/>
  <c r="C24" i="26" s="1"/>
  <c r="AH57" i="28"/>
  <c r="AV75" i="28" s="1"/>
  <c r="AF57" i="28"/>
  <c r="AE57" i="28"/>
  <c r="AI57" i="28"/>
  <c r="AJ57" i="28"/>
  <c r="AG61" i="28"/>
  <c r="AK61" i="28"/>
  <c r="AJ61" i="28"/>
  <c r="H28" i="26" s="1"/>
  <c r="AD61" i="28"/>
  <c r="AH61" i="28"/>
  <c r="AV79" i="28" s="1"/>
  <c r="AE61" i="28"/>
  <c r="AI61" i="28"/>
  <c r="I28" i="26" s="1"/>
  <c r="AF61" i="28"/>
  <c r="AF58" i="28"/>
  <c r="E25" i="26" s="1"/>
  <c r="AJ58" i="28"/>
  <c r="AE58" i="28"/>
  <c r="D25" i="26" s="1"/>
  <c r="AG58" i="28"/>
  <c r="AK58" i="28"/>
  <c r="AQ76" i="28" s="1"/>
  <c r="AD58" i="28"/>
  <c r="C25" i="26" s="1"/>
  <c r="AH58" i="28"/>
  <c r="AV76" i="28" s="1"/>
  <c r="AI58" i="28"/>
  <c r="I25" i="26" s="1"/>
  <c r="AE63" i="28"/>
  <c r="AJ63" i="28"/>
  <c r="AK63" i="28"/>
  <c r="AH63" i="28"/>
  <c r="AV81" i="28" s="1"/>
  <c r="AI63" i="28"/>
  <c r="AF63" i="28"/>
  <c r="AG63" i="28"/>
  <c r="AD63" i="28"/>
  <c r="AG71" i="28"/>
  <c r="AU86" i="28" s="1"/>
  <c r="AK71" i="28"/>
  <c r="AQ86" i="28" s="1"/>
  <c r="AD70" i="28"/>
  <c r="C37" i="26" s="1"/>
  <c r="AE71" i="28"/>
  <c r="AS86" i="28" s="1"/>
  <c r="AH71" i="28"/>
  <c r="AV86" i="28" s="1"/>
  <c r="AJ71" i="28"/>
  <c r="AY86" i="28" s="1"/>
  <c r="B36" i="26"/>
  <c r="B40" i="26"/>
  <c r="B38" i="26"/>
  <c r="B39" i="26"/>
  <c r="B26" i="26"/>
  <c r="B29" i="26"/>
  <c r="B27" i="26"/>
  <c r="B24" i="26"/>
  <c r="B28" i="26"/>
  <c r="B25" i="26"/>
  <c r="B30" i="26"/>
  <c r="AF68" i="28"/>
  <c r="AK70" i="28"/>
  <c r="AK72" i="28"/>
  <c r="AG69" i="28"/>
  <c r="AE70" i="28"/>
  <c r="AD73" i="28"/>
  <c r="AF67" i="28"/>
  <c r="AD67" i="28"/>
  <c r="AD72" i="28"/>
  <c r="AI69" i="28"/>
  <c r="AF71" i="28"/>
  <c r="AI71" i="28"/>
  <c r="AH73" i="28"/>
  <c r="AV88" i="28" s="1"/>
  <c r="AK67" i="28"/>
  <c r="AH70" i="28"/>
  <c r="AV85" i="28" s="1"/>
  <c r="AI70" i="28"/>
  <c r="AF69" i="28"/>
  <c r="AE69" i="28"/>
  <c r="AF73" i="28"/>
  <c r="AM70" i="28"/>
  <c r="AZ85" i="28" s="1"/>
  <c r="AG73" i="28"/>
  <c r="AK73" i="28"/>
  <c r="AZ82" i="28"/>
  <c r="AM71" i="28"/>
  <c r="AZ86" i="28" s="1"/>
  <c r="AI67" i="28"/>
  <c r="AJ68" i="28"/>
  <c r="H35" i="26" s="1"/>
  <c r="AI68" i="28"/>
  <c r="AE68" i="28"/>
  <c r="AD68" i="28"/>
  <c r="AK68" i="28"/>
  <c r="J35" i="26" s="1"/>
  <c r="AH68" i="28"/>
  <c r="AV83" i="28" s="1"/>
  <c r="AG68" i="28"/>
  <c r="AJ69" i="28"/>
  <c r="AD69" i="28"/>
  <c r="AF70" i="28"/>
  <c r="AM72" i="28"/>
  <c r="AZ87" i="28" s="1"/>
  <c r="AG70" i="28"/>
  <c r="AJ70" i="28"/>
  <c r="AE67" i="28"/>
  <c r="AS82" i="28" s="1"/>
  <c r="B34" i="26"/>
  <c r="AI73" i="28"/>
  <c r="AJ73" i="28"/>
  <c r="AH69" i="28"/>
  <c r="AV84" i="28" s="1"/>
  <c r="AJ67" i="28"/>
  <c r="AY82" i="28" s="1"/>
  <c r="AJ72" i="28"/>
  <c r="AG72" i="28"/>
  <c r="AF72" i="28"/>
  <c r="AH67" i="28"/>
  <c r="AV82" i="28" s="1"/>
  <c r="AM73" i="28"/>
  <c r="AZ88" i="28" s="1"/>
  <c r="AH72" i="28"/>
  <c r="AV87" i="28" s="1"/>
  <c r="AM68" i="28"/>
  <c r="AZ83" i="28" s="1"/>
  <c r="AK69" i="28"/>
  <c r="AM69" i="28"/>
  <c r="AZ84" i="28" s="1"/>
  <c r="AE72" i="28"/>
  <c r="AG67" i="28"/>
  <c r="AU82" i="28" s="1"/>
  <c r="AI72" i="28"/>
  <c r="AG56" i="28" l="1"/>
  <c r="AU74" i="28" s="1"/>
  <c r="AF56" i="28"/>
  <c r="AD56" i="28"/>
  <c r="AJ56" i="28"/>
  <c r="AH56" i="28"/>
  <c r="AK56" i="28"/>
  <c r="AQ74" i="28" s="1"/>
  <c r="AI56" i="28"/>
  <c r="AC145" i="28"/>
  <c r="AF145" i="28" s="1"/>
  <c r="AP74" i="28"/>
  <c r="AF148" i="28"/>
  <c r="AH148" i="28"/>
  <c r="AG148" i="28"/>
  <c r="AK148" i="28"/>
  <c r="AD148" i="28"/>
  <c r="AL148" i="28"/>
  <c r="AE148" i="28"/>
  <c r="AG147" i="28"/>
  <c r="AK147" i="28"/>
  <c r="AD147" i="28"/>
  <c r="AH147" i="28"/>
  <c r="AL147" i="28"/>
  <c r="AE147" i="28"/>
  <c r="AF147" i="28"/>
  <c r="AD146" i="28"/>
  <c r="AH146" i="28"/>
  <c r="AL146" i="28"/>
  <c r="AK146" i="28"/>
  <c r="AE146" i="28"/>
  <c r="AF146" i="28"/>
  <c r="AG146" i="28"/>
  <c r="AE145" i="28"/>
  <c r="C38" i="26"/>
  <c r="AS88" i="28"/>
  <c r="AR85" i="28"/>
  <c r="J38" i="26"/>
  <c r="D38" i="26"/>
  <c r="H38" i="26"/>
  <c r="G38" i="26"/>
  <c r="AT85" i="28"/>
  <c r="E37" i="26"/>
  <c r="AU83" i="28"/>
  <c r="G35" i="26"/>
  <c r="AR83" i="28"/>
  <c r="C35" i="26"/>
  <c r="AU88" i="28"/>
  <c r="G40" i="26"/>
  <c r="AT84" i="28"/>
  <c r="E36" i="26"/>
  <c r="AT86" i="28"/>
  <c r="E38" i="26"/>
  <c r="AU84" i="28"/>
  <c r="G36" i="26"/>
  <c r="AS87" i="28"/>
  <c r="D39" i="26"/>
  <c r="AY88" i="28"/>
  <c r="H40" i="26"/>
  <c r="AW87" i="28"/>
  <c r="I39" i="26"/>
  <c r="AY87" i="28"/>
  <c r="H39" i="26"/>
  <c r="AW88" i="28"/>
  <c r="I40" i="26"/>
  <c r="AY85" i="28"/>
  <c r="H37" i="26"/>
  <c r="AR84" i="28"/>
  <c r="C36" i="26"/>
  <c r="AS83" i="28"/>
  <c r="D35" i="26"/>
  <c r="AW85" i="28"/>
  <c r="I37" i="26"/>
  <c r="AX88" i="28"/>
  <c r="AW84" i="28"/>
  <c r="I36" i="26"/>
  <c r="AQ87" i="28"/>
  <c r="J39" i="26"/>
  <c r="AT83" i="28"/>
  <c r="E35" i="26"/>
  <c r="AU87" i="28"/>
  <c r="G39" i="26"/>
  <c r="AQ84" i="28"/>
  <c r="J36" i="26"/>
  <c r="AU85" i="28"/>
  <c r="G37" i="26"/>
  <c r="AX84" i="28"/>
  <c r="AW83" i="28"/>
  <c r="I35" i="26"/>
  <c r="AT88" i="28"/>
  <c r="E40" i="26"/>
  <c r="AR87" i="28"/>
  <c r="C39" i="26"/>
  <c r="AX87" i="28"/>
  <c r="AX86" i="28"/>
  <c r="AT87" i="28"/>
  <c r="E39" i="26"/>
  <c r="AY84" i="28"/>
  <c r="H36" i="26"/>
  <c r="AX83" i="28"/>
  <c r="AQ88" i="28"/>
  <c r="J40" i="26"/>
  <c r="AS84" i="28"/>
  <c r="D36" i="26"/>
  <c r="AW86" i="28"/>
  <c r="I38" i="26"/>
  <c r="AR88" i="28"/>
  <c r="C40" i="26"/>
  <c r="AS85" i="28"/>
  <c r="D37" i="26"/>
  <c r="AQ85" i="28"/>
  <c r="J37" i="26"/>
  <c r="AX85" i="28"/>
  <c r="AT79" i="28"/>
  <c r="E28" i="26"/>
  <c r="AS79" i="28"/>
  <c r="D28" i="26"/>
  <c r="AQ75" i="28"/>
  <c r="J24" i="26"/>
  <c r="AS78" i="28"/>
  <c r="D27" i="26"/>
  <c r="AQ81" i="28"/>
  <c r="J30" i="26"/>
  <c r="AS80" i="28"/>
  <c r="D29" i="26"/>
  <c r="AQ77" i="28"/>
  <c r="J26" i="26"/>
  <c r="J25" i="26"/>
  <c r="AU79" i="28"/>
  <c r="G28" i="26"/>
  <c r="AX79" i="28"/>
  <c r="AU75" i="28"/>
  <c r="G24" i="26"/>
  <c r="AW75" i="28"/>
  <c r="I24" i="26"/>
  <c r="AX78" i="28"/>
  <c r="AU78" i="28"/>
  <c r="G27" i="26"/>
  <c r="AU81" i="28"/>
  <c r="G30" i="26"/>
  <c r="AW81" i="28"/>
  <c r="I30" i="26"/>
  <c r="AR81" i="28"/>
  <c r="C30" i="26"/>
  <c r="AU80" i="28"/>
  <c r="G29" i="26"/>
  <c r="AU77" i="28"/>
  <c r="G26" i="26"/>
  <c r="AW77" i="28"/>
  <c r="I26" i="26"/>
  <c r="AR77" i="28"/>
  <c r="AX76" i="28"/>
  <c r="AU76" i="28"/>
  <c r="G25" i="26"/>
  <c r="AQ79" i="28"/>
  <c r="J28" i="26"/>
  <c r="AY75" i="28"/>
  <c r="H24" i="26"/>
  <c r="AS75" i="28"/>
  <c r="D24" i="26"/>
  <c r="AY78" i="28"/>
  <c r="H27" i="26"/>
  <c r="AY81" i="28"/>
  <c r="H30" i="26"/>
  <c r="AS81" i="28"/>
  <c r="D30" i="26"/>
  <c r="AY77" i="28"/>
  <c r="H26" i="26"/>
  <c r="AS77" i="28"/>
  <c r="D26" i="26"/>
  <c r="AY76" i="28"/>
  <c r="H25" i="26"/>
  <c r="AR79" i="28"/>
  <c r="C28" i="26"/>
  <c r="AT75" i="28"/>
  <c r="E24" i="26"/>
  <c r="AX75" i="28"/>
  <c r="AR78" i="28"/>
  <c r="C27" i="26"/>
  <c r="AT81" i="28"/>
  <c r="E30" i="26"/>
  <c r="AX81" i="28"/>
  <c r="AW80" i="28"/>
  <c r="I29" i="26"/>
  <c r="AR80" i="28"/>
  <c r="C29" i="26"/>
  <c r="AT77" i="28"/>
  <c r="E26" i="26"/>
  <c r="AQ83" i="28"/>
  <c r="AY83" i="28"/>
  <c r="AX82" i="28"/>
  <c r="I34" i="26"/>
  <c r="AW82" i="28"/>
  <c r="E34" i="26"/>
  <c r="AT82" i="28"/>
  <c r="C34" i="26"/>
  <c r="AR82" i="28"/>
  <c r="J34" i="26"/>
  <c r="AQ82" i="28"/>
  <c r="AB71" i="28"/>
  <c r="AY80" i="28"/>
  <c r="AY79" i="28"/>
  <c r="AW79" i="28"/>
  <c r="AW78" i="28"/>
  <c r="AT78" i="28"/>
  <c r="AT80" i="28"/>
  <c r="AX77" i="28"/>
  <c r="AW76" i="28"/>
  <c r="AR76" i="28"/>
  <c r="AT76" i="28"/>
  <c r="AR75" i="28"/>
  <c r="AX80" i="28"/>
  <c r="AQ78" i="28"/>
  <c r="AQ80" i="28"/>
  <c r="AS76" i="28"/>
  <c r="AB68" i="28"/>
  <c r="H34" i="26"/>
  <c r="AB63" i="28"/>
  <c r="G34" i="26"/>
  <c r="AB72" i="28"/>
  <c r="AB69" i="28"/>
  <c r="D34" i="26"/>
  <c r="AB67" i="28"/>
  <c r="AS74" i="28"/>
  <c r="AB70" i="28"/>
  <c r="AB73" i="28"/>
  <c r="AZ74" i="28"/>
  <c r="AR74" i="28"/>
  <c r="E23" i="26"/>
  <c r="I23" i="26"/>
  <c r="AV74" i="28"/>
  <c r="B23" i="26"/>
  <c r="AX74" i="28"/>
  <c r="AB60" i="28"/>
  <c r="AB62" i="28"/>
  <c r="AB59" i="28"/>
  <c r="AB61" i="28"/>
  <c r="AB57" i="28"/>
  <c r="AB58" i="28"/>
  <c r="AL145" i="28" l="1"/>
  <c r="AD145" i="28"/>
  <c r="AH145" i="28"/>
  <c r="AG145" i="28"/>
  <c r="AI146" i="28"/>
  <c r="AI147" i="28"/>
  <c r="AJ146" i="28"/>
  <c r="AI148" i="28"/>
  <c r="AJ147" i="28"/>
  <c r="AJ148" i="28"/>
  <c r="AB56" i="28"/>
  <c r="C23" i="26"/>
  <c r="AW74" i="28"/>
  <c r="AY74" i="28"/>
  <c r="AT74" i="28"/>
  <c r="D23" i="26"/>
  <c r="AK145" i="28"/>
  <c r="H23" i="26"/>
  <c r="G23" i="26"/>
  <c r="J23" i="26"/>
  <c r="AI145" i="28" l="1"/>
  <c r="AB146" i="28"/>
  <c r="AO93" i="28" s="1"/>
  <c r="AB148" i="28"/>
  <c r="AO95" i="28" s="1"/>
  <c r="AB147" i="28"/>
  <c r="AO94" i="28" s="1"/>
  <c r="AJ145" i="28"/>
  <c r="AB145" i="28" l="1"/>
  <c r="AM145" i="28" l="1"/>
  <c r="AC97" i="28" s="1"/>
  <c r="AP92" i="28" s="1"/>
  <c r="AM146" i="28"/>
  <c r="AC98" i="28" s="1"/>
  <c r="AP93" i="28" s="1"/>
  <c r="AM147" i="28"/>
  <c r="AC99" i="28" s="1"/>
  <c r="AM148" i="28"/>
  <c r="AC100" i="28" s="1"/>
  <c r="AO92" i="28"/>
  <c r="AL100" i="28" l="1"/>
  <c r="AP95" i="28"/>
  <c r="AL99" i="28"/>
  <c r="AX94" i="28" s="1"/>
  <c r="AP94" i="28"/>
  <c r="AM98" i="28"/>
  <c r="AZ93" i="28" s="1"/>
  <c r="AL98" i="28"/>
  <c r="AX93" i="28" s="1"/>
  <c r="AM100" i="28"/>
  <c r="AZ95" i="28" s="1"/>
  <c r="AM99" i="28"/>
  <c r="AZ94" i="28" s="1"/>
  <c r="AG100" i="28"/>
  <c r="AU95" i="28" s="1"/>
  <c r="AK100" i="28"/>
  <c r="AF100" i="28"/>
  <c r="AT95" i="28" s="1"/>
  <c r="AD100" i="28"/>
  <c r="AR95" i="28" s="1"/>
  <c r="AH100" i="28"/>
  <c r="AV95" i="28" s="1"/>
  <c r="AJ100" i="28"/>
  <c r="AY95" i="28" s="1"/>
  <c r="AE100" i="28"/>
  <c r="AS95" i="28" s="1"/>
  <c r="AI100" i="28"/>
  <c r="AW95" i="28" s="1"/>
  <c r="AE99" i="28"/>
  <c r="AS94" i="28" s="1"/>
  <c r="AI99" i="28"/>
  <c r="AW94" i="28" s="1"/>
  <c r="AD99" i="28"/>
  <c r="AR94" i="28" s="1"/>
  <c r="AF99" i="28"/>
  <c r="AT94" i="28" s="1"/>
  <c r="AJ99" i="28"/>
  <c r="AY94" i="28" s="1"/>
  <c r="AH99" i="28"/>
  <c r="AV94" i="28" s="1"/>
  <c r="AG99" i="28"/>
  <c r="AU94" i="28" s="1"/>
  <c r="AK99" i="28"/>
  <c r="AG98" i="28"/>
  <c r="AU93" i="28" s="1"/>
  <c r="AK98" i="28"/>
  <c r="AQ93" i="28" s="1"/>
  <c r="AJ98" i="28"/>
  <c r="AY93" i="28" s="1"/>
  <c r="AD98" i="28"/>
  <c r="AR93" i="28" s="1"/>
  <c r="AH98" i="28"/>
  <c r="AV93" i="28" s="1"/>
  <c r="AF98" i="28"/>
  <c r="AT93" i="28" s="1"/>
  <c r="AE98" i="28"/>
  <c r="AS93" i="28" s="1"/>
  <c r="AI98" i="28"/>
  <c r="AW93" i="28" s="1"/>
  <c r="AX41" i="28" l="1"/>
  <c r="AS45" i="28"/>
  <c r="AR39" i="28"/>
  <c r="AT41" i="28"/>
  <c r="AV49" i="28"/>
  <c r="AV51" i="28"/>
  <c r="AV41" i="28"/>
  <c r="AW37" i="28"/>
  <c r="AR46" i="28"/>
  <c r="AY47" i="28"/>
  <c r="AQ46" i="28"/>
  <c r="AR49" i="28"/>
  <c r="AX42" i="28"/>
  <c r="AW49" i="28"/>
  <c r="AW51" i="28"/>
  <c r="AQ45" i="28"/>
  <c r="AY43" i="28"/>
  <c r="AT47" i="28"/>
  <c r="AV46" i="28"/>
  <c r="AR45" i="28"/>
  <c r="AX37" i="28"/>
  <c r="AU49" i="28"/>
  <c r="AU42" i="28"/>
  <c r="AQ37" i="28"/>
  <c r="AT37" i="28"/>
  <c r="AS49" i="28"/>
  <c r="AU51" i="28"/>
  <c r="AU50" i="28"/>
  <c r="AS41" i="28"/>
  <c r="AW42" i="28"/>
  <c r="AY50" i="28"/>
  <c r="AX49" i="28"/>
  <c r="AS42" i="28"/>
  <c r="AQ51" i="28"/>
  <c r="AV48" i="28"/>
  <c r="AY45" i="28"/>
  <c r="AR50" i="28"/>
  <c r="AT49" i="28"/>
  <c r="AR41" i="28"/>
  <c r="AX51" i="28"/>
  <c r="AV42" i="28"/>
  <c r="AT50" i="28"/>
  <c r="AT45" i="28"/>
  <c r="AQ41" i="28"/>
  <c r="AW45" i="28"/>
  <c r="AQ42" i="28"/>
  <c r="AS48" i="28"/>
  <c r="AW47" i="28"/>
  <c r="AU45" i="28"/>
  <c r="AU37" i="28"/>
  <c r="AU43" i="28"/>
  <c r="AT51" i="28"/>
  <c r="AY46" i="28"/>
  <c r="AQ48" i="28"/>
  <c r="AV47" i="28"/>
  <c r="AW41" i="28"/>
  <c r="AR48" i="28"/>
  <c r="AY51" i="28"/>
  <c r="AS51" i="28"/>
  <c r="AX45" i="28"/>
  <c r="AT46" i="28"/>
  <c r="AU41" i="28"/>
  <c r="AR43" i="28"/>
  <c r="AV50" i="28"/>
  <c r="AX46" i="28"/>
  <c r="AX50" i="28"/>
  <c r="AQ49" i="28"/>
  <c r="AV43" i="28"/>
  <c r="AW48" i="28"/>
  <c r="AT43" i="28"/>
  <c r="AU47" i="28"/>
  <c r="AS50" i="28"/>
  <c r="AW43" i="28"/>
  <c r="AS43" i="28"/>
  <c r="AU46" i="28"/>
  <c r="AY37" i="28"/>
  <c r="AV37" i="28"/>
  <c r="AR47" i="28"/>
  <c r="AY42" i="28"/>
  <c r="AX47" i="28"/>
  <c r="AT42" i="28"/>
  <c r="AS46" i="28"/>
  <c r="AY49" i="28"/>
  <c r="AY48" i="28"/>
  <c r="AQ50" i="28"/>
  <c r="AQ43" i="28"/>
  <c r="AQ47" i="28"/>
  <c r="AS37" i="28"/>
  <c r="AW50" i="28"/>
  <c r="AR42" i="28"/>
  <c r="AY41" i="28"/>
  <c r="AS47" i="28"/>
  <c r="AV45" i="28"/>
  <c r="AX43" i="28"/>
  <c r="AR51" i="28"/>
  <c r="AU48" i="28"/>
  <c r="AX48" i="28"/>
  <c r="AR37" i="28"/>
  <c r="AW46" i="28"/>
  <c r="AT48" i="28"/>
  <c r="AX40" i="28"/>
  <c r="AS40" i="28"/>
  <c r="AT40" i="28"/>
  <c r="AU40" i="28"/>
  <c r="AR40" i="28"/>
  <c r="AV40" i="28"/>
  <c r="AW40" i="28"/>
  <c r="AT36" i="28"/>
  <c r="AT39" i="28"/>
  <c r="AS36" i="28"/>
  <c r="AS39" i="28"/>
  <c r="AX36" i="28"/>
  <c r="AW36" i="28"/>
  <c r="AW39" i="28"/>
  <c r="AV36" i="28"/>
  <c r="AV39" i="28"/>
  <c r="AU36" i="28"/>
  <c r="AU39" i="28"/>
  <c r="AR36" i="28"/>
  <c r="AX95" i="28"/>
  <c r="AX39" i="28" s="1"/>
  <c r="AQ95" i="28"/>
  <c r="AQ39" i="28" s="1"/>
  <c r="AQ94" i="28"/>
  <c r="AQ40" i="28" s="1"/>
  <c r="AB98" i="28"/>
  <c r="AB100" i="28"/>
  <c r="AB99" i="28"/>
  <c r="AO47" i="28" l="1"/>
  <c r="AO50" i="28"/>
  <c r="AO37" i="28"/>
  <c r="AO51" i="28"/>
  <c r="AO41" i="28"/>
  <c r="AO49" i="28"/>
  <c r="AO42" i="28"/>
  <c r="AO43" i="28"/>
  <c r="AO48" i="28"/>
  <c r="AO46" i="28"/>
  <c r="AO45" i="28"/>
  <c r="AY40" i="28"/>
  <c r="AO40" i="28" s="1"/>
  <c r="AY36" i="28"/>
  <c r="AO36" i="28" s="1"/>
  <c r="AY39" i="28"/>
  <c r="AO39" i="28" s="1"/>
  <c r="AQ36" i="28"/>
  <c r="AK97" i="28"/>
  <c r="AQ92" i="28" s="1"/>
  <c r="AQ38" i="28" s="1"/>
  <c r="AM97" i="28"/>
  <c r="AZ92" i="28" s="1"/>
  <c r="AL97" i="28"/>
  <c r="AX92" i="28" s="1"/>
  <c r="AJ97" i="28"/>
  <c r="AY92" i="28" s="1"/>
  <c r="AH97" i="28"/>
  <c r="AV92" i="28" s="1"/>
  <c r="AI97" i="28"/>
  <c r="AW92" i="28" s="1"/>
  <c r="AF97" i="28"/>
  <c r="AT92" i="28" s="1"/>
  <c r="AG97" i="28"/>
  <c r="AU92" i="28" s="1"/>
  <c r="AD97" i="28"/>
  <c r="AR92" i="28" s="1"/>
  <c r="AE97" i="28"/>
  <c r="AS92" i="28" s="1"/>
  <c r="AR44" i="28" l="1"/>
  <c r="AR38" i="28"/>
  <c r="AV44" i="28"/>
  <c r="AV38" i="28"/>
  <c r="AU44" i="28"/>
  <c r="AU38" i="28"/>
  <c r="AS44" i="28"/>
  <c r="AS38" i="28"/>
  <c r="AT44" i="28"/>
  <c r="AT38" i="28"/>
  <c r="AW44" i="28"/>
  <c r="AW38" i="28"/>
  <c r="AX44" i="28"/>
  <c r="AX38" i="28"/>
  <c r="AQ44" i="28"/>
  <c r="AB97" i="28"/>
  <c r="AY44" i="28" l="1"/>
  <c r="AO44" i="28" s="1"/>
  <c r="AY38" i="28"/>
  <c r="AO38" i="28" s="1"/>
  <c r="AZ50" i="28" l="1"/>
  <c r="AC17" i="28" s="1"/>
  <c r="AD17" i="28" s="1"/>
  <c r="J17" i="26" s="1"/>
  <c r="AZ38" i="28"/>
  <c r="AC5" i="28" s="1"/>
  <c r="AI5" i="28" s="1"/>
  <c r="AZ49" i="28"/>
  <c r="AC16" i="28" s="1"/>
  <c r="AJ16" i="28" s="1"/>
  <c r="I16" i="26" s="1"/>
  <c r="AZ37" i="28"/>
  <c r="AC4" i="28" s="1"/>
  <c r="AK4" i="28" s="1"/>
  <c r="F4" i="26" s="1"/>
  <c r="AZ40" i="28"/>
  <c r="AC7" i="28" s="1"/>
  <c r="AZ46" i="28"/>
  <c r="AC13" i="28" s="1"/>
  <c r="AZ51" i="28"/>
  <c r="AC18" i="28" s="1"/>
  <c r="AZ48" i="28"/>
  <c r="AC15" i="28" s="1"/>
  <c r="AZ36" i="28"/>
  <c r="AC3" i="28" s="1"/>
  <c r="AD3" i="28" s="1"/>
  <c r="AZ43" i="28"/>
  <c r="AC10" i="28" s="1"/>
  <c r="AZ47" i="28"/>
  <c r="AC14" i="28" s="1"/>
  <c r="AZ44" i="28"/>
  <c r="AC11" i="28" s="1"/>
  <c r="AL11" i="28" s="1"/>
  <c r="H11" i="26" s="1"/>
  <c r="AZ42" i="28"/>
  <c r="AC9" i="28" s="1"/>
  <c r="AD9" i="28" s="1"/>
  <c r="J9" i="26" s="1"/>
  <c r="AZ41" i="28"/>
  <c r="AC8" i="28" s="1"/>
  <c r="AL8" i="28" s="1"/>
  <c r="H8" i="26" s="1"/>
  <c r="AZ45" i="28"/>
  <c r="AC12" i="28" s="1"/>
  <c r="AL12" i="28" s="1"/>
  <c r="H12" i="26" s="1"/>
  <c r="AZ39" i="28"/>
  <c r="AC6" i="28" s="1"/>
  <c r="AE17" i="28"/>
  <c r="C17" i="26" s="1"/>
  <c r="AF17" i="28"/>
  <c r="D17" i="26" s="1"/>
  <c r="AI17" i="28" l="1"/>
  <c r="AK17" i="28"/>
  <c r="F17" i="26" s="1"/>
  <c r="AL17" i="28"/>
  <c r="H17" i="26" s="1"/>
  <c r="AG17" i="28"/>
  <c r="E17" i="26" s="1"/>
  <c r="AH17" i="28"/>
  <c r="G17" i="26" s="1"/>
  <c r="AJ17" i="28"/>
  <c r="I17" i="26" s="1"/>
  <c r="B17" i="26"/>
  <c r="AI11" i="28"/>
  <c r="AD16" i="28"/>
  <c r="J16" i="26" s="1"/>
  <c r="AI16" i="28"/>
  <c r="AI4" i="28"/>
  <c r="AE4" i="28"/>
  <c r="C4" i="26" s="1"/>
  <c r="AG4" i="28"/>
  <c r="E4" i="26" s="1"/>
  <c r="AL4" i="28"/>
  <c r="H4" i="26" s="1"/>
  <c r="B9" i="26"/>
  <c r="AJ4" i="28"/>
  <c r="I4" i="26" s="1"/>
  <c r="AG9" i="28"/>
  <c r="E9" i="26" s="1"/>
  <c r="AL16" i="28"/>
  <c r="H16" i="26" s="1"/>
  <c r="AE9" i="28"/>
  <c r="C9" i="26" s="1"/>
  <c r="AJ9" i="28"/>
  <c r="I9" i="26" s="1"/>
  <c r="AI9" i="28"/>
  <c r="AE16" i="28"/>
  <c r="C16" i="26" s="1"/>
  <c r="AH8" i="28"/>
  <c r="AG11" i="28"/>
  <c r="E11" i="26" s="1"/>
  <c r="AH16" i="28"/>
  <c r="G16" i="26" s="1"/>
  <c r="AD5" i="28"/>
  <c r="J5" i="26" s="1"/>
  <c r="B5" i="26"/>
  <c r="B16" i="26"/>
  <c r="AG5" i="28"/>
  <c r="E5" i="26" s="1"/>
  <c r="AG16" i="28"/>
  <c r="E16" i="26" s="1"/>
  <c r="AD12" i="28"/>
  <c r="J12" i="26" s="1"/>
  <c r="AI12" i="28"/>
  <c r="AL5" i="28"/>
  <c r="H5" i="26" s="1"/>
  <c r="AF5" i="28"/>
  <c r="D5" i="26" s="1"/>
  <c r="AK5" i="28"/>
  <c r="F5" i="26" s="1"/>
  <c r="AJ5" i="28"/>
  <c r="I5" i="26" s="1"/>
  <c r="AH5" i="28"/>
  <c r="G5" i="26" s="1"/>
  <c r="AE5" i="28"/>
  <c r="C5" i="26" s="1"/>
  <c r="B11" i="26"/>
  <c r="AE11" i="28"/>
  <c r="C11" i="26" s="1"/>
  <c r="AJ11" i="28"/>
  <c r="I11" i="26" s="1"/>
  <c r="AE12" i="28"/>
  <c r="C12" i="26" s="1"/>
  <c r="AK12" i="28"/>
  <c r="F12" i="26" s="1"/>
  <c r="B12" i="26"/>
  <c r="AG12" i="28"/>
  <c r="E12" i="26" s="1"/>
  <c r="AK16" i="28"/>
  <c r="F16" i="26" s="1"/>
  <c r="AG8" i="28"/>
  <c r="E8" i="26" s="1"/>
  <c r="AJ8" i="28"/>
  <c r="I8" i="26" s="1"/>
  <c r="AF16" i="28"/>
  <c r="D16" i="26" s="1"/>
  <c r="AH4" i="28"/>
  <c r="G4" i="26" s="1"/>
  <c r="B4" i="26"/>
  <c r="AF4" i="28"/>
  <c r="D4" i="26" s="1"/>
  <c r="AD4" i="28"/>
  <c r="J4" i="26" s="1"/>
  <c r="AE7" i="28"/>
  <c r="C7" i="26" s="1"/>
  <c r="AH7" i="28"/>
  <c r="B7" i="26"/>
  <c r="AK7" i="28"/>
  <c r="F7" i="26" s="1"/>
  <c r="AL7" i="28"/>
  <c r="H7" i="26" s="1"/>
  <c r="AJ7" i="28"/>
  <c r="I7" i="26" s="1"/>
  <c r="AD7" i="28"/>
  <c r="J7" i="26" s="1"/>
  <c r="AG7" i="28"/>
  <c r="E7" i="26" s="1"/>
  <c r="AI7" i="28"/>
  <c r="AF7" i="28"/>
  <c r="D7" i="26" s="1"/>
  <c r="B8" i="26"/>
  <c r="AK9" i="28"/>
  <c r="F9" i="26" s="1"/>
  <c r="AF9" i="28"/>
  <c r="D9" i="26" s="1"/>
  <c r="AH9" i="28"/>
  <c r="AL9" i="28"/>
  <c r="H9" i="26" s="1"/>
  <c r="AK3" i="28"/>
  <c r="F3" i="26" s="1"/>
  <c r="B3" i="26"/>
  <c r="AL3" i="28"/>
  <c r="H3" i="26" s="1"/>
  <c r="AG3" i="28"/>
  <c r="E3" i="26" s="1"/>
  <c r="AI3" i="28"/>
  <c r="AH3" i="28"/>
  <c r="AJ3" i="28"/>
  <c r="I3" i="26" s="1"/>
  <c r="AF3" i="28"/>
  <c r="D3" i="26" s="1"/>
  <c r="AE3" i="28"/>
  <c r="C3" i="26" s="1"/>
  <c r="J3" i="26"/>
  <c r="AG10" i="28"/>
  <c r="E10" i="26" s="1"/>
  <c r="AF10" i="28"/>
  <c r="D10" i="26" s="1"/>
  <c r="AD10" i="28"/>
  <c r="J10" i="26" s="1"/>
  <c r="AE10" i="28"/>
  <c r="C10" i="26" s="1"/>
  <c r="B10" i="26"/>
  <c r="AL10" i="28"/>
  <c r="H10" i="26" s="1"/>
  <c r="AH10" i="28"/>
  <c r="AI10" i="28"/>
  <c r="AK10" i="28"/>
  <c r="F10" i="26" s="1"/>
  <c r="AJ10" i="28"/>
  <c r="I10" i="26" s="1"/>
  <c r="AK11" i="28"/>
  <c r="F11" i="26" s="1"/>
  <c r="AF11" i="28"/>
  <c r="D11" i="26" s="1"/>
  <c r="AH11" i="28"/>
  <c r="G11" i="26" s="1"/>
  <c r="AD11" i="28"/>
  <c r="J11" i="26" s="1"/>
  <c r="B15" i="26"/>
  <c r="AE15" i="28"/>
  <c r="C15" i="26" s="1"/>
  <c r="AI15" i="28"/>
  <c r="AF15" i="28"/>
  <c r="D15" i="26" s="1"/>
  <c r="AL15" i="28"/>
  <c r="H15" i="26" s="1"/>
  <c r="AJ15" i="28"/>
  <c r="I15" i="26" s="1"/>
  <c r="AH15" i="28"/>
  <c r="G15" i="26" s="1"/>
  <c r="AK15" i="28"/>
  <c r="F15" i="26" s="1"/>
  <c r="AG15" i="28"/>
  <c r="E15" i="26" s="1"/>
  <c r="AD15" i="28"/>
  <c r="J15" i="26" s="1"/>
  <c r="AE18" i="28"/>
  <c r="C18" i="26" s="1"/>
  <c r="AH18" i="28"/>
  <c r="AL18" i="28"/>
  <c r="H18" i="26" s="1"/>
  <c r="AJ18" i="28"/>
  <c r="I18" i="26" s="1"/>
  <c r="AD18" i="28"/>
  <c r="J18" i="26" s="1"/>
  <c r="AI18" i="28"/>
  <c r="AF18" i="28"/>
  <c r="D18" i="26" s="1"/>
  <c r="AG18" i="28"/>
  <c r="E18" i="26" s="1"/>
  <c r="AK18" i="28"/>
  <c r="F18" i="26" s="1"/>
  <c r="B18" i="26"/>
  <c r="AD8" i="28"/>
  <c r="J8" i="26" s="1"/>
  <c r="AF8" i="28"/>
  <c r="D8" i="26" s="1"/>
  <c r="AE8" i="28"/>
  <c r="C8" i="26" s="1"/>
  <c r="AK8" i="28"/>
  <c r="F8" i="26" s="1"/>
  <c r="AI8" i="28"/>
  <c r="AJ12" i="28"/>
  <c r="I12" i="26" s="1"/>
  <c r="AF12" i="28"/>
  <c r="D12" i="26" s="1"/>
  <c r="AH12" i="28"/>
  <c r="AJ14" i="28"/>
  <c r="I14" i="26" s="1"/>
  <c r="AD14" i="28"/>
  <c r="J14" i="26" s="1"/>
  <c r="AI14" i="28"/>
  <c r="AK14" i="28"/>
  <c r="F14" i="26" s="1"/>
  <c r="AE14" i="28"/>
  <c r="C14" i="26" s="1"/>
  <c r="AG14" i="28"/>
  <c r="E14" i="26" s="1"/>
  <c r="AF14" i="28"/>
  <c r="D14" i="26" s="1"/>
  <c r="AH14" i="28"/>
  <c r="AL14" i="28"/>
  <c r="H14" i="26" s="1"/>
  <c r="B14" i="26"/>
  <c r="AI13" i="28"/>
  <c r="AG13" i="28"/>
  <c r="E13" i="26" s="1"/>
  <c r="AE13" i="28"/>
  <c r="C13" i="26" s="1"/>
  <c r="B13" i="26"/>
  <c r="AD13" i="28"/>
  <c r="J13" i="26" s="1"/>
  <c r="AF13" i="28"/>
  <c r="D13" i="26" s="1"/>
  <c r="AJ13" i="28"/>
  <c r="I13" i="26" s="1"/>
  <c r="AL13" i="28"/>
  <c r="H13" i="26" s="1"/>
  <c r="AH13" i="28"/>
  <c r="G13" i="26" s="1"/>
  <c r="AK13" i="28"/>
  <c r="F13" i="26" s="1"/>
  <c r="AH6" i="28"/>
  <c r="AE6" i="28"/>
  <c r="C6" i="26" s="1"/>
  <c r="AG6" i="28"/>
  <c r="E6" i="26" s="1"/>
  <c r="AK6" i="28"/>
  <c r="F6" i="26" s="1"/>
  <c r="AD6" i="28"/>
  <c r="J6" i="26" s="1"/>
  <c r="AJ6" i="28"/>
  <c r="I6" i="26" s="1"/>
  <c r="AL6" i="28"/>
  <c r="H6" i="26" s="1"/>
  <c r="AI6" i="28"/>
  <c r="AF6" i="28"/>
  <c r="D6" i="26" s="1"/>
  <c r="B6" i="26"/>
  <c r="G9" i="26" l="1"/>
  <c r="G8" i="26"/>
  <c r="G12" i="26"/>
  <c r="G14" i="26"/>
  <c r="G10" i="26"/>
  <c r="G18" i="26"/>
  <c r="G7" i="26"/>
  <c r="G3" i="26"/>
  <c r="F24" i="26"/>
  <c r="F25" i="26"/>
  <c r="F34" i="26"/>
  <c r="F29" i="26"/>
  <c r="F35" i="26"/>
  <c r="F39" i="26"/>
  <c r="F40" i="26"/>
  <c r="F30" i="26"/>
  <c r="F23" i="26"/>
  <c r="F36" i="26"/>
  <c r="F37" i="26"/>
  <c r="F38" i="26"/>
  <c r="F28" i="26"/>
  <c r="F27" i="26"/>
  <c r="F26" i="26"/>
  <c r="G6" i="2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<sst xmlns="http://schemas.openxmlformats.org/spreadsheetml/2006/main" count="4309" uniqueCount="525">
  <si>
    <t>Equipos</t>
  </si>
  <si>
    <t>Torneo Fútbol 7 San José</t>
  </si>
  <si>
    <t>Equipo</t>
  </si>
  <si>
    <t>Jugador</t>
  </si>
  <si>
    <t>Total</t>
  </si>
  <si>
    <t>Fecha 1</t>
  </si>
  <si>
    <t>Fecha 2</t>
  </si>
  <si>
    <t>Fecha 3</t>
  </si>
  <si>
    <t>Fecha 4</t>
  </si>
  <si>
    <t>Fecha 5</t>
  </si>
  <si>
    <t>Fecha 6</t>
  </si>
  <si>
    <t>Fecha 7</t>
  </si>
  <si>
    <t>Fecha 8</t>
  </si>
  <si>
    <t>Fecha 9</t>
  </si>
  <si>
    <t>Fecha 10</t>
  </si>
  <si>
    <t>Fecha 11</t>
  </si>
  <si>
    <t>Fecha 12</t>
  </si>
  <si>
    <t>Fecha 13</t>
  </si>
  <si>
    <t>Fecha 14</t>
  </si>
  <si>
    <t>Fecha 15</t>
  </si>
  <si>
    <t>Fecha 16</t>
  </si>
  <si>
    <t>Goles</t>
  </si>
  <si>
    <t>Amonestación</t>
  </si>
  <si>
    <t>Expulsión 2A</t>
  </si>
  <si>
    <t>Expulsión Directa</t>
  </si>
  <si>
    <t>Autogoles</t>
  </si>
  <si>
    <t>Orden</t>
  </si>
  <si>
    <t>T.Amarilla</t>
  </si>
  <si>
    <t>D. Amarilla</t>
  </si>
  <si>
    <t>RankGoles</t>
  </si>
  <si>
    <t>Sin Anotador</t>
  </si>
  <si>
    <t>RankAmarilla</t>
  </si>
  <si>
    <t>RankRoja</t>
  </si>
  <si>
    <t>RankDAmarilla</t>
  </si>
  <si>
    <t>Jugador Amonestado</t>
  </si>
  <si>
    <t>N° Amonestaciones</t>
  </si>
  <si>
    <t>Tabla de Goleadores</t>
  </si>
  <si>
    <t>Amonestados</t>
  </si>
  <si>
    <t>Jugador Expulsado</t>
  </si>
  <si>
    <t>N° Expulsiones</t>
  </si>
  <si>
    <t>Inscripción</t>
  </si>
  <si>
    <t>1 °</t>
  </si>
  <si>
    <t>2 °</t>
  </si>
  <si>
    <t>3 °</t>
  </si>
  <si>
    <t>4 °</t>
  </si>
  <si>
    <t>5 °</t>
  </si>
  <si>
    <t>6 °</t>
  </si>
  <si>
    <t>7 °</t>
  </si>
  <si>
    <t>8 °</t>
  </si>
  <si>
    <t>9 °</t>
  </si>
  <si>
    <t>Sergio Ríos</t>
  </si>
  <si>
    <t>Fecha 17</t>
  </si>
  <si>
    <t>Oscar Correa</t>
  </si>
  <si>
    <t>Sebastián Montalvo</t>
  </si>
  <si>
    <t>Gustavo Gallego</t>
  </si>
  <si>
    <t>Julián Ortiz</t>
  </si>
  <si>
    <t xml:space="preserve"> -</t>
  </si>
  <si>
    <t>Huber Villada</t>
  </si>
  <si>
    <t>Michael Rúa</t>
  </si>
  <si>
    <t>El Milán</t>
  </si>
  <si>
    <t>Luis Zapata</t>
  </si>
  <si>
    <t>Juan Camilo Zapata</t>
  </si>
  <si>
    <t>Esteban Vanegas</t>
  </si>
  <si>
    <t>Julián Araque</t>
  </si>
  <si>
    <t>Alejo Betancur</t>
  </si>
  <si>
    <t>Cristián Castaño</t>
  </si>
  <si>
    <t>Ariel Araque</t>
  </si>
  <si>
    <t>Wilmar Pineda</t>
  </si>
  <si>
    <t>Tablas</t>
  </si>
  <si>
    <t>Doble Amonestación</t>
  </si>
  <si>
    <t>Juan A. Álvarez</t>
  </si>
  <si>
    <t>Gabriel Herrera</t>
  </si>
  <si>
    <t>Obed Echavarría</t>
  </si>
  <si>
    <t>Nelson Ramírez</t>
  </si>
  <si>
    <t>Jorge Mario Núñez</t>
  </si>
  <si>
    <t>Julián Ochoa</t>
  </si>
  <si>
    <t>Juan David Álvarez</t>
  </si>
  <si>
    <t>Adíen Zapata</t>
  </si>
  <si>
    <t>Juan I. Rúa</t>
  </si>
  <si>
    <t>Camilo Rúa</t>
  </si>
  <si>
    <t>Sneyder Zapata</t>
  </si>
  <si>
    <t>Fecha 18</t>
  </si>
  <si>
    <t>T. Roja</t>
  </si>
  <si>
    <t>Fecha 19</t>
  </si>
  <si>
    <t>Fecha 20</t>
  </si>
  <si>
    <t>Fecha 21</t>
  </si>
  <si>
    <t>Total Goles</t>
  </si>
  <si>
    <t>Cant.</t>
  </si>
  <si>
    <t>Pos</t>
  </si>
  <si>
    <t>Gol</t>
  </si>
  <si>
    <t>A</t>
  </si>
  <si>
    <t>2A</t>
  </si>
  <si>
    <t>R</t>
  </si>
  <si>
    <t>Fecha 22</t>
  </si>
  <si>
    <t>Fecha 23</t>
  </si>
  <si>
    <t>Fecha 24</t>
  </si>
  <si>
    <t>Fecha 25</t>
  </si>
  <si>
    <t>Total A</t>
  </si>
  <si>
    <t>Total R</t>
  </si>
  <si>
    <t>Total 2A</t>
  </si>
  <si>
    <t>Fecha</t>
  </si>
  <si>
    <t>Local</t>
  </si>
  <si>
    <t>Visitante</t>
  </si>
  <si>
    <t>Jugadores</t>
  </si>
  <si>
    <t>Goles por OW</t>
  </si>
  <si>
    <t>Autogoles a favor</t>
  </si>
  <si>
    <t>Gol por jugador Retirado</t>
  </si>
  <si>
    <t>Nº</t>
  </si>
  <si>
    <t>Hora</t>
  </si>
  <si>
    <t>Estado</t>
  </si>
  <si>
    <t>TA</t>
  </si>
  <si>
    <t>TR</t>
  </si>
  <si>
    <t>Jornada</t>
  </si>
  <si>
    <t>Cancha</t>
  </si>
  <si>
    <t>San José</t>
  </si>
  <si>
    <t>G</t>
  </si>
  <si>
    <t>E</t>
  </si>
  <si>
    <t>P</t>
  </si>
  <si>
    <t>J</t>
  </si>
  <si>
    <t>JL</t>
  </si>
  <si>
    <t>GOL</t>
  </si>
  <si>
    <t>W</t>
  </si>
  <si>
    <t>Pos.</t>
  </si>
  <si>
    <t>GF</t>
  </si>
  <si>
    <t>GC</t>
  </si>
  <si>
    <t>DG</t>
  </si>
  <si>
    <t>Pts.</t>
  </si>
  <si>
    <t>PJ</t>
  </si>
  <si>
    <t>Clasificación</t>
  </si>
  <si>
    <t>1°</t>
  </si>
  <si>
    <t>2°</t>
  </si>
  <si>
    <t>3°</t>
  </si>
  <si>
    <t>4°</t>
  </si>
  <si>
    <t>5°</t>
  </si>
  <si>
    <t>6°</t>
  </si>
  <si>
    <t>7°</t>
  </si>
  <si>
    <t>8°</t>
  </si>
  <si>
    <t>9°</t>
  </si>
  <si>
    <t>10°</t>
  </si>
  <si>
    <t>11°</t>
  </si>
  <si>
    <t>12°</t>
  </si>
  <si>
    <t>13°</t>
  </si>
  <si>
    <t>14°</t>
  </si>
  <si>
    <t>15°</t>
  </si>
  <si>
    <t>100°</t>
  </si>
  <si>
    <t>99°</t>
  </si>
  <si>
    <t>98°</t>
  </si>
  <si>
    <t>97°</t>
  </si>
  <si>
    <t>96°</t>
  </si>
  <si>
    <t>95°</t>
  </si>
  <si>
    <t>94°</t>
  </si>
  <si>
    <t>93°</t>
  </si>
  <si>
    <t>92°</t>
  </si>
  <si>
    <t>91°</t>
  </si>
  <si>
    <t>90°</t>
  </si>
  <si>
    <t>89°</t>
  </si>
  <si>
    <t>88°</t>
  </si>
  <si>
    <t>87°</t>
  </si>
  <si>
    <t>86°</t>
  </si>
  <si>
    <t>85°</t>
  </si>
  <si>
    <t>84°</t>
  </si>
  <si>
    <t>83°</t>
  </si>
  <si>
    <t>82°</t>
  </si>
  <si>
    <t>81°</t>
  </si>
  <si>
    <t>80°</t>
  </si>
  <si>
    <t>79°</t>
  </si>
  <si>
    <t>78°</t>
  </si>
  <si>
    <t>77°</t>
  </si>
  <si>
    <t>76°</t>
  </si>
  <si>
    <t>75°</t>
  </si>
  <si>
    <t>74°</t>
  </si>
  <si>
    <t>73°</t>
  </si>
  <si>
    <t>72°</t>
  </si>
  <si>
    <t>71°</t>
  </si>
  <si>
    <t>70°</t>
  </si>
  <si>
    <t>69°</t>
  </si>
  <si>
    <t>68°</t>
  </si>
  <si>
    <t>67°</t>
  </si>
  <si>
    <t>66°</t>
  </si>
  <si>
    <t>65°</t>
  </si>
  <si>
    <t>64°</t>
  </si>
  <si>
    <t>63°</t>
  </si>
  <si>
    <t>62°</t>
  </si>
  <si>
    <t>61°</t>
  </si>
  <si>
    <t>60°</t>
  </si>
  <si>
    <t>59°</t>
  </si>
  <si>
    <t>58°</t>
  </si>
  <si>
    <t>57°</t>
  </si>
  <si>
    <t>56°</t>
  </si>
  <si>
    <t>55°</t>
  </si>
  <si>
    <t>54°</t>
  </si>
  <si>
    <t>53°</t>
  </si>
  <si>
    <t>52°</t>
  </si>
  <si>
    <t>51°</t>
  </si>
  <si>
    <t>50°</t>
  </si>
  <si>
    <t>49°</t>
  </si>
  <si>
    <t>48°</t>
  </si>
  <si>
    <t>47°</t>
  </si>
  <si>
    <t>46°</t>
  </si>
  <si>
    <t>45°</t>
  </si>
  <si>
    <t>44°</t>
  </si>
  <si>
    <t>43°</t>
  </si>
  <si>
    <t>42°</t>
  </si>
  <si>
    <t>41°</t>
  </si>
  <si>
    <t>40°</t>
  </si>
  <si>
    <t>39°</t>
  </si>
  <si>
    <t>38°</t>
  </si>
  <si>
    <t>37°</t>
  </si>
  <si>
    <t>36°</t>
  </si>
  <si>
    <t>35°</t>
  </si>
  <si>
    <t>34°</t>
  </si>
  <si>
    <t>33°</t>
  </si>
  <si>
    <t>32°</t>
  </si>
  <si>
    <t>31°</t>
  </si>
  <si>
    <t>30°</t>
  </si>
  <si>
    <t>29°</t>
  </si>
  <si>
    <t>28°</t>
  </si>
  <si>
    <t>27°</t>
  </si>
  <si>
    <t>26°</t>
  </si>
  <si>
    <t>25°</t>
  </si>
  <si>
    <t>24°</t>
  </si>
  <si>
    <t>23°</t>
  </si>
  <si>
    <t>22°</t>
  </si>
  <si>
    <t>21°</t>
  </si>
  <si>
    <t>20°</t>
  </si>
  <si>
    <t>19°</t>
  </si>
  <si>
    <t>18°</t>
  </si>
  <si>
    <t>17°</t>
  </si>
  <si>
    <t>16°</t>
  </si>
  <si>
    <t>Expulsiones</t>
  </si>
  <si>
    <t>Resultados</t>
  </si>
  <si>
    <t>Goleadores</t>
  </si>
  <si>
    <t>B</t>
  </si>
  <si>
    <t>Todos contra todos</t>
  </si>
  <si>
    <t>Reclasificación</t>
  </si>
  <si>
    <t>Ord.</t>
  </si>
  <si>
    <t>Santiago Lopera</t>
  </si>
  <si>
    <t>Norbey Flórez</t>
  </si>
  <si>
    <t>Jair Argumedo</t>
  </si>
  <si>
    <t>Humberto Ochoa</t>
  </si>
  <si>
    <t>10 °</t>
  </si>
  <si>
    <t>11 °</t>
  </si>
  <si>
    <t>12 °</t>
  </si>
  <si>
    <t>Volver</t>
  </si>
  <si>
    <t>Fixture</t>
  </si>
  <si>
    <t>13 °</t>
  </si>
  <si>
    <t>GF:GC</t>
  </si>
  <si>
    <t>Denilson Cadena</t>
  </si>
  <si>
    <t>Eliecer Serpa</t>
  </si>
  <si>
    <t>Camilo Zapata</t>
  </si>
  <si>
    <t>Donaldo Reyes</t>
  </si>
  <si>
    <t>José Hernández</t>
  </si>
  <si>
    <t>14 °</t>
  </si>
  <si>
    <t>15 °</t>
  </si>
  <si>
    <t>Santiago Grisales</t>
  </si>
  <si>
    <t>Cristián Duque</t>
  </si>
  <si>
    <t>Alexander Sánchez</t>
  </si>
  <si>
    <t>Alexander Silva</t>
  </si>
  <si>
    <t>Robinson Rivera</t>
  </si>
  <si>
    <t>Luis Colmenares</t>
  </si>
  <si>
    <t>John Fredy Zapata</t>
  </si>
  <si>
    <t>Sebastián Cano</t>
  </si>
  <si>
    <t>Juan Carlos Vega</t>
  </si>
  <si>
    <t>Stiven Álzate</t>
  </si>
  <si>
    <t>Cesar Vanegas</t>
  </si>
  <si>
    <t>Robinson Franco</t>
  </si>
  <si>
    <t>Alejandro Vergara</t>
  </si>
  <si>
    <t>Stiven Ríos</t>
  </si>
  <si>
    <t>Ángel Mora</t>
  </si>
  <si>
    <t>Hernán Paternina</t>
  </si>
  <si>
    <t>Heptagonal A</t>
  </si>
  <si>
    <t>Heptagonal B</t>
  </si>
  <si>
    <t>Adversario</t>
  </si>
  <si>
    <t>Amarillas</t>
  </si>
  <si>
    <t>2Amarilla</t>
  </si>
  <si>
    <t>Roja</t>
  </si>
  <si>
    <t>Santos FC 15</t>
  </si>
  <si>
    <t>Equıpo 17 1</t>
  </si>
  <si>
    <t>Equıpo 17 2</t>
  </si>
  <si>
    <t>Equıpo 17 3</t>
  </si>
  <si>
    <t>Equıpo 17 4</t>
  </si>
  <si>
    <t>Equıpo 17 5</t>
  </si>
  <si>
    <t>Equıpo 17 6</t>
  </si>
  <si>
    <t>Equıpo 17 7</t>
  </si>
  <si>
    <t>Equıpo 17 8</t>
  </si>
  <si>
    <t>Equıpo 17 9</t>
  </si>
  <si>
    <t>Equıpo 17 10</t>
  </si>
  <si>
    <t>Equıpo 17 11</t>
  </si>
  <si>
    <t>Equıpo 17 12</t>
  </si>
  <si>
    <t>Equıpo 17 13</t>
  </si>
  <si>
    <t>Equıpo 17 14</t>
  </si>
  <si>
    <t>Equıpo 17 15</t>
  </si>
  <si>
    <t>Edisón Gavíria</t>
  </si>
  <si>
    <t>Jaider Londoño</t>
  </si>
  <si>
    <t>Daniel Gil</t>
  </si>
  <si>
    <t>Edwar Jaramillo</t>
  </si>
  <si>
    <t>Cristián Álzate</t>
  </si>
  <si>
    <t>Diego Castrillón</t>
  </si>
  <si>
    <t>Oscar Torín</t>
  </si>
  <si>
    <t>Jaime Correa</t>
  </si>
  <si>
    <t>José Ángel Londoño</t>
  </si>
  <si>
    <t>Franklin Cuenú</t>
  </si>
  <si>
    <t>Luis Fernando Madera</t>
  </si>
  <si>
    <t>Dany Gaviria</t>
  </si>
  <si>
    <t>Diego Patiño</t>
  </si>
  <si>
    <t>Alexander Salgado</t>
  </si>
  <si>
    <t>Ricardo Peralta</t>
  </si>
  <si>
    <t>Hernán Sánchez</t>
  </si>
  <si>
    <t>Julián Botero Carvajal</t>
  </si>
  <si>
    <t>Ángel Rocha</t>
  </si>
  <si>
    <t>Francisco Angulo</t>
  </si>
  <si>
    <t>Aldo Rangel</t>
  </si>
  <si>
    <t>Donnis Garrido</t>
  </si>
  <si>
    <t>Nelson Enrique Velásquez</t>
  </si>
  <si>
    <t>Duván Cárdenas</t>
  </si>
  <si>
    <t>Martín Angulo</t>
  </si>
  <si>
    <t>Sebastián Zapata</t>
  </si>
  <si>
    <t>Carlos Villa</t>
  </si>
  <si>
    <t>Kanel Martíz</t>
  </si>
  <si>
    <t>Juan José Gaviría</t>
  </si>
  <si>
    <t>Sebastián Sepúlveda</t>
  </si>
  <si>
    <t>Julián Hincapie</t>
  </si>
  <si>
    <t>Juan Vallejo</t>
  </si>
  <si>
    <t>Edwin García</t>
  </si>
  <si>
    <t>Brayan López</t>
  </si>
  <si>
    <t>Konami</t>
  </si>
  <si>
    <t>Rayos FC</t>
  </si>
  <si>
    <t>La Unión FC</t>
  </si>
  <si>
    <t>Los Aliados</t>
  </si>
  <si>
    <t>Atalanta</t>
  </si>
  <si>
    <t>La Nueva Era</t>
  </si>
  <si>
    <t>Deportivo Fénix</t>
  </si>
  <si>
    <t>Boca Juniors</t>
  </si>
  <si>
    <t>Los Amigos</t>
  </si>
  <si>
    <t>Amenadim</t>
  </si>
  <si>
    <t>Hojas Anchas</t>
  </si>
  <si>
    <t>Villanueva</t>
  </si>
  <si>
    <t>Ron Star</t>
  </si>
  <si>
    <t>La Amistad</t>
  </si>
  <si>
    <t>Valentín FC</t>
  </si>
  <si>
    <t>Brandon Zuleta</t>
  </si>
  <si>
    <t>Carlos Rodríguez</t>
  </si>
  <si>
    <t>José Barrios</t>
  </si>
  <si>
    <t>Juan José Jaramillo</t>
  </si>
  <si>
    <t>Santiago Cardona</t>
  </si>
  <si>
    <t>Sebastián Sepulveda</t>
  </si>
  <si>
    <t>Daniel Ossa</t>
  </si>
  <si>
    <t>Daniel Garcia</t>
  </si>
  <si>
    <t>Yehis Pacheco</t>
  </si>
  <si>
    <t>Vs</t>
  </si>
  <si>
    <t>Jhonatan Santiago</t>
  </si>
  <si>
    <t>Norbey Marín</t>
  </si>
  <si>
    <t>Matias Montoya</t>
  </si>
  <si>
    <t>Jeison Martínez</t>
  </si>
  <si>
    <t>Jorge Mayo</t>
  </si>
  <si>
    <t>Dandy Diaz</t>
  </si>
  <si>
    <t>Jesús Batista</t>
  </si>
  <si>
    <t>Alexander Jacob</t>
  </si>
  <si>
    <t>Daniel Zuleta</t>
  </si>
  <si>
    <t>Germán Arenas</t>
  </si>
  <si>
    <t>Juan Felipe Rincón</t>
  </si>
  <si>
    <t>Gustavo Moscoso</t>
  </si>
  <si>
    <t>Orlando Montiel</t>
  </si>
  <si>
    <t>Nelson  Plaza</t>
  </si>
  <si>
    <t>Silvio Celins</t>
  </si>
  <si>
    <t>Rayos FC 2</t>
  </si>
  <si>
    <t>Rayos FC 3</t>
  </si>
  <si>
    <t>Rayos FC 4</t>
  </si>
  <si>
    <t>Rayos FC 5</t>
  </si>
  <si>
    <t>Rayos FC 6</t>
  </si>
  <si>
    <t>Rayos FC 7</t>
  </si>
  <si>
    <t>Rayos FC 8</t>
  </si>
  <si>
    <t>Rayos FC 9</t>
  </si>
  <si>
    <t>Rayos FC 10</t>
  </si>
  <si>
    <t>Wilberto Gil</t>
  </si>
  <si>
    <t>David Ortega</t>
  </si>
  <si>
    <t>Duver Berrio</t>
  </si>
  <si>
    <t>Simón Flórez</t>
  </si>
  <si>
    <t>Lucas Zuluaga</t>
  </si>
  <si>
    <t>Arbenis Montoya</t>
  </si>
  <si>
    <t>Juan Ortíz</t>
  </si>
  <si>
    <t>Wilten Sira</t>
  </si>
  <si>
    <t>CD El Corozo</t>
  </si>
  <si>
    <t>16 °</t>
  </si>
  <si>
    <t>Jimy Manrique</t>
  </si>
  <si>
    <t>Elkín Osorio</t>
  </si>
  <si>
    <t>Carlos Andrés Berrio</t>
  </si>
  <si>
    <t>Juan Manuel Marulanda</t>
  </si>
  <si>
    <t>Jaidiver Montoya</t>
  </si>
  <si>
    <t>Santiago Piedrahíta</t>
  </si>
  <si>
    <t>Jorge Briceño</t>
  </si>
  <si>
    <t>Wilmar García</t>
  </si>
  <si>
    <t>Jorge Cassiani</t>
  </si>
  <si>
    <t>Stiven Londoño</t>
  </si>
  <si>
    <t>Brayan Salazar Gómez</t>
  </si>
  <si>
    <t>Antony Sánchez</t>
  </si>
  <si>
    <t>Argemiro Medina</t>
  </si>
  <si>
    <t>Jhon Restrepo</t>
  </si>
  <si>
    <t>Deiner Santana</t>
  </si>
  <si>
    <t>Luis Fernando Hernández</t>
  </si>
  <si>
    <t>Marcos Muñoz</t>
  </si>
  <si>
    <t>Santiago Cuervo</t>
  </si>
  <si>
    <t>José Andrés Cantero</t>
  </si>
  <si>
    <t>Luis Fernando Cabrera</t>
  </si>
  <si>
    <t>John Jairo Jiménez</t>
  </si>
  <si>
    <t>José Gregorio Hernández</t>
  </si>
  <si>
    <t>Edinsón Molina</t>
  </si>
  <si>
    <t xml:space="preserve">Jesús Ortega Jiménez </t>
  </si>
  <si>
    <t xml:space="preserve">Germán Primera </t>
  </si>
  <si>
    <t>Andry Jhoan Rivera</t>
  </si>
  <si>
    <t xml:space="preserve">Eduar Rodríguez </t>
  </si>
  <si>
    <t xml:space="preserve">Sergio Ruiz </t>
  </si>
  <si>
    <t>Segundo Polo</t>
  </si>
  <si>
    <t xml:space="preserve">Hilmer León </t>
  </si>
  <si>
    <t>Gregory Mora</t>
  </si>
  <si>
    <t>Ismael Martíz</t>
  </si>
  <si>
    <t>Jheison Cadena</t>
  </si>
  <si>
    <t>Derwin Villa</t>
  </si>
  <si>
    <t>Alejandro Silva</t>
  </si>
  <si>
    <t>Junior Manuel Benítez</t>
  </si>
  <si>
    <t>Jorge Andrés Castellar</t>
  </si>
  <si>
    <t>Elias Reyes</t>
  </si>
  <si>
    <t>Rafael Santos</t>
  </si>
  <si>
    <t xml:space="preserve">Jesus Colina </t>
  </si>
  <si>
    <t xml:space="preserve">David Delgado </t>
  </si>
  <si>
    <t xml:space="preserve">Shame García </t>
  </si>
  <si>
    <t>José Pedroso</t>
  </si>
  <si>
    <t xml:space="preserve">Manuel Arrieche </t>
  </si>
  <si>
    <t xml:space="preserve">Gustavo González </t>
  </si>
  <si>
    <t xml:space="preserve">Luis Rodríguez </t>
  </si>
  <si>
    <t>José Llorente</t>
  </si>
  <si>
    <t>Nilson Beltran</t>
  </si>
  <si>
    <t>Iván Betancourt</t>
  </si>
  <si>
    <t>Andy Urango Viloria</t>
  </si>
  <si>
    <t>Andrés Suárez Martínez</t>
  </si>
  <si>
    <t>Osneider Benítez Feria</t>
  </si>
  <si>
    <t>Carlos Suárez Martínez</t>
  </si>
  <si>
    <t>Germán Urango Suárez</t>
  </si>
  <si>
    <t>Manuel Carrascal Espitía</t>
  </si>
  <si>
    <t>Lucas Urango Viloria</t>
  </si>
  <si>
    <t>Aldrin Calderín Ruiz</t>
  </si>
  <si>
    <t>Antonio Urango Suárez</t>
  </si>
  <si>
    <t>Jesús de Hoyos</t>
  </si>
  <si>
    <t xml:space="preserve">Jhonys Chávez </t>
  </si>
  <si>
    <t xml:space="preserve">Nafer Narváez </t>
  </si>
  <si>
    <t xml:space="preserve">Jhonatan Carvajal </t>
  </si>
  <si>
    <t xml:space="preserve">Alejandro Ospina </t>
  </si>
  <si>
    <t xml:space="preserve">Wiliam López </t>
  </si>
  <si>
    <t xml:space="preserve">Luis Lima </t>
  </si>
  <si>
    <t xml:space="preserve">Yeiner Muñeton </t>
  </si>
  <si>
    <t>José Santoya</t>
  </si>
  <si>
    <t>Isaac Amarís</t>
  </si>
  <si>
    <t xml:space="preserve">Héctor Iván Castrillón Hernández </t>
  </si>
  <si>
    <t>Juan Felipe Castro</t>
  </si>
  <si>
    <t>Juan Felipe Hincapié</t>
  </si>
  <si>
    <t>Juan Felipe Ayala</t>
  </si>
  <si>
    <t xml:space="preserve">Andrés Cifuentes </t>
  </si>
  <si>
    <t xml:space="preserve">Jorge Estrada </t>
  </si>
  <si>
    <t xml:space="preserve">Miguel Ladino </t>
  </si>
  <si>
    <t xml:space="preserve">Fabián Serna </t>
  </si>
  <si>
    <t xml:space="preserve">Francisco Morales </t>
  </si>
  <si>
    <t>Julián Esteban Gil</t>
  </si>
  <si>
    <t xml:space="preserve">Jeison Londoño </t>
  </si>
  <si>
    <t xml:space="preserve">Julio Gaviria </t>
  </si>
  <si>
    <t>Juan Camilo Aritizabal</t>
  </si>
  <si>
    <t xml:space="preserve">Juan Pablo Valencia </t>
  </si>
  <si>
    <t>Juan de Dios Duque</t>
  </si>
  <si>
    <t>Jeferson Álvarez</t>
  </si>
  <si>
    <t xml:space="preserve">Jorge Iván Gaviria </t>
  </si>
  <si>
    <t>Cristián Alejandro Chavarría</t>
  </si>
  <si>
    <t>Steven Guevara</t>
  </si>
  <si>
    <t xml:space="preserve">Jhon Alexander Bejarano Gómez </t>
  </si>
  <si>
    <t>Sergio Reales Zambrano</t>
  </si>
  <si>
    <t>Jhoan Sebastián Ossa</t>
  </si>
  <si>
    <t xml:space="preserve">Miguel Ángel González </t>
  </si>
  <si>
    <t xml:space="preserve">Samuel Cardénas </t>
  </si>
  <si>
    <t xml:space="preserve">Daniel Ospina </t>
  </si>
  <si>
    <t xml:space="preserve">Jhonatan Andrés Morales </t>
  </si>
  <si>
    <t xml:space="preserve">José Joaquín García </t>
  </si>
  <si>
    <t xml:space="preserve">Cristian Alejandro Chavarría </t>
  </si>
  <si>
    <t xml:space="preserve">Arley Castrillón </t>
  </si>
  <si>
    <t xml:space="preserve">Wilson Arango </t>
  </si>
  <si>
    <t xml:space="preserve">Yeremi Sebastián Muñoz </t>
  </si>
  <si>
    <t>Sebastián Jiménez</t>
  </si>
  <si>
    <t>Alejandro Castro Quiroz</t>
  </si>
  <si>
    <t>Antony Pérez Osorio</t>
  </si>
  <si>
    <t xml:space="preserve">Deivid Jaramillo </t>
  </si>
  <si>
    <t xml:space="preserve">Jhonatan Jaramillo </t>
  </si>
  <si>
    <t xml:space="preserve">Miguel Ángel Patiño </t>
  </si>
  <si>
    <t xml:space="preserve">Juan David García </t>
  </si>
  <si>
    <t xml:space="preserve">Faver Jaramillo </t>
  </si>
  <si>
    <t xml:space="preserve">Jhon Jairo Zapata </t>
  </si>
  <si>
    <t>Omar Salazar</t>
  </si>
  <si>
    <t>Duvan Lara</t>
  </si>
  <si>
    <t>Robin Rodríguez</t>
  </si>
  <si>
    <t>Jaider Carvajal Ríos</t>
  </si>
  <si>
    <t xml:space="preserve">Gonzalo Carvajal </t>
  </si>
  <si>
    <t>Alejandro Acevedo</t>
  </si>
  <si>
    <t>Victor Sierra</t>
  </si>
  <si>
    <t>Juan Esteban Otalvaro</t>
  </si>
  <si>
    <t>Cristian Carvajal Ríos</t>
  </si>
  <si>
    <t xml:space="preserve">Raudi Villa </t>
  </si>
  <si>
    <t>Francisco Hiturriaga Gutiérrez</t>
  </si>
  <si>
    <t xml:space="preserve">José Mendoza </t>
  </si>
  <si>
    <t xml:space="preserve">José Cantero </t>
  </si>
  <si>
    <t xml:space="preserve">Joaquín Marín </t>
  </si>
  <si>
    <t>Eduardo Miche</t>
  </si>
  <si>
    <t xml:space="preserve">Dorlys Torres </t>
  </si>
  <si>
    <t xml:space="preserve">Héctor Gallego </t>
  </si>
  <si>
    <t xml:space="preserve">Amín Ortega </t>
  </si>
  <si>
    <t>Juan David García</t>
  </si>
  <si>
    <t xml:space="preserve">Samuel Isaza Hincapié </t>
  </si>
  <si>
    <t>Santiago Quiroz</t>
  </si>
  <si>
    <t>Gonzalo Carvajal</t>
  </si>
  <si>
    <t>Temístocles Polo</t>
  </si>
  <si>
    <t>Francico Montoya</t>
  </si>
  <si>
    <t>Jhoser Pastrana</t>
  </si>
  <si>
    <t>Michael Guerrero</t>
  </si>
  <si>
    <t>Leider Padilla</t>
  </si>
  <si>
    <t>Julio Medina</t>
  </si>
  <si>
    <t>Jhonatan Zuleta</t>
  </si>
  <si>
    <t>Leandro Oviedo</t>
  </si>
  <si>
    <t>Grupo A</t>
  </si>
  <si>
    <t>Grupo B</t>
  </si>
  <si>
    <t>John Walter Restrepo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</si>
</sst>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$&quot;* #,##0_-;\-&quot;$&quot;* #,##0_-;_-&quot;$&quot;* &quot;-&quot;_-;_-@_-"/>
  </numFmts>
  <fonts count="4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1"/>
    </font>
    <font>
      <sz val="12"/>
      <color theme="1"/>
      <name val="Cambria"/>
      <family val="1"/>
    </font>
    <font>
      <sz val="12"/>
      <color theme="0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b/>
      <sz val="14"/>
      <name val="Cambria"/>
      <family val="1"/>
    </font>
    <font>
      <sz val="8"/>
      <name val="Calibri"/>
      <family val="2"/>
      <scheme val="minor"/>
    </font>
    <font>
      <sz val="18"/>
      <color theme="1"/>
      <name val="Cambria"/>
      <family val="1"/>
    </font>
    <font>
      <b/>
      <sz val="10"/>
      <name val="Arial"/>
      <family val="2"/>
    </font>
    <font>
      <sz val="12"/>
      <color theme="0"/>
      <name val="Arial"/>
      <family val="2"/>
    </font>
    <font>
      <b/>
      <sz val="12"/>
      <name val="Cambria"/>
      <family val="1"/>
    </font>
    <font>
      <sz val="10"/>
      <color theme="1"/>
      <name val="Cambria"/>
      <family val="1"/>
    </font>
    <font>
      <sz val="14"/>
      <color theme="0"/>
      <name val="Cambria"/>
      <family val="1"/>
    </font>
    <font>
      <sz val="12"/>
      <name val="Cambria"/>
      <family val="1"/>
    </font>
    <font>
      <sz val="12"/>
      <color rgb="FFFF0000"/>
      <name val="Cambria"/>
      <family val="1"/>
    </font>
    <font>
      <b/>
      <sz val="12"/>
      <name val="Calibri Light"/>
      <family val="1"/>
      <scheme val="major"/>
    </font>
    <font>
      <sz val="12"/>
      <name val="Calibri Light"/>
      <family val="1"/>
      <scheme val="major"/>
    </font>
    <font>
      <sz val="8"/>
      <name val="Tahoma"/>
      <family val="2"/>
    </font>
    <font>
      <sz val="16"/>
      <color theme="0"/>
      <name val="Cambria"/>
      <family val="1"/>
    </font>
    <font>
      <sz val="14"/>
      <name val="Cambria"/>
      <family val="1"/>
    </font>
    <font>
      <sz val="18"/>
      <color theme="0"/>
      <name val="Cambria"/>
      <family val="1"/>
    </font>
    <font>
      <sz val="24"/>
      <color theme="0"/>
      <name val="Cambria"/>
      <family val="1"/>
    </font>
    <font>
      <sz val="22"/>
      <color theme="0"/>
      <name val="Cambria"/>
      <family val="1"/>
    </font>
    <font>
      <sz val="20"/>
      <color theme="0"/>
      <name val="Cambria"/>
      <family val="1"/>
    </font>
    <font>
      <sz val="14"/>
      <color theme="1"/>
      <name val="Calibri"/>
      <family val="2"/>
      <scheme val="minor"/>
    </font>
    <font>
      <sz val="26"/>
      <color theme="0"/>
      <name val="Cambria"/>
      <family val="1"/>
    </font>
    <font>
      <sz val="28"/>
      <color theme="0"/>
      <name val="Cambria"/>
      <family val="1"/>
    </font>
    <font>
      <sz val="11"/>
      <color rgb="FF000000"/>
      <name val="Calibri"/>
      <family val="2"/>
    </font>
    <font>
      <sz val="11"/>
      <color rgb="FFFF0000"/>
      <name val="Cambria"/>
      <family val="1"/>
    </font>
    <font>
      <b/>
      <sz val="13"/>
      <name val="Cambria"/>
      <family val="1"/>
    </font>
    <font>
      <b/>
      <sz val="16"/>
      <color theme="1"/>
      <name val="Cambria"/>
      <family val="1"/>
    </font>
    <font>
      <b/>
      <sz val="18"/>
      <color theme="1"/>
      <name val="Cambria"/>
      <family val="1"/>
    </font>
    <font>
      <sz val="16"/>
      <color theme="1"/>
      <name val="Cambria"/>
      <family val="1"/>
    </font>
    <font>
      <sz val="20"/>
      <color theme="1"/>
      <name val="Cambria"/>
      <family val="1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name val="Cambria"/>
      <family val="1"/>
    </font>
    <font>
      <sz val="11"/>
      <color rgb="FF616161"/>
      <name val="Segoe UI"/>
      <family val="2"/>
    </font>
    <font>
      <sz val="11"/>
      <color rgb="FF000000"/>
      <name val="Cambria"/>
      <family val="1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medium">
        <color indexed="23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23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23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0" fontId="20" fillId="0" borderId="0"/>
  </cellStyleXfs>
  <cellXfs count="231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4" fillId="6" borderId="0" xfId="0" applyFont="1" applyFill="1" applyAlignment="1">
      <alignment vertical="center"/>
    </xf>
    <xf numFmtId="164" fontId="2" fillId="0" borderId="2" xfId="2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8" borderId="4" xfId="0" applyFont="1" applyFill="1" applyBorder="1" applyAlignment="1" applyProtection="1">
      <alignment horizontal="center"/>
      <protection hidden="1"/>
    </xf>
    <xf numFmtId="0" fontId="8" fillId="8" borderId="4" xfId="0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3" xfId="0" applyFont="1" applyBorder="1"/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4" fillId="6" borderId="6" xfId="0" applyFont="1" applyFill="1" applyBorder="1" applyAlignment="1">
      <alignment vertical="center"/>
    </xf>
    <xf numFmtId="0" fontId="15" fillId="7" borderId="0" xfId="1" applyFont="1" applyFill="1" applyAlignment="1">
      <alignment horizontal="center" vertical="center"/>
    </xf>
    <xf numFmtId="0" fontId="13" fillId="8" borderId="33" xfId="0" applyFont="1" applyFill="1" applyBorder="1" applyAlignment="1" applyProtection="1">
      <alignment horizontal="center"/>
      <protection hidden="1"/>
    </xf>
    <xf numFmtId="0" fontId="13" fillId="8" borderId="4" xfId="0" applyFont="1" applyFill="1" applyBorder="1" applyAlignment="1" applyProtection="1">
      <alignment horizontal="center"/>
      <protection hidden="1"/>
    </xf>
    <xf numFmtId="0" fontId="11" fillId="8" borderId="4" xfId="0" applyFont="1" applyFill="1" applyBorder="1" applyAlignment="1" applyProtection="1">
      <alignment horizontal="center"/>
      <protection hidden="1"/>
    </xf>
    <xf numFmtId="0" fontId="11" fillId="8" borderId="4" xfId="0" applyFont="1" applyFill="1" applyBorder="1" applyAlignment="1" applyProtection="1">
      <alignment horizontal="left"/>
      <protection hidden="1"/>
    </xf>
    <xf numFmtId="0" fontId="3" fillId="0" borderId="8" xfId="0" applyFont="1" applyBorder="1" applyAlignment="1" applyProtection="1">
      <alignment horizontal="left" vertical="center"/>
      <protection hidden="1"/>
    </xf>
    <xf numFmtId="0" fontId="3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13" fillId="0" borderId="0" xfId="0" applyFont="1"/>
    <xf numFmtId="0" fontId="3" fillId="0" borderId="1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/>
    <xf numFmtId="0" fontId="3" fillId="0" borderId="21" xfId="0" applyFont="1" applyBorder="1"/>
    <xf numFmtId="14" fontId="14" fillId="0" borderId="0" xfId="0" applyNumberFormat="1" applyFont="1"/>
    <xf numFmtId="14" fontId="13" fillId="8" borderId="38" xfId="0" applyNumberFormat="1" applyFont="1" applyFill="1" applyBorder="1" applyAlignment="1" applyProtection="1">
      <alignment horizontal="center"/>
      <protection hidden="1"/>
    </xf>
    <xf numFmtId="14" fontId="3" fillId="0" borderId="0" xfId="0" applyNumberFormat="1" applyFont="1"/>
    <xf numFmtId="14" fontId="12" fillId="0" borderId="0" xfId="0" applyNumberFormat="1" applyFont="1" applyProtection="1">
      <protection hidden="1"/>
    </xf>
    <xf numFmtId="20" fontId="3" fillId="0" borderId="0" xfId="0" applyNumberFormat="1" applyFont="1"/>
    <xf numFmtId="20" fontId="13" fillId="8" borderId="4" xfId="0" applyNumberFormat="1" applyFont="1" applyFill="1" applyBorder="1" applyAlignment="1" applyProtection="1">
      <alignment horizontal="center"/>
      <protection hidden="1"/>
    </xf>
    <xf numFmtId="20" fontId="3" fillId="0" borderId="8" xfId="0" applyNumberFormat="1" applyFont="1" applyBorder="1" applyAlignment="1" applyProtection="1">
      <alignment horizontal="left" vertical="center"/>
      <protection hidden="1"/>
    </xf>
    <xf numFmtId="20" fontId="3" fillId="0" borderId="41" xfId="0" applyNumberFormat="1" applyFont="1" applyBorder="1" applyAlignment="1" applyProtection="1">
      <alignment horizontal="left" vertical="center"/>
      <protection hidden="1"/>
    </xf>
    <xf numFmtId="14" fontId="3" fillId="0" borderId="39" xfId="0" applyNumberFormat="1" applyFont="1" applyBorder="1" applyAlignment="1">
      <alignment horizontal="center" vertical="center"/>
    </xf>
    <xf numFmtId="14" fontId="3" fillId="0" borderId="40" xfId="0" applyNumberFormat="1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5" xfId="0" applyFont="1" applyBorder="1" applyAlignment="1">
      <alignment horizontal="left" vertical="center"/>
    </xf>
    <xf numFmtId="0" fontId="7" fillId="0" borderId="46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29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2" fillId="0" borderId="0" xfId="0" applyFont="1"/>
    <xf numFmtId="0" fontId="16" fillId="0" borderId="0" xfId="0" applyFont="1"/>
    <xf numFmtId="0" fontId="17" fillId="0" borderId="0" xfId="0" applyFont="1"/>
    <xf numFmtId="0" fontId="2" fillId="0" borderId="4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18" fillId="0" borderId="0" xfId="0" applyFont="1"/>
    <xf numFmtId="0" fontId="7" fillId="0" borderId="0" xfId="0" applyFont="1"/>
    <xf numFmtId="14" fontId="7" fillId="0" borderId="45" xfId="0" applyNumberFormat="1" applyFont="1" applyBorder="1" applyAlignment="1">
      <alignment horizontal="center" vertical="center"/>
    </xf>
    <xf numFmtId="0" fontId="20" fillId="0" borderId="0" xfId="3"/>
    <xf numFmtId="0" fontId="18" fillId="0" borderId="0" xfId="3" applyFont="1"/>
    <xf numFmtId="0" fontId="19" fillId="0" borderId="0" xfId="3" applyFont="1"/>
    <xf numFmtId="14" fontId="7" fillId="0" borderId="0" xfId="0" applyNumberFormat="1" applyFont="1" applyAlignment="1">
      <alignment horizontal="center" vertical="center"/>
    </xf>
    <xf numFmtId="0" fontId="3" fillId="0" borderId="49" xfId="0" applyFont="1" applyBorder="1"/>
    <xf numFmtId="0" fontId="2" fillId="0" borderId="5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21" fillId="9" borderId="0" xfId="1" applyFont="1" applyFill="1" applyAlignment="1">
      <alignment horizontal="center"/>
    </xf>
    <xf numFmtId="0" fontId="3" fillId="0" borderId="21" xfId="0" applyFont="1" applyBorder="1" applyAlignment="1">
      <alignment horizontal="right" vertical="center"/>
    </xf>
    <xf numFmtId="0" fontId="0" fillId="0" borderId="40" xfId="0" applyBorder="1"/>
    <xf numFmtId="0" fontId="0" fillId="0" borderId="39" xfId="0" applyBorder="1"/>
    <xf numFmtId="0" fontId="0" fillId="0" borderId="54" xfId="0" applyBorder="1"/>
    <xf numFmtId="0" fontId="0" fillId="0" borderId="55" xfId="0" applyBorder="1"/>
    <xf numFmtId="0" fontId="13" fillId="0" borderId="0" xfId="0" applyFont="1" applyAlignment="1">
      <alignment horizontal="center"/>
    </xf>
    <xf numFmtId="0" fontId="10" fillId="0" borderId="0" xfId="0" applyFont="1"/>
    <xf numFmtId="0" fontId="27" fillId="0" borderId="0" xfId="0" applyFont="1"/>
    <xf numFmtId="0" fontId="15" fillId="6" borderId="1" xfId="0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6" fillId="2" borderId="1" xfId="1" applyFont="1" applyFill="1" applyBorder="1" applyAlignment="1" applyProtection="1">
      <alignment vertical="center"/>
      <protection locked="0"/>
    </xf>
    <xf numFmtId="0" fontId="30" fillId="0" borderId="54" xfId="0" applyFont="1" applyBorder="1" applyAlignment="1">
      <alignment vertical="center"/>
    </xf>
    <xf numFmtId="0" fontId="30" fillId="0" borderId="3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31" fillId="0" borderId="10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1" fillId="0" borderId="24" xfId="0" applyFont="1" applyBorder="1" applyAlignment="1">
      <alignment vertical="center"/>
    </xf>
    <xf numFmtId="0" fontId="31" fillId="0" borderId="25" xfId="0" applyFont="1" applyBorder="1" applyAlignment="1">
      <alignment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31" fillId="0" borderId="21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8" fillId="0" borderId="40" xfId="0" applyFont="1" applyBorder="1"/>
    <xf numFmtId="0" fontId="38" fillId="0" borderId="39" xfId="0" applyFont="1" applyBorder="1"/>
    <xf numFmtId="0" fontId="38" fillId="0" borderId="54" xfId="0" applyFont="1" applyBorder="1"/>
    <xf numFmtId="0" fontId="39" fillId="0" borderId="32" xfId="0" applyFont="1" applyBorder="1" applyAlignment="1">
      <alignment vertical="center"/>
    </xf>
    <xf numFmtId="0" fontId="40" fillId="0" borderId="0" xfId="0" applyFont="1" applyAlignment="1">
      <alignment horizontal="left" vertical="center"/>
    </xf>
    <xf numFmtId="0" fontId="15" fillId="10" borderId="0" xfId="0" applyFont="1" applyFill="1" applyAlignment="1">
      <alignment horizontal="center" vertical="center"/>
    </xf>
    <xf numFmtId="0" fontId="41" fillId="0" borderId="0" xfId="0" applyFont="1"/>
    <xf numFmtId="0" fontId="31" fillId="0" borderId="2" xfId="0" applyFont="1" applyBorder="1" applyAlignment="1">
      <alignment horizontal="left" vertical="center"/>
    </xf>
    <xf numFmtId="0" fontId="42" fillId="0" borderId="2" xfId="0" applyFont="1" applyBorder="1"/>
    <xf numFmtId="0" fontId="43" fillId="0" borderId="57" xfId="0" applyFont="1" applyBorder="1"/>
    <xf numFmtId="0" fontId="7" fillId="0" borderId="0" xfId="0" applyFont="1" applyAlignment="1">
      <alignment vertical="center"/>
    </xf>
    <xf numFmtId="0" fontId="8" fillId="8" borderId="4" xfId="0" applyFont="1" applyFill="1" applyBorder="1" applyAlignment="1" applyProtection="1">
      <alignment horizontal="left" vertical="center"/>
      <protection hidden="1"/>
    </xf>
    <xf numFmtId="0" fontId="3" fillId="0" borderId="18" xfId="0" applyFont="1" applyBorder="1" applyAlignment="1">
      <alignment vertical="center"/>
    </xf>
    <xf numFmtId="0" fontId="3" fillId="0" borderId="50" xfId="0" applyFont="1" applyBorder="1" applyAlignment="1">
      <alignment vertical="center"/>
    </xf>
    <xf numFmtId="0" fontId="7" fillId="0" borderId="4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1" xfId="0" applyFont="1" applyBorder="1" applyAlignment="1" applyProtection="1">
      <alignment horizontal="center"/>
      <protection hidden="1"/>
    </xf>
    <xf numFmtId="0" fontId="2" fillId="0" borderId="16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textRotation="90"/>
    </xf>
    <xf numFmtId="0" fontId="2" fillId="0" borderId="28" xfId="0" applyFont="1" applyBorder="1" applyAlignment="1">
      <alignment horizontal="center" vertical="center" textRotation="90"/>
    </xf>
    <xf numFmtId="0" fontId="2" fillId="0" borderId="30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 vertical="center" textRotation="90"/>
    </xf>
    <xf numFmtId="0" fontId="2" fillId="0" borderId="31" xfId="0" applyFont="1" applyBorder="1" applyAlignment="1">
      <alignment horizontal="center" vertical="center" textRotation="90"/>
    </xf>
    <xf numFmtId="0" fontId="2" fillId="0" borderId="27" xfId="0" applyFont="1" applyBorder="1" applyAlignment="1">
      <alignment horizontal="center" vertical="center" textRotation="90"/>
    </xf>
    <xf numFmtId="0" fontId="2" fillId="0" borderId="29" xfId="0" applyFont="1" applyBorder="1" applyAlignment="1">
      <alignment horizontal="center" vertical="center" textRotation="90"/>
    </xf>
    <xf numFmtId="0" fontId="2" fillId="0" borderId="32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16" xfId="0" applyNumberFormat="1" applyFont="1" applyBorder="1" applyAlignment="1">
      <alignment horizontal="center" vertical="center" wrapText="1"/>
    </xf>
    <xf numFmtId="14" fontId="2" fillId="0" borderId="12" xfId="0" applyNumberFormat="1" applyFont="1" applyBorder="1" applyAlignment="1">
      <alignment horizontal="center" vertical="center" wrapText="1"/>
    </xf>
    <xf numFmtId="14" fontId="2" fillId="0" borderId="17" xfId="0" applyNumberFormat="1" applyFont="1" applyBorder="1" applyAlignment="1">
      <alignment horizontal="center" vertical="center" wrapText="1"/>
    </xf>
    <xf numFmtId="14" fontId="14" fillId="0" borderId="16" xfId="0" applyNumberFormat="1" applyFont="1" applyBorder="1" applyAlignment="1">
      <alignment horizontal="center" vertical="center" wrapText="1"/>
    </xf>
    <xf numFmtId="14" fontId="14" fillId="0" borderId="12" xfId="0" applyNumberFormat="1" applyFont="1" applyBorder="1" applyAlignment="1">
      <alignment horizontal="center" vertical="center" wrapText="1"/>
    </xf>
    <xf numFmtId="14" fontId="14" fillId="0" borderId="17" xfId="0" applyNumberFormat="1" applyFont="1" applyBorder="1" applyAlignment="1">
      <alignment horizontal="center" vertical="center" wrapText="1"/>
    </xf>
    <xf numFmtId="0" fontId="35" fillId="0" borderId="6" xfId="1" applyFont="1" applyBorder="1" applyAlignment="1">
      <alignment horizontal="center" vertical="center" textRotation="90"/>
    </xf>
    <xf numFmtId="0" fontId="35" fillId="0" borderId="8" xfId="1" applyFont="1" applyBorder="1" applyAlignment="1">
      <alignment horizontal="center" vertical="center" textRotation="90"/>
    </xf>
    <xf numFmtId="0" fontId="28" fillId="3" borderId="0" xfId="1" applyFont="1" applyFill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36" fillId="0" borderId="6" xfId="1" applyFont="1" applyBorder="1" applyAlignment="1">
      <alignment horizontal="center" vertical="center" textRotation="90"/>
    </xf>
    <xf numFmtId="0" fontId="36" fillId="0" borderId="8" xfId="1" applyFont="1" applyBorder="1" applyAlignment="1">
      <alignment horizontal="center" vertical="center" textRotation="90"/>
    </xf>
    <xf numFmtId="0" fontId="25" fillId="3" borderId="0" xfId="1" applyFont="1" applyFill="1" applyAlignment="1">
      <alignment horizontal="center" vertical="center" wrapText="1"/>
    </xf>
    <xf numFmtId="0" fontId="31" fillId="0" borderId="5" xfId="0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24" fillId="3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34" fillId="0" borderId="6" xfId="1" applyFont="1" applyBorder="1" applyAlignment="1">
      <alignment horizontal="center" vertical="center" textRotation="90"/>
    </xf>
    <xf numFmtId="0" fontId="34" fillId="0" borderId="8" xfId="1" applyFont="1" applyBorder="1" applyAlignment="1">
      <alignment horizontal="center" vertical="center" textRotation="90"/>
    </xf>
    <xf numFmtId="0" fontId="26" fillId="3" borderId="0" xfId="1" applyFont="1" applyFill="1" applyAlignment="1">
      <alignment horizontal="center" vertical="center" wrapText="1"/>
    </xf>
    <xf numFmtId="0" fontId="33" fillId="0" borderId="6" xfId="1" applyFont="1" applyBorder="1" applyAlignment="1">
      <alignment horizontal="center" vertical="center" textRotation="90"/>
    </xf>
    <xf numFmtId="0" fontId="33" fillId="0" borderId="8" xfId="1" applyFont="1" applyBorder="1" applyAlignment="1">
      <alignment horizontal="center" vertical="center" textRotation="90"/>
    </xf>
    <xf numFmtId="0" fontId="23" fillId="3" borderId="0" xfId="1" applyFont="1" applyFill="1" applyAlignment="1">
      <alignment horizontal="center" vertical="center" wrapText="1"/>
    </xf>
    <xf numFmtId="0" fontId="37" fillId="0" borderId="6" xfId="1" applyFont="1" applyBorder="1" applyAlignment="1">
      <alignment horizontal="center" vertical="center" textRotation="90"/>
    </xf>
    <xf numFmtId="0" fontId="37" fillId="0" borderId="8" xfId="1" applyFont="1" applyBorder="1" applyAlignment="1">
      <alignment horizontal="center" vertical="center" textRotation="90"/>
    </xf>
    <xf numFmtId="0" fontId="29" fillId="3" borderId="0" xfId="1" applyFont="1" applyFill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4" fontId="13" fillId="0" borderId="0" xfId="0" applyNumberFormat="1" applyFont="1" applyAlignment="1">
      <alignment horizontal="center"/>
    </xf>
    <xf numFmtId="0" fontId="3" fillId="0" borderId="3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21" fillId="9" borderId="0" xfId="1" applyNumberFormat="1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3" fillId="0" borderId="32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textRotation="90"/>
    </xf>
    <xf numFmtId="0" fontId="4" fillId="3" borderId="0" xfId="1" applyFont="1" applyFill="1" applyAlignment="1">
      <alignment horizontal="center" vertical="center"/>
    </xf>
    <xf numFmtId="0" fontId="2" fillId="0" borderId="16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</cellXfs>
  <cellStyles count="4">
    <cellStyle name="Hipervínculo" xfId="1" builtinId="8"/>
    <cellStyle name="Moneda [0]" xfId="2" builtinId="7"/>
    <cellStyle name="Normal" xfId="0" builtinId="0"/>
    <cellStyle name="Normal 2" xfId="3" xr:uid="{00000000-0005-0000-0000-000003000000}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</dxfs>
  <tableStyles count="1" defaultTableStyle="TableStyleMedium2" defaultPivotStyle="PivotStyleLight16">
    <tableStyle name="Invisible" pivot="0" table="0" count="0" xr9:uid="{B105AA61-2575-41A4-8137-46C203A7725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Equipo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157941</xdr:colOff>
      <xdr:row>14</xdr:row>
      <xdr:rowOff>96463</xdr:rowOff>
    </xdr:from>
    <xdr:to>
      <xdr:col>14</xdr:col>
      <xdr:colOff>628476</xdr:colOff>
      <xdr:row>16</xdr:row>
      <xdr:rowOff>52129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9CD7CA-B17E-42BD-B297-5AFDA99BA2AD}"/>
            </a:ext>
          </a:extLst>
        </xdr:cNvPr>
        <xdr:cNvSpPr/>
      </xdr:nvSpPr>
      <xdr:spPr>
        <a:xfrm>
          <a:off x="5067646" y="3144463"/>
          <a:ext cx="2410171" cy="40593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chemeClr val="tx1"/>
              </a:solidFill>
              <a:latin typeface="Cambria" panose="02040503050406030204" pitchFamily="18" charset="0"/>
            </a:rPr>
            <a:t>Menú</a:t>
          </a:r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</v>
    <v>8</v>
    <v>0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19"/>
  <sheetViews>
    <sheetView zoomScale="125" zoomScaleNormal="125" workbookViewId="0">
      <selection activeCell="B6" sqref="B6"/>
    </sheetView>
  </sheetViews>
  <sheetFormatPr baseColWidth="10" defaultRowHeight="12.95" customHeight="1" x14ac:dyDescent="0.3"/>
  <cols>
    <col min="1" max="1" width="11.42578125" style="97"/>
    <col min="2" max="2" width="30.28515625" style="97" customWidth="1"/>
    <col min="3" max="3" width="7" style="97" customWidth="1"/>
    <col min="4" max="4" width="28.7109375" style="97" customWidth="1"/>
    <col min="5" max="16384" width="11.42578125" style="97"/>
  </cols>
  <sheetData>
    <row r="1" spans="1:6" ht="21.75" customHeight="1" x14ac:dyDescent="0.3">
      <c r="B1" s="96" t="s">
        <v>1</v>
      </c>
    </row>
    <row r="2" spans="1:6" ht="14.1" customHeight="1" x14ac:dyDescent="0.3">
      <c r="B2" s="98" t="s">
        <v>0</v>
      </c>
      <c r="D2" s="98" t="s">
        <v>68</v>
      </c>
    </row>
    <row r="3" spans="1:6" ht="14.1" customHeight="1" x14ac:dyDescent="0.3">
      <c r="A3" s="99"/>
      <c r="B3" s="100" t="s">
        <v>333</v>
      </c>
      <c r="C3" s="99"/>
      <c r="D3" s="100" t="s">
        <v>68</v>
      </c>
      <c r="F3" s="122"/>
    </row>
    <row r="4" spans="1:6" ht="14.1" customHeight="1" x14ac:dyDescent="0.3">
      <c r="A4" s="99"/>
      <c r="B4" s="100" t="s">
        <v>330</v>
      </c>
      <c r="C4" s="99"/>
      <c r="D4" s="100" t="s">
        <v>103</v>
      </c>
      <c r="F4" s="122"/>
    </row>
    <row r="5" spans="1:6" ht="14.1" customHeight="1" x14ac:dyDescent="0.3">
      <c r="A5" s="99"/>
      <c r="B5" s="100" t="s">
        <v>338</v>
      </c>
      <c r="C5" s="99"/>
      <c r="D5" s="100" t="s">
        <v>230</v>
      </c>
      <c r="F5" s="122"/>
    </row>
    <row r="6" spans="1:6" ht="14.1" customHeight="1" x14ac:dyDescent="0.3">
      <c r="A6" s="99"/>
      <c r="B6" s="100" t="s">
        <v>325</v>
      </c>
      <c r="C6" s="99"/>
      <c r="D6" s="100" t="s">
        <v>244</v>
      </c>
      <c r="F6" s="122"/>
    </row>
    <row r="7" spans="1:6" ht="14.1" customHeight="1" x14ac:dyDescent="0.3">
      <c r="A7" s="99"/>
      <c r="B7" s="100" t="s">
        <v>336</v>
      </c>
      <c r="C7" s="99"/>
      <c r="D7" s="100"/>
      <c r="F7" s="122"/>
    </row>
    <row r="8" spans="1:6" ht="14.1" customHeight="1" x14ac:dyDescent="0.3">
      <c r="A8" s="99"/>
      <c r="B8" s="100" t="s">
        <v>337</v>
      </c>
    </row>
    <row r="9" spans="1:6" ht="14.1" customHeight="1" x14ac:dyDescent="0.3">
      <c r="A9" s="99"/>
      <c r="B9" s="100" t="s">
        <v>334</v>
      </c>
    </row>
    <row r="10" spans="1:6" ht="14.1" customHeight="1" x14ac:dyDescent="0.3">
      <c r="A10" s="99"/>
      <c r="B10" s="100" t="s">
        <v>335</v>
      </c>
      <c r="F10" s="122"/>
    </row>
    <row r="11" spans="1:6" ht="14.1" customHeight="1" x14ac:dyDescent="0.3">
      <c r="A11" s="99"/>
      <c r="B11" s="100" t="s">
        <v>339</v>
      </c>
    </row>
    <row r="12" spans="1:6" ht="14.1" customHeight="1" x14ac:dyDescent="0.3">
      <c r="A12" s="99"/>
      <c r="B12" s="100" t="s">
        <v>332</v>
      </c>
      <c r="F12" s="122"/>
    </row>
    <row r="13" spans="1:6" ht="14.1" customHeight="1" x14ac:dyDescent="0.3">
      <c r="A13" s="99"/>
      <c r="B13" s="100" t="s">
        <v>331</v>
      </c>
    </row>
    <row r="14" spans="1:6" ht="14.1" customHeight="1" x14ac:dyDescent="0.3">
      <c r="A14" s="99"/>
      <c r="B14" s="100" t="s">
        <v>326</v>
      </c>
    </row>
    <row r="15" spans="1:6" ht="14.1" customHeight="1" x14ac:dyDescent="0.3">
      <c r="A15" s="99"/>
      <c r="B15" s="100" t="s">
        <v>327</v>
      </c>
      <c r="F15" s="122"/>
    </row>
    <row r="16" spans="1:6" ht="14.1" customHeight="1" x14ac:dyDescent="0.3">
      <c r="A16" s="99"/>
      <c r="B16" s="100" t="s">
        <v>328</v>
      </c>
      <c r="F16" s="122"/>
    </row>
    <row r="17" spans="1:6" ht="14.1" customHeight="1" x14ac:dyDescent="0.3">
      <c r="A17" s="99"/>
      <c r="B17" s="100" t="s">
        <v>329</v>
      </c>
      <c r="F17" s="122"/>
    </row>
    <row r="18" spans="1:6" ht="14.1" customHeight="1" x14ac:dyDescent="0.3">
      <c r="A18" s="99"/>
      <c r="B18" s="100" t="s">
        <v>382</v>
      </c>
      <c r="F18" s="122"/>
    </row>
    <row r="19" spans="1:6" ht="14.1" customHeight="1" x14ac:dyDescent="0.3">
      <c r="A19" s="99"/>
      <c r="B19" s="100"/>
    </row>
  </sheetData>
  <protectedRanges>
    <protectedRange sqref="B3:B18" name="PlayerNames" securityDescriptor="O:WDG:WDD:(A;;CC;;;WD)"/>
  </protectedRanges>
  <phoneticPr fontId="9" type="noConversion"/>
  <hyperlinks>
    <hyperlink ref="D4" location="Jugadores!A1" display="Jugadores" xr:uid="{00000000-0004-0000-0000-000000000000}"/>
    <hyperlink ref="D5" location="Resultados!A1" display="Resultados" xr:uid="{00000000-0004-0000-0000-000001000000}"/>
    <hyperlink ref="D3" location="Tablas!A1" display="Tablas" xr:uid="{00000000-0004-0000-0000-000002000000}"/>
    <hyperlink ref="D6" location="Fixture!A1" display="Fixture" xr:uid="{00000000-0004-0000-0000-000012000000}"/>
    <hyperlink ref="B17" location="Atalanta!A1" display="Atalanta" xr:uid="{399B76B6-E264-4F3E-AEE4-317CFC8DD762}"/>
    <hyperlink ref="B16" location="'Los Aliados'!A1" display="Los Aliados" xr:uid="{1C6E8CF7-66D2-46CF-94B3-EF6B84B73654}"/>
    <hyperlink ref="B15" location="'La Unión FC'!A1" display="La Unión FC" xr:uid="{D42B7F48-0303-4D19-8AA4-3031EC1397FA}"/>
    <hyperlink ref="B14" location="'Rayos FC'!A1" display="Rayos FC" xr:uid="{EB20491B-3731-4448-8862-01F9DBEC880B}"/>
    <hyperlink ref="B13" location="'Deportivo Fénix'!A1" display="Deportivo Fénix " xr:uid="{6F001251-C143-4D1E-A1F9-AA6CE9F3FFA7}"/>
    <hyperlink ref="B12" location="'Boca Juniors'!A1" display="Boca Juniors " xr:uid="{ADC82E58-30C4-445B-9C39-B137493479C0}"/>
    <hyperlink ref="B11" location="'Valentín FC'!A1" display="Valentín FC" xr:uid="{91E987DA-E6F6-43B6-BD86-CE4E469D27AE}"/>
    <hyperlink ref="B10" location="'Hojas Anchas'!A1" display="Hojas Anchas " xr:uid="{43280119-BD92-4521-85AF-287428643483}"/>
    <hyperlink ref="B9" location="Amenadim!A1" display="Amenadim " xr:uid="{E74AD92B-0EFC-44D5-A39E-3408C2C84195}"/>
    <hyperlink ref="B8" location="'Ron Star'!A1" display="Ron Star " xr:uid="{2846C1BE-3A04-4157-A854-2F5C81CABEE4}"/>
    <hyperlink ref="B7" location="Villanueva!A1" display="Villanueva " xr:uid="{19C113FB-9C27-4F65-BF31-DDD1E06240B7}"/>
    <hyperlink ref="B6" location="Konami!A1" display="Konami" xr:uid="{39D51FB9-7805-43AA-87E3-BD44F6658F9A}"/>
    <hyperlink ref="B5" location="'La Amistad'!A1" display="La Amistad " xr:uid="{7855E71F-EFCC-418C-BC1A-345897128406}"/>
    <hyperlink ref="B4" location="'La Nueva Era'!A1" display="La Nueva Era " xr:uid="{CC7A8BD1-85D3-4F25-9367-1C8A9B0EE6CC}"/>
    <hyperlink ref="B3" location="'Los Amigos'!A1" display="Los Amigos " xr:uid="{7B3E4A7E-9BFE-4B68-918C-69E556E8C872}"/>
    <hyperlink ref="B18" location="'CD El Corozo'!A1" display="CD El Corozo" xr:uid="{943F5CD0-760D-47C8-90E6-FEA1EA1C74DA}"/>
  </hyperlink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0"/>
  <sheetViews>
    <sheetView workbookViewId="0">
      <pane ySplit="1" topLeftCell="A161" activePane="bottomLeft" state="frozen"/>
      <selection pane="bottomLeft"/>
    </sheetView>
  </sheetViews>
  <sheetFormatPr baseColWidth="10" defaultColWidth="11.5703125" defaultRowHeight="18" x14ac:dyDescent="0.25"/>
  <cols>
    <col min="1" max="1" width="11.5703125" style="69"/>
    <col min="2" max="2" width="11.7109375" style="69" bestFit="1" customWidth="1"/>
    <col min="3" max="3" width="16.85546875" style="76" customWidth="1"/>
    <col min="4" max="4" width="22.140625" style="69" bestFit="1" customWidth="1"/>
    <col min="5" max="5" width="4.7109375" style="69" bestFit="1" customWidth="1"/>
    <col min="6" max="6" width="22.140625" style="69" bestFit="1" customWidth="1"/>
    <col min="7" max="7" width="2.85546875" bestFit="1" customWidth="1"/>
    <col min="8" max="8" width="2.7109375" style="69" bestFit="1" customWidth="1"/>
    <col min="9" max="9" width="3.42578125" style="69" bestFit="1" customWidth="1"/>
    <col min="10" max="16384" width="11.5703125" style="69"/>
  </cols>
  <sheetData>
    <row r="1" spans="1:9" ht="23.45" customHeight="1" thickBot="1" x14ac:dyDescent="0.35">
      <c r="A1" s="89" t="s">
        <v>243</v>
      </c>
      <c r="E1" s="16"/>
      <c r="F1" s="16"/>
      <c r="G1" s="79"/>
      <c r="H1" s="46"/>
    </row>
    <row r="2" spans="1:9" x14ac:dyDescent="0.25">
      <c r="A2" s="134" t="s">
        <v>5</v>
      </c>
      <c r="B2" s="62">
        <v>1</v>
      </c>
      <c r="C2" s="77">
        <v>45676</v>
      </c>
      <c r="D2" s="63" t="s">
        <v>329</v>
      </c>
      <c r="E2" s="63" t="s">
        <v>349</v>
      </c>
      <c r="F2" s="64" t="s">
        <v>338</v>
      </c>
    </row>
    <row r="3" spans="1:9" x14ac:dyDescent="0.25">
      <c r="A3" s="135"/>
      <c r="B3" s="65">
        <v>2</v>
      </c>
      <c r="C3" s="81">
        <v>45676</v>
      </c>
      <c r="D3" s="16" t="s">
        <v>326</v>
      </c>
      <c r="E3" s="16" t="s">
        <v>349</v>
      </c>
      <c r="F3" s="66" t="s">
        <v>337</v>
      </c>
    </row>
    <row r="4" spans="1:9" x14ac:dyDescent="0.25">
      <c r="A4" s="135"/>
      <c r="B4" s="65">
        <v>3</v>
      </c>
      <c r="C4" s="81">
        <v>45676</v>
      </c>
      <c r="D4" s="16" t="s">
        <v>331</v>
      </c>
      <c r="E4" s="16" t="s">
        <v>349</v>
      </c>
      <c r="F4" s="66" t="s">
        <v>334</v>
      </c>
    </row>
    <row r="5" spans="1:9" x14ac:dyDescent="0.25">
      <c r="A5" s="135"/>
      <c r="B5" s="65">
        <v>4</v>
      </c>
      <c r="C5" s="81">
        <v>45676</v>
      </c>
      <c r="D5" s="16" t="s">
        <v>330</v>
      </c>
      <c r="E5" s="16" t="s">
        <v>349</v>
      </c>
      <c r="F5" s="66" t="s">
        <v>333</v>
      </c>
      <c r="I5" s="80"/>
    </row>
    <row r="6" spans="1:9" x14ac:dyDescent="0.25">
      <c r="A6" s="135"/>
      <c r="B6" s="65">
        <v>5</v>
      </c>
      <c r="C6" s="81">
        <v>45676</v>
      </c>
      <c r="D6" s="16" t="s">
        <v>332</v>
      </c>
      <c r="E6" s="16" t="s">
        <v>349</v>
      </c>
      <c r="F6" s="66" t="s">
        <v>335</v>
      </c>
      <c r="H6" s="80"/>
      <c r="I6" s="80"/>
    </row>
    <row r="7" spans="1:9" x14ac:dyDescent="0.25">
      <c r="A7" s="135"/>
      <c r="B7" s="65">
        <v>6</v>
      </c>
      <c r="C7" s="81">
        <v>45676</v>
      </c>
      <c r="D7" s="16" t="s">
        <v>327</v>
      </c>
      <c r="E7" s="16" t="s">
        <v>349</v>
      </c>
      <c r="F7" s="66" t="s">
        <v>336</v>
      </c>
      <c r="G7" s="80"/>
      <c r="H7" s="80"/>
      <c r="I7" s="80"/>
    </row>
    <row r="8" spans="1:9" x14ac:dyDescent="0.25">
      <c r="A8" s="135"/>
      <c r="B8" s="65">
        <v>7</v>
      </c>
      <c r="C8" s="81">
        <v>45809</v>
      </c>
      <c r="D8" s="16" t="s">
        <v>339</v>
      </c>
      <c r="E8" s="16" t="s">
        <v>349</v>
      </c>
      <c r="F8" s="66" t="s">
        <v>328</v>
      </c>
      <c r="G8" s="80"/>
      <c r="H8" s="80"/>
      <c r="I8" s="80"/>
    </row>
    <row r="9" spans="1:9" ht="18.75" thickBot="1" x14ac:dyDescent="0.3">
      <c r="A9" s="136"/>
      <c r="B9" s="65">
        <v>8</v>
      </c>
      <c r="C9" s="81">
        <v>45809</v>
      </c>
      <c r="D9" s="67" t="s">
        <v>382</v>
      </c>
      <c r="E9" s="67" t="s">
        <v>349</v>
      </c>
      <c r="F9" s="68" t="s">
        <v>325</v>
      </c>
      <c r="G9" s="80"/>
      <c r="H9" s="80"/>
      <c r="I9" s="80"/>
    </row>
    <row r="10" spans="1:9" x14ac:dyDescent="0.25">
      <c r="A10" s="134" t="s">
        <v>6</v>
      </c>
      <c r="B10" s="62">
        <v>9</v>
      </c>
      <c r="C10" s="77">
        <v>45683</v>
      </c>
      <c r="D10" s="63" t="s">
        <v>329</v>
      </c>
      <c r="E10" s="63" t="s">
        <v>349</v>
      </c>
      <c r="F10" s="64" t="s">
        <v>325</v>
      </c>
      <c r="G10" s="80"/>
      <c r="H10" s="80"/>
      <c r="I10" s="80"/>
    </row>
    <row r="11" spans="1:9" x14ac:dyDescent="0.25">
      <c r="A11" s="135"/>
      <c r="B11" s="65">
        <v>10</v>
      </c>
      <c r="C11" s="81">
        <v>45683</v>
      </c>
      <c r="D11" s="16" t="s">
        <v>339</v>
      </c>
      <c r="E11" s="16" t="s">
        <v>349</v>
      </c>
      <c r="F11" s="66" t="s">
        <v>330</v>
      </c>
      <c r="G11" s="80"/>
      <c r="H11" s="80"/>
      <c r="I11" s="80"/>
    </row>
    <row r="12" spans="1:9" x14ac:dyDescent="0.25">
      <c r="A12" s="135"/>
      <c r="B12" s="65">
        <v>11</v>
      </c>
      <c r="C12" s="81">
        <v>45683</v>
      </c>
      <c r="D12" s="16" t="s">
        <v>331</v>
      </c>
      <c r="E12" s="16" t="s">
        <v>349</v>
      </c>
      <c r="F12" s="66" t="s">
        <v>335</v>
      </c>
      <c r="G12" s="80"/>
      <c r="H12" s="80"/>
      <c r="I12" s="80"/>
    </row>
    <row r="13" spans="1:9" x14ac:dyDescent="0.25">
      <c r="A13" s="135"/>
      <c r="B13" s="65">
        <v>12</v>
      </c>
      <c r="C13" s="81">
        <v>45683</v>
      </c>
      <c r="D13" s="16" t="s">
        <v>326</v>
      </c>
      <c r="E13" s="16" t="s">
        <v>349</v>
      </c>
      <c r="F13" s="66" t="s">
        <v>334</v>
      </c>
      <c r="G13" s="80"/>
      <c r="H13" s="80"/>
      <c r="I13" s="80"/>
    </row>
    <row r="14" spans="1:9" x14ac:dyDescent="0.25">
      <c r="A14" s="135"/>
      <c r="B14" s="65">
        <v>13</v>
      </c>
      <c r="C14" s="81">
        <v>45683</v>
      </c>
      <c r="D14" s="16" t="s">
        <v>327</v>
      </c>
      <c r="E14" s="16" t="s">
        <v>349</v>
      </c>
      <c r="F14" s="66" t="s">
        <v>337</v>
      </c>
      <c r="G14" s="80"/>
      <c r="H14" s="80"/>
      <c r="I14" s="80"/>
    </row>
    <row r="15" spans="1:9" x14ac:dyDescent="0.25">
      <c r="A15" s="135"/>
      <c r="B15" s="65">
        <v>14</v>
      </c>
      <c r="C15" s="81">
        <v>45683</v>
      </c>
      <c r="D15" s="16" t="s">
        <v>338</v>
      </c>
      <c r="E15" s="16" t="s">
        <v>349</v>
      </c>
      <c r="F15" s="66" t="s">
        <v>333</v>
      </c>
      <c r="G15" s="80"/>
      <c r="H15" s="80"/>
      <c r="I15" s="80"/>
    </row>
    <row r="16" spans="1:9" x14ac:dyDescent="0.25">
      <c r="A16" s="135"/>
      <c r="B16" s="65">
        <v>15</v>
      </c>
      <c r="C16" s="81">
        <v>45683</v>
      </c>
      <c r="D16" s="16" t="s">
        <v>332</v>
      </c>
      <c r="E16" s="16" t="s">
        <v>349</v>
      </c>
      <c r="F16" s="66" t="s">
        <v>328</v>
      </c>
      <c r="G16" s="80"/>
      <c r="H16" s="80"/>
      <c r="I16" s="80"/>
    </row>
    <row r="17" spans="1:10" ht="18.75" thickBot="1" x14ac:dyDescent="0.3">
      <c r="A17" s="136"/>
      <c r="B17" s="65">
        <v>16</v>
      </c>
      <c r="C17" s="81">
        <v>45704</v>
      </c>
      <c r="D17" s="67" t="s">
        <v>382</v>
      </c>
      <c r="E17" s="67" t="s">
        <v>349</v>
      </c>
      <c r="F17" s="68" t="s">
        <v>336</v>
      </c>
      <c r="G17" s="80"/>
      <c r="H17" s="75"/>
    </row>
    <row r="18" spans="1:10" x14ac:dyDescent="0.25">
      <c r="A18" s="134" t="s">
        <v>7</v>
      </c>
      <c r="B18" s="62">
        <v>17</v>
      </c>
      <c r="C18" s="77">
        <v>45690</v>
      </c>
      <c r="D18" s="63" t="s">
        <v>327</v>
      </c>
      <c r="E18" s="63" t="s">
        <v>349</v>
      </c>
      <c r="F18" s="64" t="s">
        <v>338</v>
      </c>
      <c r="G18" s="70"/>
      <c r="H18" s="70"/>
      <c r="I18" s="70"/>
      <c r="J18" s="70"/>
    </row>
    <row r="19" spans="1:10" x14ac:dyDescent="0.25">
      <c r="A19" s="135"/>
      <c r="B19" s="65">
        <v>18</v>
      </c>
      <c r="C19" s="81">
        <v>45690</v>
      </c>
      <c r="D19" s="16" t="s">
        <v>328</v>
      </c>
      <c r="E19" s="16" t="s">
        <v>349</v>
      </c>
      <c r="F19" s="66" t="s">
        <v>334</v>
      </c>
      <c r="J19" s="70"/>
    </row>
    <row r="20" spans="1:10" x14ac:dyDescent="0.25">
      <c r="A20" s="135"/>
      <c r="B20" s="65">
        <v>19</v>
      </c>
      <c r="C20" s="81">
        <v>45690</v>
      </c>
      <c r="D20" s="16" t="s">
        <v>339</v>
      </c>
      <c r="E20" s="16" t="s">
        <v>349</v>
      </c>
      <c r="F20" s="66" t="s">
        <v>335</v>
      </c>
      <c r="J20" s="70"/>
    </row>
    <row r="21" spans="1:10" x14ac:dyDescent="0.25">
      <c r="A21" s="135"/>
      <c r="B21" s="65">
        <v>20</v>
      </c>
      <c r="C21" s="81">
        <v>45690</v>
      </c>
      <c r="D21" s="16" t="s">
        <v>332</v>
      </c>
      <c r="E21" s="16" t="s">
        <v>349</v>
      </c>
      <c r="F21" s="66" t="s">
        <v>337</v>
      </c>
      <c r="J21" s="70"/>
    </row>
    <row r="22" spans="1:10" x14ac:dyDescent="0.25">
      <c r="A22" s="135"/>
      <c r="B22" s="65">
        <v>21</v>
      </c>
      <c r="C22" s="81">
        <v>45690</v>
      </c>
      <c r="D22" s="16" t="s">
        <v>329</v>
      </c>
      <c r="E22" s="16" t="s">
        <v>349</v>
      </c>
      <c r="F22" s="66" t="s">
        <v>333</v>
      </c>
      <c r="J22" s="70"/>
    </row>
    <row r="23" spans="1:10" x14ac:dyDescent="0.25">
      <c r="A23" s="135"/>
      <c r="B23" s="65">
        <v>22</v>
      </c>
      <c r="C23" s="81">
        <v>45690</v>
      </c>
      <c r="D23" s="16" t="s">
        <v>326</v>
      </c>
      <c r="E23" s="16" t="s">
        <v>349</v>
      </c>
      <c r="F23" s="66" t="s">
        <v>325</v>
      </c>
      <c r="J23" s="70"/>
    </row>
    <row r="24" spans="1:10" x14ac:dyDescent="0.25">
      <c r="A24" s="135"/>
      <c r="B24" s="65">
        <v>23</v>
      </c>
      <c r="C24" s="81">
        <v>45690</v>
      </c>
      <c r="D24" s="16" t="s">
        <v>331</v>
      </c>
      <c r="E24" s="16" t="s">
        <v>349</v>
      </c>
      <c r="F24" s="66" t="s">
        <v>336</v>
      </c>
      <c r="J24" s="70"/>
    </row>
    <row r="25" spans="1:10" ht="18.75" thickBot="1" x14ac:dyDescent="0.3">
      <c r="A25" s="136"/>
      <c r="B25" s="65">
        <v>24</v>
      </c>
      <c r="C25" s="81">
        <v>45774</v>
      </c>
      <c r="D25" s="67" t="s">
        <v>382</v>
      </c>
      <c r="E25" s="67" t="s">
        <v>349</v>
      </c>
      <c r="F25" s="68" t="s">
        <v>330</v>
      </c>
      <c r="J25" s="70"/>
    </row>
    <row r="26" spans="1:10" x14ac:dyDescent="0.25">
      <c r="A26" s="134" t="s">
        <v>8</v>
      </c>
      <c r="B26" s="62">
        <v>25</v>
      </c>
      <c r="C26" s="77">
        <v>45697</v>
      </c>
      <c r="D26" s="63" t="s">
        <v>325</v>
      </c>
      <c r="E26" s="63" t="s">
        <v>349</v>
      </c>
      <c r="F26" s="64" t="s">
        <v>330</v>
      </c>
      <c r="G26" s="70"/>
      <c r="H26" s="70"/>
      <c r="I26" s="70"/>
      <c r="J26" s="70"/>
    </row>
    <row r="27" spans="1:10" x14ac:dyDescent="0.25">
      <c r="A27" s="135"/>
      <c r="B27" s="65">
        <v>26</v>
      </c>
      <c r="C27" s="81">
        <v>45697</v>
      </c>
      <c r="D27" s="16" t="s">
        <v>339</v>
      </c>
      <c r="E27" s="16" t="s">
        <v>349</v>
      </c>
      <c r="F27" s="66" t="s">
        <v>338</v>
      </c>
      <c r="G27" s="80"/>
      <c r="H27" s="71"/>
    </row>
    <row r="28" spans="1:10" x14ac:dyDescent="0.25">
      <c r="A28" s="135"/>
      <c r="B28" s="65">
        <v>27</v>
      </c>
      <c r="C28" s="81">
        <v>45697</v>
      </c>
      <c r="D28" s="16" t="s">
        <v>382</v>
      </c>
      <c r="E28" s="16" t="s">
        <v>349</v>
      </c>
      <c r="F28" s="66" t="s">
        <v>334</v>
      </c>
      <c r="G28" s="79"/>
      <c r="H28" s="70"/>
    </row>
    <row r="29" spans="1:10" x14ac:dyDescent="0.25">
      <c r="A29" s="135"/>
      <c r="B29" s="65">
        <v>28</v>
      </c>
      <c r="C29" s="81">
        <v>45697</v>
      </c>
      <c r="D29" s="16" t="s">
        <v>326</v>
      </c>
      <c r="E29" s="16" t="s">
        <v>349</v>
      </c>
      <c r="F29" s="66" t="s">
        <v>328</v>
      </c>
      <c r="G29" s="80"/>
      <c r="H29" s="70"/>
    </row>
    <row r="30" spans="1:10" x14ac:dyDescent="0.25">
      <c r="A30" s="135"/>
      <c r="B30" s="65">
        <v>29</v>
      </c>
      <c r="C30" s="81">
        <v>45697</v>
      </c>
      <c r="D30" s="16" t="s">
        <v>336</v>
      </c>
      <c r="E30" s="16" t="s">
        <v>349</v>
      </c>
      <c r="F30" s="66" t="s">
        <v>333</v>
      </c>
      <c r="G30" s="80"/>
      <c r="H30" s="70"/>
    </row>
    <row r="31" spans="1:10" x14ac:dyDescent="0.25">
      <c r="A31" s="135"/>
      <c r="B31" s="65">
        <v>30</v>
      </c>
      <c r="C31" s="81">
        <v>45697</v>
      </c>
      <c r="D31" s="16" t="s">
        <v>331</v>
      </c>
      <c r="E31" s="16" t="s">
        <v>349</v>
      </c>
      <c r="F31" s="66" t="s">
        <v>332</v>
      </c>
      <c r="G31" s="80"/>
      <c r="H31" s="70"/>
    </row>
    <row r="32" spans="1:10" x14ac:dyDescent="0.25">
      <c r="A32" s="135"/>
      <c r="B32" s="65">
        <v>31</v>
      </c>
      <c r="C32" s="81">
        <v>45697</v>
      </c>
      <c r="D32" s="16" t="s">
        <v>327</v>
      </c>
      <c r="E32" s="16" t="s">
        <v>349</v>
      </c>
      <c r="F32" s="66" t="s">
        <v>335</v>
      </c>
      <c r="G32" s="80"/>
      <c r="H32" s="70"/>
    </row>
    <row r="33" spans="1:8" ht="18.75" thickBot="1" x14ac:dyDescent="0.3">
      <c r="A33" s="136"/>
      <c r="B33" s="65">
        <v>32</v>
      </c>
      <c r="C33" s="81">
        <v>45697</v>
      </c>
      <c r="D33" s="67" t="s">
        <v>329</v>
      </c>
      <c r="E33" s="67" t="s">
        <v>349</v>
      </c>
      <c r="F33" s="68" t="s">
        <v>337</v>
      </c>
      <c r="G33" s="80"/>
      <c r="H33" s="75"/>
    </row>
    <row r="34" spans="1:8" x14ac:dyDescent="0.25">
      <c r="A34" s="134" t="s">
        <v>9</v>
      </c>
      <c r="B34" s="62">
        <v>33</v>
      </c>
      <c r="C34" s="77">
        <v>45704</v>
      </c>
      <c r="D34" s="63" t="s">
        <v>327</v>
      </c>
      <c r="E34" s="63" t="s">
        <v>349</v>
      </c>
      <c r="F34" s="64" t="s">
        <v>328</v>
      </c>
      <c r="G34" s="80"/>
      <c r="H34" s="70"/>
    </row>
    <row r="35" spans="1:8" x14ac:dyDescent="0.25">
      <c r="A35" s="135"/>
      <c r="B35" s="65">
        <v>34</v>
      </c>
      <c r="C35" s="81">
        <v>45704</v>
      </c>
      <c r="D35" s="16" t="s">
        <v>336</v>
      </c>
      <c r="E35" s="16" t="s">
        <v>349</v>
      </c>
      <c r="F35" s="66" t="s">
        <v>330</v>
      </c>
      <c r="G35" s="80"/>
      <c r="H35" s="71"/>
    </row>
    <row r="36" spans="1:8" x14ac:dyDescent="0.25">
      <c r="A36" s="135"/>
      <c r="B36" s="65">
        <v>35</v>
      </c>
      <c r="C36" s="81">
        <v>45704</v>
      </c>
      <c r="D36" s="16" t="s">
        <v>337</v>
      </c>
      <c r="E36" s="16" t="s">
        <v>349</v>
      </c>
      <c r="F36" s="66" t="s">
        <v>333</v>
      </c>
      <c r="G36" s="80"/>
      <c r="H36" s="70"/>
    </row>
    <row r="37" spans="1:8" x14ac:dyDescent="0.25">
      <c r="A37" s="135"/>
      <c r="B37" s="65">
        <v>36</v>
      </c>
      <c r="C37" s="81">
        <v>45704</v>
      </c>
      <c r="D37" s="16" t="s">
        <v>382</v>
      </c>
      <c r="E37" s="16" t="s">
        <v>349</v>
      </c>
      <c r="F37" s="66" t="s">
        <v>335</v>
      </c>
      <c r="G37" s="79"/>
      <c r="H37" s="70"/>
    </row>
    <row r="38" spans="1:8" x14ac:dyDescent="0.25">
      <c r="A38" s="135"/>
      <c r="B38" s="65">
        <v>37</v>
      </c>
      <c r="C38" s="81">
        <v>45704</v>
      </c>
      <c r="D38" s="16" t="s">
        <v>329</v>
      </c>
      <c r="E38" s="16" t="s">
        <v>349</v>
      </c>
      <c r="F38" s="66" t="s">
        <v>334</v>
      </c>
      <c r="G38" s="80"/>
      <c r="H38" s="70"/>
    </row>
    <row r="39" spans="1:8" x14ac:dyDescent="0.25">
      <c r="A39" s="135"/>
      <c r="B39" s="65">
        <v>38</v>
      </c>
      <c r="C39" s="81">
        <v>45704</v>
      </c>
      <c r="D39" s="16" t="s">
        <v>339</v>
      </c>
      <c r="E39" s="16" t="s">
        <v>349</v>
      </c>
      <c r="F39" s="66" t="s">
        <v>331</v>
      </c>
      <c r="G39" s="80"/>
      <c r="H39" s="70"/>
    </row>
    <row r="40" spans="1:8" x14ac:dyDescent="0.25">
      <c r="A40" s="135"/>
      <c r="B40" s="65">
        <v>39</v>
      </c>
      <c r="C40" s="81">
        <v>45704</v>
      </c>
      <c r="D40" s="16" t="s">
        <v>325</v>
      </c>
      <c r="E40" s="16" t="s">
        <v>349</v>
      </c>
      <c r="F40" s="66" t="s">
        <v>338</v>
      </c>
      <c r="G40" s="80"/>
      <c r="H40" s="70"/>
    </row>
    <row r="41" spans="1:8" ht="18.75" thickBot="1" x14ac:dyDescent="0.3">
      <c r="A41" s="136"/>
      <c r="B41" s="65">
        <v>40</v>
      </c>
      <c r="C41" s="81">
        <v>45704</v>
      </c>
      <c r="D41" s="67" t="s">
        <v>326</v>
      </c>
      <c r="E41" s="67" t="s">
        <v>349</v>
      </c>
      <c r="F41" s="68" t="s">
        <v>332</v>
      </c>
      <c r="G41" s="80"/>
      <c r="H41" s="75"/>
    </row>
    <row r="42" spans="1:8" x14ac:dyDescent="0.25">
      <c r="A42" s="134" t="s">
        <v>10</v>
      </c>
      <c r="B42" s="62">
        <v>41</v>
      </c>
      <c r="C42" s="77">
        <v>45711</v>
      </c>
      <c r="D42" s="63" t="s">
        <v>336</v>
      </c>
      <c r="E42" s="63" t="s">
        <v>349</v>
      </c>
      <c r="F42" s="64" t="s">
        <v>338</v>
      </c>
      <c r="G42" s="80"/>
      <c r="H42" s="70"/>
    </row>
    <row r="43" spans="1:8" x14ac:dyDescent="0.25">
      <c r="A43" s="135"/>
      <c r="B43" s="65">
        <v>42</v>
      </c>
      <c r="C43" s="81">
        <v>45711</v>
      </c>
      <c r="D43" s="16" t="s">
        <v>339</v>
      </c>
      <c r="E43" s="16" t="s">
        <v>349</v>
      </c>
      <c r="F43" s="66" t="s">
        <v>325</v>
      </c>
      <c r="G43" s="80"/>
      <c r="H43" s="70"/>
    </row>
    <row r="44" spans="1:8" x14ac:dyDescent="0.25">
      <c r="A44" s="135"/>
      <c r="B44" s="65">
        <v>43</v>
      </c>
      <c r="C44" s="81">
        <v>45711</v>
      </c>
      <c r="D44" s="16" t="s">
        <v>329</v>
      </c>
      <c r="E44" s="16" t="s">
        <v>349</v>
      </c>
      <c r="F44" s="66" t="s">
        <v>335</v>
      </c>
    </row>
    <row r="45" spans="1:8" x14ac:dyDescent="0.25">
      <c r="A45" s="135"/>
      <c r="B45" s="65">
        <v>44</v>
      </c>
      <c r="C45" s="81">
        <v>45711</v>
      </c>
      <c r="D45" s="16" t="s">
        <v>334</v>
      </c>
      <c r="E45" s="16" t="s">
        <v>349</v>
      </c>
      <c r="F45" s="66" t="s">
        <v>333</v>
      </c>
      <c r="H45" s="70"/>
    </row>
    <row r="46" spans="1:8" x14ac:dyDescent="0.25">
      <c r="A46" s="135"/>
      <c r="B46" s="65">
        <v>45</v>
      </c>
      <c r="C46" s="81">
        <v>45711</v>
      </c>
      <c r="D46" s="16" t="s">
        <v>382</v>
      </c>
      <c r="E46" s="16" t="s">
        <v>349</v>
      </c>
      <c r="F46" s="66" t="s">
        <v>328</v>
      </c>
      <c r="H46" s="71"/>
    </row>
    <row r="47" spans="1:8" x14ac:dyDescent="0.25">
      <c r="A47" s="135"/>
      <c r="B47" s="65">
        <v>46</v>
      </c>
      <c r="C47" s="81">
        <v>45711</v>
      </c>
      <c r="D47" s="16" t="s">
        <v>327</v>
      </c>
      <c r="E47" s="16" t="s">
        <v>349</v>
      </c>
      <c r="F47" s="66" t="s">
        <v>332</v>
      </c>
      <c r="G47" s="80"/>
      <c r="H47" s="70"/>
    </row>
    <row r="48" spans="1:8" x14ac:dyDescent="0.25">
      <c r="A48" s="135"/>
      <c r="B48" s="65">
        <v>47</v>
      </c>
      <c r="C48" s="81">
        <v>45711</v>
      </c>
      <c r="D48" s="16" t="s">
        <v>337</v>
      </c>
      <c r="E48" s="16" t="s">
        <v>349</v>
      </c>
      <c r="F48" s="66" t="s">
        <v>330</v>
      </c>
      <c r="G48" s="80"/>
      <c r="H48" s="70"/>
    </row>
    <row r="49" spans="1:8" ht="18.75" thickBot="1" x14ac:dyDescent="0.3">
      <c r="A49" s="136"/>
      <c r="B49" s="65">
        <v>48</v>
      </c>
      <c r="C49" s="81">
        <v>45711</v>
      </c>
      <c r="D49" s="67" t="s">
        <v>326</v>
      </c>
      <c r="E49" s="67" t="s">
        <v>349</v>
      </c>
      <c r="F49" s="68" t="s">
        <v>331</v>
      </c>
      <c r="G49" s="80"/>
      <c r="H49" s="75"/>
    </row>
    <row r="50" spans="1:8" x14ac:dyDescent="0.25">
      <c r="A50" s="134" t="s">
        <v>11</v>
      </c>
      <c r="B50" s="62">
        <v>49</v>
      </c>
      <c r="C50" s="77">
        <v>45718</v>
      </c>
      <c r="D50" s="63" t="s">
        <v>337</v>
      </c>
      <c r="E50" s="63" t="s">
        <v>349</v>
      </c>
      <c r="F50" s="64" t="s">
        <v>338</v>
      </c>
      <c r="G50" s="80"/>
      <c r="H50" s="71"/>
    </row>
    <row r="51" spans="1:8" x14ac:dyDescent="0.25">
      <c r="A51" s="135"/>
      <c r="B51" s="65">
        <v>50</v>
      </c>
      <c r="C51" s="81">
        <v>45718</v>
      </c>
      <c r="D51" s="16" t="s">
        <v>335</v>
      </c>
      <c r="E51" s="16" t="s">
        <v>349</v>
      </c>
      <c r="F51" s="66" t="s">
        <v>333</v>
      </c>
      <c r="G51" s="80"/>
      <c r="H51" s="71"/>
    </row>
    <row r="52" spans="1:8" x14ac:dyDescent="0.25">
      <c r="A52" s="135"/>
      <c r="B52" s="65">
        <v>51</v>
      </c>
      <c r="C52" s="81">
        <v>45718</v>
      </c>
      <c r="D52" s="16" t="s">
        <v>334</v>
      </c>
      <c r="E52" s="16" t="s">
        <v>349</v>
      </c>
      <c r="F52" s="66" t="s">
        <v>330</v>
      </c>
      <c r="G52" s="80"/>
      <c r="H52" s="70"/>
    </row>
    <row r="53" spans="1:8" x14ac:dyDescent="0.25">
      <c r="A53" s="135"/>
      <c r="B53" s="65">
        <v>52</v>
      </c>
      <c r="C53" s="81">
        <v>45718</v>
      </c>
      <c r="D53" s="16" t="s">
        <v>336</v>
      </c>
      <c r="E53" s="16" t="s">
        <v>349</v>
      </c>
      <c r="F53" s="66" t="s">
        <v>325</v>
      </c>
      <c r="G53" s="80"/>
      <c r="H53" s="70"/>
    </row>
    <row r="54" spans="1:8" x14ac:dyDescent="0.25">
      <c r="A54" s="135"/>
      <c r="B54" s="65">
        <v>53</v>
      </c>
      <c r="C54" s="81">
        <v>45718</v>
      </c>
      <c r="D54" s="16" t="s">
        <v>382</v>
      </c>
      <c r="E54" s="16" t="s">
        <v>349</v>
      </c>
      <c r="F54" s="66" t="s">
        <v>332</v>
      </c>
      <c r="G54" s="80"/>
      <c r="H54" s="70"/>
    </row>
    <row r="55" spans="1:8" x14ac:dyDescent="0.25">
      <c r="A55" s="135"/>
      <c r="B55" s="65">
        <v>54</v>
      </c>
      <c r="C55" s="81">
        <v>45718</v>
      </c>
      <c r="D55" s="16" t="s">
        <v>329</v>
      </c>
      <c r="E55" s="16" t="s">
        <v>349</v>
      </c>
      <c r="F55" s="66" t="s">
        <v>328</v>
      </c>
      <c r="G55" s="79"/>
      <c r="H55" s="70"/>
    </row>
    <row r="56" spans="1:8" x14ac:dyDescent="0.25">
      <c r="A56" s="135"/>
      <c r="B56" s="65">
        <v>55</v>
      </c>
      <c r="C56" s="81">
        <v>45718</v>
      </c>
      <c r="D56" s="16" t="s">
        <v>327</v>
      </c>
      <c r="E56" s="16" t="s">
        <v>349</v>
      </c>
      <c r="F56" s="66" t="s">
        <v>331</v>
      </c>
      <c r="G56" s="79"/>
      <c r="H56" s="70"/>
    </row>
    <row r="57" spans="1:8" ht="18.75" thickBot="1" x14ac:dyDescent="0.3">
      <c r="A57" s="136"/>
      <c r="B57" s="65">
        <v>56</v>
      </c>
      <c r="C57" s="81">
        <v>45718</v>
      </c>
      <c r="D57" s="67" t="s">
        <v>339</v>
      </c>
      <c r="E57" s="67" t="s">
        <v>349</v>
      </c>
      <c r="F57" s="68" t="s">
        <v>326</v>
      </c>
      <c r="G57" s="80"/>
      <c r="H57" s="75"/>
    </row>
    <row r="58" spans="1:8" x14ac:dyDescent="0.25">
      <c r="A58" s="134" t="s">
        <v>12</v>
      </c>
      <c r="B58" s="62">
        <v>57</v>
      </c>
      <c r="C58" s="77">
        <v>45725</v>
      </c>
      <c r="D58" s="63" t="s">
        <v>339</v>
      </c>
      <c r="E58" s="63" t="s">
        <v>349</v>
      </c>
      <c r="F58" s="64" t="s">
        <v>336</v>
      </c>
      <c r="G58" s="80"/>
      <c r="H58" s="46"/>
    </row>
    <row r="59" spans="1:8" x14ac:dyDescent="0.25">
      <c r="A59" s="135"/>
      <c r="B59" s="65">
        <v>58</v>
      </c>
      <c r="C59" s="81">
        <v>45725</v>
      </c>
      <c r="D59" s="16" t="s">
        <v>334</v>
      </c>
      <c r="E59" s="16" t="s">
        <v>349</v>
      </c>
      <c r="F59" s="66" t="s">
        <v>338</v>
      </c>
      <c r="G59" s="80"/>
    </row>
    <row r="60" spans="1:8" x14ac:dyDescent="0.25">
      <c r="A60" s="135"/>
      <c r="B60" s="65">
        <v>59</v>
      </c>
      <c r="C60" s="81">
        <v>45725</v>
      </c>
      <c r="D60" s="16" t="s">
        <v>329</v>
      </c>
      <c r="E60" s="16" t="s">
        <v>349</v>
      </c>
      <c r="F60" s="66" t="s">
        <v>332</v>
      </c>
      <c r="G60" s="80"/>
    </row>
    <row r="61" spans="1:8" x14ac:dyDescent="0.25">
      <c r="A61" s="135"/>
      <c r="B61" s="65">
        <v>60</v>
      </c>
      <c r="C61" s="81">
        <v>45725</v>
      </c>
      <c r="D61" s="16" t="s">
        <v>337</v>
      </c>
      <c r="E61" s="16" t="s">
        <v>349</v>
      </c>
      <c r="F61" s="66" t="s">
        <v>325</v>
      </c>
      <c r="G61" s="80"/>
    </row>
    <row r="62" spans="1:8" x14ac:dyDescent="0.25">
      <c r="A62" s="135"/>
      <c r="B62" s="65">
        <v>61</v>
      </c>
      <c r="C62" s="81">
        <v>45725</v>
      </c>
      <c r="D62" s="16" t="s">
        <v>335</v>
      </c>
      <c r="E62" s="16" t="s">
        <v>349</v>
      </c>
      <c r="F62" s="66" t="s">
        <v>330</v>
      </c>
      <c r="G62" s="80"/>
    </row>
    <row r="63" spans="1:8" x14ac:dyDescent="0.25">
      <c r="A63" s="135"/>
      <c r="B63" s="65">
        <v>62</v>
      </c>
      <c r="C63" s="81">
        <v>45725</v>
      </c>
      <c r="D63" s="16" t="s">
        <v>382</v>
      </c>
      <c r="E63" s="16" t="s">
        <v>349</v>
      </c>
      <c r="F63" s="66" t="s">
        <v>331</v>
      </c>
      <c r="G63" s="80"/>
    </row>
    <row r="64" spans="1:8" x14ac:dyDescent="0.25">
      <c r="A64" s="135"/>
      <c r="B64" s="65">
        <v>63</v>
      </c>
      <c r="C64" s="81">
        <v>45725</v>
      </c>
      <c r="D64" s="16" t="s">
        <v>328</v>
      </c>
      <c r="E64" s="16" t="s">
        <v>349</v>
      </c>
      <c r="F64" s="66" t="s">
        <v>333</v>
      </c>
      <c r="G64" s="80"/>
    </row>
    <row r="65" spans="1:8" ht="18" customHeight="1" thickBot="1" x14ac:dyDescent="0.3">
      <c r="A65" s="136"/>
      <c r="B65" s="65">
        <v>64</v>
      </c>
      <c r="C65" s="81">
        <v>45725</v>
      </c>
      <c r="D65" s="67" t="s">
        <v>327</v>
      </c>
      <c r="E65" s="67" t="s">
        <v>349</v>
      </c>
      <c r="F65" s="68" t="s">
        <v>326</v>
      </c>
      <c r="G65" s="79"/>
      <c r="H65" s="75"/>
    </row>
    <row r="66" spans="1:8" x14ac:dyDescent="0.25">
      <c r="A66" s="134" t="s">
        <v>13</v>
      </c>
      <c r="B66" s="62">
        <v>65</v>
      </c>
      <c r="C66" s="77">
        <v>45704</v>
      </c>
      <c r="D66" s="63" t="s">
        <v>337</v>
      </c>
      <c r="E66" s="63" t="s">
        <v>349</v>
      </c>
      <c r="F66" s="64" t="s">
        <v>336</v>
      </c>
      <c r="G66" s="80"/>
    </row>
    <row r="67" spans="1:8" x14ac:dyDescent="0.25">
      <c r="A67" s="135"/>
      <c r="B67" s="65">
        <v>66</v>
      </c>
      <c r="C67" s="81">
        <v>45704</v>
      </c>
      <c r="D67" s="16" t="s">
        <v>334</v>
      </c>
      <c r="E67" s="16" t="s">
        <v>349</v>
      </c>
      <c r="F67" s="66" t="s">
        <v>325</v>
      </c>
      <c r="G67" s="80"/>
    </row>
    <row r="68" spans="1:8" x14ac:dyDescent="0.25">
      <c r="A68" s="135"/>
      <c r="B68" s="65">
        <v>67</v>
      </c>
      <c r="C68" s="81">
        <v>45704</v>
      </c>
      <c r="D68" s="16" t="s">
        <v>335</v>
      </c>
      <c r="E68" s="16" t="s">
        <v>349</v>
      </c>
      <c r="F68" s="66" t="s">
        <v>338</v>
      </c>
      <c r="G68" s="80"/>
    </row>
    <row r="69" spans="1:8" x14ac:dyDescent="0.25">
      <c r="A69" s="135"/>
      <c r="B69" s="65">
        <v>68</v>
      </c>
      <c r="C69" s="81">
        <v>45704</v>
      </c>
      <c r="D69" s="16" t="s">
        <v>328</v>
      </c>
      <c r="E69" s="16" t="s">
        <v>349</v>
      </c>
      <c r="F69" s="66" t="s">
        <v>330</v>
      </c>
      <c r="G69" s="80"/>
    </row>
    <row r="70" spans="1:8" x14ac:dyDescent="0.25">
      <c r="A70" s="135"/>
      <c r="B70" s="65">
        <v>69</v>
      </c>
      <c r="C70" s="81">
        <v>45809</v>
      </c>
      <c r="D70" s="16" t="s">
        <v>332</v>
      </c>
      <c r="E70" s="16" t="s">
        <v>349</v>
      </c>
      <c r="F70" s="66" t="s">
        <v>333</v>
      </c>
      <c r="G70" s="80"/>
    </row>
    <row r="71" spans="1:8" x14ac:dyDescent="0.25">
      <c r="A71" s="135"/>
      <c r="B71" s="65">
        <v>70</v>
      </c>
      <c r="C71" s="81">
        <v>45704</v>
      </c>
      <c r="D71" s="16" t="s">
        <v>329</v>
      </c>
      <c r="E71" s="16" t="s">
        <v>349</v>
      </c>
      <c r="F71" s="66" t="s">
        <v>331</v>
      </c>
      <c r="G71" s="80"/>
    </row>
    <row r="72" spans="1:8" x14ac:dyDescent="0.25">
      <c r="A72" s="135"/>
      <c r="B72" s="65">
        <v>71</v>
      </c>
      <c r="C72" s="81">
        <v>45704</v>
      </c>
      <c r="D72" s="16" t="s">
        <v>339</v>
      </c>
      <c r="E72" s="16" t="s">
        <v>349</v>
      </c>
      <c r="F72" s="66" t="s">
        <v>327</v>
      </c>
      <c r="G72" s="80"/>
    </row>
    <row r="73" spans="1:8" ht="18.75" thickBot="1" x14ac:dyDescent="0.3">
      <c r="A73" s="136"/>
      <c r="B73" s="65">
        <v>72</v>
      </c>
      <c r="C73" s="81">
        <v>45704</v>
      </c>
      <c r="D73" s="67" t="s">
        <v>382</v>
      </c>
      <c r="E73" s="67" t="s">
        <v>349</v>
      </c>
      <c r="F73" s="68" t="s">
        <v>326</v>
      </c>
      <c r="G73" s="80"/>
      <c r="H73" s="75"/>
    </row>
    <row r="74" spans="1:8" x14ac:dyDescent="0.25">
      <c r="A74" s="134" t="s">
        <v>14</v>
      </c>
      <c r="B74" s="62">
        <v>73</v>
      </c>
      <c r="C74" s="77">
        <v>45746</v>
      </c>
      <c r="D74" s="63" t="s">
        <v>334</v>
      </c>
      <c r="E74" s="63" t="s">
        <v>349</v>
      </c>
      <c r="F74" s="64" t="s">
        <v>336</v>
      </c>
      <c r="G74" s="79"/>
    </row>
    <row r="75" spans="1:8" x14ac:dyDescent="0.25">
      <c r="A75" s="135"/>
      <c r="B75" s="65">
        <v>74</v>
      </c>
      <c r="C75" s="81">
        <v>45746</v>
      </c>
      <c r="D75" s="16" t="s">
        <v>335</v>
      </c>
      <c r="E75" s="16" t="s">
        <v>349</v>
      </c>
      <c r="F75" s="66" t="s">
        <v>325</v>
      </c>
      <c r="G75" s="80"/>
    </row>
    <row r="76" spans="1:8" x14ac:dyDescent="0.25">
      <c r="A76" s="135"/>
      <c r="B76" s="65">
        <v>75</v>
      </c>
      <c r="C76" s="81">
        <v>45746</v>
      </c>
      <c r="D76" s="16" t="s">
        <v>328</v>
      </c>
      <c r="E76" s="16" t="s">
        <v>349</v>
      </c>
      <c r="F76" s="66" t="s">
        <v>338</v>
      </c>
      <c r="G76" s="80"/>
    </row>
    <row r="77" spans="1:8" x14ac:dyDescent="0.25">
      <c r="A77" s="135"/>
      <c r="B77" s="65">
        <v>76</v>
      </c>
      <c r="C77" s="81">
        <v>45746</v>
      </c>
      <c r="D77" s="16" t="s">
        <v>332</v>
      </c>
      <c r="E77" s="16" t="s">
        <v>349</v>
      </c>
      <c r="F77" s="66" t="s">
        <v>330</v>
      </c>
      <c r="G77" s="80"/>
    </row>
    <row r="78" spans="1:8" x14ac:dyDescent="0.25">
      <c r="A78" s="135"/>
      <c r="B78" s="65">
        <v>77</v>
      </c>
      <c r="C78" s="81">
        <v>45746</v>
      </c>
      <c r="D78" s="16" t="s">
        <v>331</v>
      </c>
      <c r="E78" s="16" t="s">
        <v>349</v>
      </c>
      <c r="F78" s="66" t="s">
        <v>333</v>
      </c>
      <c r="G78" s="80"/>
    </row>
    <row r="79" spans="1:8" x14ac:dyDescent="0.25">
      <c r="A79" s="135"/>
      <c r="B79" s="65">
        <v>78</v>
      </c>
      <c r="C79" s="81">
        <v>45746</v>
      </c>
      <c r="D79" s="16" t="s">
        <v>339</v>
      </c>
      <c r="E79" s="16" t="s">
        <v>349</v>
      </c>
      <c r="F79" s="66" t="s">
        <v>337</v>
      </c>
      <c r="G79" s="80"/>
    </row>
    <row r="80" spans="1:8" x14ac:dyDescent="0.25">
      <c r="A80" s="135"/>
      <c r="B80" s="65">
        <v>79</v>
      </c>
      <c r="C80" s="81">
        <v>45746</v>
      </c>
      <c r="D80" s="16" t="s">
        <v>382</v>
      </c>
      <c r="E80" s="16" t="s">
        <v>349</v>
      </c>
      <c r="F80" s="66" t="s">
        <v>327</v>
      </c>
      <c r="G80" s="80"/>
    </row>
    <row r="81" spans="1:8" ht="18.75" thickBot="1" x14ac:dyDescent="0.3">
      <c r="A81" s="136"/>
      <c r="B81" s="65">
        <v>80</v>
      </c>
      <c r="C81" s="81">
        <v>45746</v>
      </c>
      <c r="D81" s="67" t="s">
        <v>329</v>
      </c>
      <c r="E81" s="67" t="s">
        <v>349</v>
      </c>
      <c r="F81" s="68" t="s">
        <v>326</v>
      </c>
      <c r="G81" s="80"/>
      <c r="H81" s="75"/>
    </row>
    <row r="82" spans="1:8" x14ac:dyDescent="0.25">
      <c r="A82" s="134" t="s">
        <v>15</v>
      </c>
      <c r="B82" s="62">
        <v>81</v>
      </c>
      <c r="C82" s="77">
        <v>45753</v>
      </c>
      <c r="D82" s="63" t="s">
        <v>334</v>
      </c>
      <c r="E82" s="63" t="s">
        <v>349</v>
      </c>
      <c r="F82" s="64" t="s">
        <v>337</v>
      </c>
      <c r="G82" s="80"/>
    </row>
    <row r="83" spans="1:8" x14ac:dyDescent="0.25">
      <c r="A83" s="135"/>
      <c r="B83" s="65">
        <v>82</v>
      </c>
      <c r="C83" s="81">
        <v>45753</v>
      </c>
      <c r="D83" s="16" t="s">
        <v>335</v>
      </c>
      <c r="E83" s="16" t="s">
        <v>349</v>
      </c>
      <c r="F83" s="66" t="s">
        <v>336</v>
      </c>
      <c r="G83" s="79"/>
    </row>
    <row r="84" spans="1:8" x14ac:dyDescent="0.25">
      <c r="A84" s="135"/>
      <c r="B84" s="65">
        <v>83</v>
      </c>
      <c r="C84" s="81">
        <v>45753</v>
      </c>
      <c r="D84" s="16" t="s">
        <v>328</v>
      </c>
      <c r="E84" s="16" t="s">
        <v>349</v>
      </c>
      <c r="F84" s="66" t="s">
        <v>325</v>
      </c>
      <c r="G84" s="80"/>
    </row>
    <row r="85" spans="1:8" x14ac:dyDescent="0.25">
      <c r="A85" s="135"/>
      <c r="B85" s="65">
        <v>84</v>
      </c>
      <c r="C85" s="81">
        <v>45753</v>
      </c>
      <c r="D85" s="16" t="s">
        <v>332</v>
      </c>
      <c r="E85" s="16" t="s">
        <v>349</v>
      </c>
      <c r="F85" s="66" t="s">
        <v>338</v>
      </c>
      <c r="G85" s="80"/>
    </row>
    <row r="86" spans="1:8" x14ac:dyDescent="0.25">
      <c r="A86" s="135"/>
      <c r="B86" s="65">
        <v>85</v>
      </c>
      <c r="C86" s="81">
        <v>45753</v>
      </c>
      <c r="D86" s="16" t="s">
        <v>331</v>
      </c>
      <c r="E86" s="16" t="s">
        <v>349</v>
      </c>
      <c r="F86" s="66" t="s">
        <v>330</v>
      </c>
      <c r="G86" s="80"/>
    </row>
    <row r="87" spans="1:8" x14ac:dyDescent="0.25">
      <c r="A87" s="135"/>
      <c r="B87" s="65">
        <v>86</v>
      </c>
      <c r="C87" s="81">
        <v>45753</v>
      </c>
      <c r="D87" s="16" t="s">
        <v>329</v>
      </c>
      <c r="E87" s="16" t="s">
        <v>349</v>
      </c>
      <c r="F87" s="66" t="s">
        <v>327</v>
      </c>
      <c r="G87" s="80"/>
    </row>
    <row r="88" spans="1:8" x14ac:dyDescent="0.25">
      <c r="A88" s="135"/>
      <c r="B88" s="65">
        <v>87</v>
      </c>
      <c r="C88" s="81">
        <v>45781</v>
      </c>
      <c r="D88" s="16" t="s">
        <v>339</v>
      </c>
      <c r="E88" s="16" t="s">
        <v>349</v>
      </c>
      <c r="F88" s="66" t="s">
        <v>382</v>
      </c>
      <c r="G88" s="80"/>
    </row>
    <row r="89" spans="1:8" ht="18.75" thickBot="1" x14ac:dyDescent="0.3">
      <c r="A89" s="136"/>
      <c r="B89" s="65">
        <v>88</v>
      </c>
      <c r="C89" s="81">
        <v>45753</v>
      </c>
      <c r="D89" s="67" t="s">
        <v>326</v>
      </c>
      <c r="E89" s="67" t="s">
        <v>349</v>
      </c>
      <c r="F89" s="68" t="s">
        <v>333</v>
      </c>
    </row>
    <row r="90" spans="1:8" x14ac:dyDescent="0.25">
      <c r="A90" s="134" t="s">
        <v>16</v>
      </c>
      <c r="B90" s="62">
        <v>89</v>
      </c>
      <c r="C90" s="77">
        <v>45774</v>
      </c>
      <c r="D90" s="63" t="s">
        <v>335</v>
      </c>
      <c r="E90" s="63" t="s">
        <v>349</v>
      </c>
      <c r="F90" s="64" t="s">
        <v>337</v>
      </c>
      <c r="G90" s="80"/>
    </row>
    <row r="91" spans="1:8" x14ac:dyDescent="0.25">
      <c r="A91" s="135"/>
      <c r="B91" s="65">
        <v>90</v>
      </c>
      <c r="C91" s="81">
        <v>45774</v>
      </c>
      <c r="D91" s="16" t="s">
        <v>328</v>
      </c>
      <c r="E91" s="16" t="s">
        <v>349</v>
      </c>
      <c r="F91" s="66" t="s">
        <v>336</v>
      </c>
      <c r="G91" s="80"/>
    </row>
    <row r="92" spans="1:8" x14ac:dyDescent="0.25">
      <c r="A92" s="135"/>
      <c r="B92" s="65">
        <v>91</v>
      </c>
      <c r="C92" s="81">
        <v>45774</v>
      </c>
      <c r="D92" s="16" t="s">
        <v>332</v>
      </c>
      <c r="E92" s="16" t="s">
        <v>349</v>
      </c>
      <c r="F92" s="66" t="s">
        <v>325</v>
      </c>
      <c r="G92" s="79"/>
    </row>
    <row r="93" spans="1:8" x14ac:dyDescent="0.25">
      <c r="A93" s="135"/>
      <c r="B93" s="65">
        <v>92</v>
      </c>
      <c r="C93" s="81">
        <v>45774</v>
      </c>
      <c r="D93" s="16" t="s">
        <v>331</v>
      </c>
      <c r="E93" s="16" t="s">
        <v>349</v>
      </c>
      <c r="F93" s="66" t="s">
        <v>338</v>
      </c>
      <c r="G93" s="80"/>
    </row>
    <row r="94" spans="1:8" x14ac:dyDescent="0.25">
      <c r="A94" s="135"/>
      <c r="B94" s="65">
        <v>93</v>
      </c>
      <c r="C94" s="81">
        <v>45774</v>
      </c>
      <c r="D94" s="16" t="s">
        <v>327</v>
      </c>
      <c r="E94" s="16" t="s">
        <v>349</v>
      </c>
      <c r="F94" s="66" t="s">
        <v>333</v>
      </c>
      <c r="G94" s="80"/>
    </row>
    <row r="95" spans="1:8" x14ac:dyDescent="0.25">
      <c r="A95" s="135"/>
      <c r="B95" s="65">
        <v>94</v>
      </c>
      <c r="C95" s="81">
        <v>45774</v>
      </c>
      <c r="D95" s="16" t="s">
        <v>339</v>
      </c>
      <c r="E95" s="16" t="s">
        <v>349</v>
      </c>
      <c r="F95" s="66" t="s">
        <v>334</v>
      </c>
      <c r="G95" s="80"/>
    </row>
    <row r="96" spans="1:8" x14ac:dyDescent="0.25">
      <c r="A96" s="135"/>
      <c r="B96" s="65">
        <v>95</v>
      </c>
      <c r="C96" s="81">
        <v>45774</v>
      </c>
      <c r="D96" s="16" t="s">
        <v>329</v>
      </c>
      <c r="E96" s="16" t="s">
        <v>349</v>
      </c>
      <c r="F96" s="66" t="s">
        <v>382</v>
      </c>
      <c r="G96" s="80"/>
    </row>
    <row r="97" spans="1:8" ht="18.75" thickBot="1" x14ac:dyDescent="0.3">
      <c r="A97" s="136"/>
      <c r="B97" s="65">
        <v>96</v>
      </c>
      <c r="C97" s="81">
        <v>45774</v>
      </c>
      <c r="D97" s="67" t="s">
        <v>326</v>
      </c>
      <c r="E97" s="67" t="s">
        <v>349</v>
      </c>
      <c r="F97" s="68" t="s">
        <v>330</v>
      </c>
      <c r="G97" s="80"/>
      <c r="H97" s="75"/>
    </row>
    <row r="98" spans="1:8" x14ac:dyDescent="0.25">
      <c r="A98" s="134" t="s">
        <v>17</v>
      </c>
      <c r="B98" s="62">
        <v>97</v>
      </c>
      <c r="C98" s="77">
        <v>45781</v>
      </c>
      <c r="D98" s="63" t="s">
        <v>335</v>
      </c>
      <c r="E98" s="63" t="s">
        <v>349</v>
      </c>
      <c r="F98" s="64" t="s">
        <v>334</v>
      </c>
      <c r="G98" s="80"/>
    </row>
    <row r="99" spans="1:8" x14ac:dyDescent="0.25">
      <c r="A99" s="135"/>
      <c r="B99" s="65">
        <v>98</v>
      </c>
      <c r="C99" s="81">
        <v>45781</v>
      </c>
      <c r="D99" s="16" t="s">
        <v>328</v>
      </c>
      <c r="E99" s="16" t="s">
        <v>349</v>
      </c>
      <c r="F99" s="66" t="s">
        <v>337</v>
      </c>
      <c r="G99" s="80"/>
    </row>
    <row r="100" spans="1:8" x14ac:dyDescent="0.25">
      <c r="A100" s="135"/>
      <c r="B100" s="65">
        <v>99</v>
      </c>
      <c r="C100" s="81">
        <v>45781</v>
      </c>
      <c r="D100" s="16" t="s">
        <v>332</v>
      </c>
      <c r="E100" s="16" t="s">
        <v>349</v>
      </c>
      <c r="F100" s="66" t="s">
        <v>336</v>
      </c>
      <c r="G100" s="80"/>
    </row>
    <row r="101" spans="1:8" x14ac:dyDescent="0.25">
      <c r="A101" s="135"/>
      <c r="B101" s="65">
        <v>100</v>
      </c>
      <c r="C101" s="81">
        <v>45781</v>
      </c>
      <c r="D101" s="16" t="s">
        <v>331</v>
      </c>
      <c r="E101" s="16" t="s">
        <v>349</v>
      </c>
      <c r="F101" s="66" t="s">
        <v>325</v>
      </c>
      <c r="G101" s="79"/>
    </row>
    <row r="102" spans="1:8" x14ac:dyDescent="0.25">
      <c r="A102" s="135"/>
      <c r="B102" s="65">
        <v>101</v>
      </c>
      <c r="C102" s="81">
        <v>45809</v>
      </c>
      <c r="D102" s="16" t="s">
        <v>327</v>
      </c>
      <c r="E102" s="16" t="s">
        <v>349</v>
      </c>
      <c r="F102" s="66" t="s">
        <v>330</v>
      </c>
      <c r="G102" s="80"/>
    </row>
    <row r="103" spans="1:8" x14ac:dyDescent="0.25">
      <c r="A103" s="135"/>
      <c r="B103" s="65">
        <v>102</v>
      </c>
      <c r="C103" s="81">
        <v>45781</v>
      </c>
      <c r="D103" s="16" t="s">
        <v>339</v>
      </c>
      <c r="E103" s="16" t="s">
        <v>349</v>
      </c>
      <c r="F103" s="66" t="s">
        <v>329</v>
      </c>
      <c r="G103" s="80"/>
    </row>
    <row r="104" spans="1:8" x14ac:dyDescent="0.25">
      <c r="A104" s="135"/>
      <c r="B104" s="65">
        <v>103</v>
      </c>
      <c r="C104" s="81">
        <v>45781</v>
      </c>
      <c r="D104" s="16" t="s">
        <v>382</v>
      </c>
      <c r="E104" s="16" t="s">
        <v>349</v>
      </c>
      <c r="F104" s="66" t="s">
        <v>333</v>
      </c>
      <c r="G104" s="80"/>
    </row>
    <row r="105" spans="1:8" ht="18.75" thickBot="1" x14ac:dyDescent="0.3">
      <c r="A105" s="136"/>
      <c r="B105" s="65">
        <v>104</v>
      </c>
      <c r="C105" s="81">
        <v>45781</v>
      </c>
      <c r="D105" s="67" t="s">
        <v>326</v>
      </c>
      <c r="E105" s="67" t="s">
        <v>349</v>
      </c>
      <c r="F105" s="68" t="s">
        <v>338</v>
      </c>
      <c r="G105" s="80"/>
    </row>
    <row r="106" spans="1:8" x14ac:dyDescent="0.25">
      <c r="A106" s="130" t="s">
        <v>18</v>
      </c>
      <c r="B106" s="62">
        <v>105</v>
      </c>
      <c r="C106" s="77">
        <v>45795</v>
      </c>
      <c r="D106" s="63" t="s">
        <v>338</v>
      </c>
      <c r="E106" s="63" t="s">
        <v>349</v>
      </c>
      <c r="F106" s="64" t="s">
        <v>330</v>
      </c>
      <c r="G106" s="80"/>
    </row>
    <row r="107" spans="1:8" x14ac:dyDescent="0.25">
      <c r="A107" s="131"/>
      <c r="B107" s="65">
        <v>106</v>
      </c>
      <c r="C107" s="81">
        <v>45795</v>
      </c>
      <c r="D107" s="16" t="s">
        <v>325</v>
      </c>
      <c r="E107" s="16" t="s">
        <v>349</v>
      </c>
      <c r="F107" s="66" t="s">
        <v>333</v>
      </c>
      <c r="G107" s="80"/>
    </row>
    <row r="108" spans="1:8" x14ac:dyDescent="0.25">
      <c r="A108" s="131"/>
      <c r="B108" s="65">
        <v>107</v>
      </c>
      <c r="C108" s="81">
        <v>45795</v>
      </c>
      <c r="D108" s="16" t="s">
        <v>331</v>
      </c>
      <c r="E108" s="16" t="s">
        <v>349</v>
      </c>
      <c r="F108" s="66" t="s">
        <v>328</v>
      </c>
      <c r="G108" s="80"/>
    </row>
    <row r="109" spans="1:8" x14ac:dyDescent="0.25">
      <c r="A109" s="131"/>
      <c r="B109" s="65">
        <v>108</v>
      </c>
      <c r="C109" s="81">
        <v>45795</v>
      </c>
      <c r="D109" s="16" t="s">
        <v>327</v>
      </c>
      <c r="E109" s="16" t="s">
        <v>349</v>
      </c>
      <c r="F109" s="66" t="s">
        <v>334</v>
      </c>
      <c r="G109" s="80"/>
    </row>
    <row r="110" spans="1:8" x14ac:dyDescent="0.25">
      <c r="A110" s="131"/>
      <c r="B110" s="65">
        <v>109</v>
      </c>
      <c r="C110" s="81">
        <v>45795</v>
      </c>
      <c r="D110" s="16" t="s">
        <v>329</v>
      </c>
      <c r="E110" s="16" t="s">
        <v>349</v>
      </c>
      <c r="F110" s="66" t="s">
        <v>336</v>
      </c>
      <c r="G110" s="79"/>
    </row>
    <row r="111" spans="1:8" x14ac:dyDescent="0.25">
      <c r="A111" s="131"/>
      <c r="B111" s="65">
        <v>110</v>
      </c>
      <c r="C111" s="81">
        <v>45795</v>
      </c>
      <c r="D111" s="16" t="s">
        <v>339</v>
      </c>
      <c r="E111" s="16" t="s">
        <v>349</v>
      </c>
      <c r="F111" s="66" t="s">
        <v>332</v>
      </c>
      <c r="G111" s="80"/>
    </row>
    <row r="112" spans="1:8" x14ac:dyDescent="0.25">
      <c r="A112" s="131"/>
      <c r="B112" s="65">
        <v>111</v>
      </c>
      <c r="C112" s="81">
        <v>45795</v>
      </c>
      <c r="D112" s="16" t="s">
        <v>382</v>
      </c>
      <c r="E112" s="16" t="s">
        <v>349</v>
      </c>
      <c r="F112" s="66" t="s">
        <v>337</v>
      </c>
      <c r="G112" s="80"/>
    </row>
    <row r="113" spans="1:7" ht="18.75" thickBot="1" x14ac:dyDescent="0.3">
      <c r="A113" s="132"/>
      <c r="B113" s="65">
        <v>112</v>
      </c>
      <c r="C113" s="81">
        <v>45795</v>
      </c>
      <c r="D113" s="67" t="s">
        <v>326</v>
      </c>
      <c r="E113" s="67" t="s">
        <v>349</v>
      </c>
      <c r="F113" s="68" t="s">
        <v>335</v>
      </c>
      <c r="G113" s="80"/>
    </row>
    <row r="114" spans="1:7" x14ac:dyDescent="0.25">
      <c r="A114" s="130" t="s">
        <v>19</v>
      </c>
      <c r="B114" s="62">
        <v>113</v>
      </c>
      <c r="C114" s="77">
        <v>45802</v>
      </c>
      <c r="D114" s="16" t="s">
        <v>328</v>
      </c>
      <c r="E114" s="16" t="s">
        <v>349</v>
      </c>
      <c r="F114" s="66" t="s">
        <v>335</v>
      </c>
      <c r="G114" s="80"/>
    </row>
    <row r="115" spans="1:7" x14ac:dyDescent="0.25">
      <c r="A115" s="131"/>
      <c r="B115" s="65">
        <v>114</v>
      </c>
      <c r="C115" s="81">
        <v>45802</v>
      </c>
      <c r="D115" s="16" t="s">
        <v>332</v>
      </c>
      <c r="E115" s="16" t="s">
        <v>349</v>
      </c>
      <c r="F115" s="66" t="s">
        <v>334</v>
      </c>
      <c r="G115" s="80"/>
    </row>
    <row r="116" spans="1:7" x14ac:dyDescent="0.25">
      <c r="A116" s="131"/>
      <c r="B116" s="65">
        <v>115</v>
      </c>
      <c r="C116" s="81">
        <v>45802</v>
      </c>
      <c r="D116" s="16" t="s">
        <v>331</v>
      </c>
      <c r="E116" s="16" t="s">
        <v>349</v>
      </c>
      <c r="F116" s="66" t="s">
        <v>337</v>
      </c>
      <c r="G116" s="80"/>
    </row>
    <row r="117" spans="1:7" x14ac:dyDescent="0.25">
      <c r="A117" s="131"/>
      <c r="B117" s="65">
        <v>116</v>
      </c>
      <c r="C117" s="81">
        <v>45802</v>
      </c>
      <c r="D117" s="16" t="s">
        <v>327</v>
      </c>
      <c r="E117" s="16" t="s">
        <v>349</v>
      </c>
      <c r="F117" s="66" t="s">
        <v>325</v>
      </c>
      <c r="G117" s="80"/>
    </row>
    <row r="118" spans="1:7" x14ac:dyDescent="0.25">
      <c r="A118" s="131"/>
      <c r="B118" s="65">
        <v>117</v>
      </c>
      <c r="C118" s="81">
        <v>45802</v>
      </c>
      <c r="D118" s="16" t="s">
        <v>329</v>
      </c>
      <c r="E118" s="16" t="s">
        <v>349</v>
      </c>
      <c r="F118" s="66" t="s">
        <v>330</v>
      </c>
      <c r="G118" s="80"/>
    </row>
    <row r="119" spans="1:7" x14ac:dyDescent="0.2">
      <c r="A119" s="131"/>
      <c r="B119" s="65">
        <v>118</v>
      </c>
      <c r="C119" s="81">
        <v>45802</v>
      </c>
      <c r="D119" s="16" t="s">
        <v>339</v>
      </c>
      <c r="E119" s="16" t="s">
        <v>349</v>
      </c>
      <c r="F119" s="66" t="s">
        <v>333</v>
      </c>
      <c r="G119" s="78"/>
    </row>
    <row r="120" spans="1:7" x14ac:dyDescent="0.2">
      <c r="A120" s="131"/>
      <c r="B120" s="65">
        <v>119</v>
      </c>
      <c r="C120" s="81">
        <v>45802</v>
      </c>
      <c r="D120" s="16" t="s">
        <v>382</v>
      </c>
      <c r="E120" s="16" t="s">
        <v>349</v>
      </c>
      <c r="F120" s="66" t="s">
        <v>338</v>
      </c>
      <c r="G120" s="78"/>
    </row>
    <row r="121" spans="1:7" ht="18.75" thickBot="1" x14ac:dyDescent="0.25">
      <c r="A121" s="132"/>
      <c r="B121" s="65">
        <v>120</v>
      </c>
      <c r="C121" s="81">
        <v>45802</v>
      </c>
      <c r="D121" s="67" t="s">
        <v>326</v>
      </c>
      <c r="E121" s="67" t="s">
        <v>349</v>
      </c>
      <c r="F121" s="68" t="s">
        <v>336</v>
      </c>
      <c r="G121" s="78"/>
    </row>
    <row r="122" spans="1:7" x14ac:dyDescent="0.2">
      <c r="A122" s="133" t="s">
        <v>20</v>
      </c>
      <c r="B122" s="62">
        <v>121</v>
      </c>
      <c r="C122" s="77">
        <v>45816</v>
      </c>
      <c r="D122" s="16" t="s">
        <v>336</v>
      </c>
      <c r="E122" s="16" t="s">
        <v>349</v>
      </c>
      <c r="F122" s="66" t="s">
        <v>325</v>
      </c>
      <c r="G122" s="78"/>
    </row>
    <row r="123" spans="1:7" x14ac:dyDescent="0.2">
      <c r="A123" s="131"/>
      <c r="B123" s="65">
        <v>122</v>
      </c>
      <c r="C123" s="81">
        <v>45816</v>
      </c>
      <c r="D123" s="16" t="s">
        <v>330</v>
      </c>
      <c r="E123" s="16" t="s">
        <v>349</v>
      </c>
      <c r="F123" s="66" t="s">
        <v>338</v>
      </c>
      <c r="G123" s="78"/>
    </row>
    <row r="124" spans="1:7" x14ac:dyDescent="0.2">
      <c r="A124" s="131"/>
      <c r="B124" s="65">
        <v>123</v>
      </c>
      <c r="C124" s="81">
        <v>45816</v>
      </c>
      <c r="D124" s="16" t="s">
        <v>339</v>
      </c>
      <c r="E124" s="16" t="s">
        <v>349</v>
      </c>
      <c r="F124" s="66" t="s">
        <v>333</v>
      </c>
      <c r="G124" s="78"/>
    </row>
    <row r="125" spans="1:7" x14ac:dyDescent="0.2">
      <c r="A125" s="131"/>
      <c r="B125" s="65">
        <v>124</v>
      </c>
      <c r="C125" s="81">
        <v>45816</v>
      </c>
      <c r="D125" s="16" t="s">
        <v>335</v>
      </c>
      <c r="E125" s="16" t="s">
        <v>349</v>
      </c>
      <c r="F125" s="66" t="s">
        <v>328</v>
      </c>
      <c r="G125" s="78"/>
    </row>
    <row r="126" spans="1:7" x14ac:dyDescent="0.2">
      <c r="A126" s="131"/>
      <c r="B126" s="65">
        <v>125</v>
      </c>
      <c r="C126" s="81">
        <v>45816</v>
      </c>
      <c r="D126" s="16" t="s">
        <v>334</v>
      </c>
      <c r="E126" s="16" t="s">
        <v>349</v>
      </c>
      <c r="F126" s="66" t="s">
        <v>331</v>
      </c>
      <c r="G126" s="78"/>
    </row>
    <row r="127" spans="1:7" x14ac:dyDescent="0.2">
      <c r="A127" s="131"/>
      <c r="B127" s="65">
        <v>126</v>
      </c>
      <c r="C127" s="81">
        <v>45816</v>
      </c>
      <c r="D127" s="16" t="s">
        <v>329</v>
      </c>
      <c r="E127" s="16" t="s">
        <v>349</v>
      </c>
      <c r="F127" s="66" t="s">
        <v>327</v>
      </c>
      <c r="G127" s="78"/>
    </row>
    <row r="128" spans="1:7" ht="18.75" thickBot="1" x14ac:dyDescent="0.25">
      <c r="A128" s="132"/>
      <c r="B128" s="65">
        <v>127</v>
      </c>
      <c r="C128" s="81">
        <v>45816</v>
      </c>
      <c r="D128" s="67" t="s">
        <v>332</v>
      </c>
      <c r="E128" s="67" t="s">
        <v>349</v>
      </c>
      <c r="F128" s="68" t="s">
        <v>337</v>
      </c>
      <c r="G128" s="78"/>
    </row>
    <row r="129" spans="1:7" x14ac:dyDescent="0.2">
      <c r="A129" s="133" t="s">
        <v>51</v>
      </c>
      <c r="B129" s="62">
        <v>128</v>
      </c>
      <c r="C129" s="77">
        <v>45823</v>
      </c>
      <c r="D129" s="16" t="s">
        <v>328</v>
      </c>
      <c r="E129" s="16" t="s">
        <v>349</v>
      </c>
      <c r="F129" s="66" t="s">
        <v>329</v>
      </c>
      <c r="G129" s="78"/>
    </row>
    <row r="130" spans="1:7" x14ac:dyDescent="0.25">
      <c r="A130" s="131"/>
      <c r="B130" s="65">
        <v>129</v>
      </c>
      <c r="C130" s="81">
        <v>45823</v>
      </c>
      <c r="D130" s="16" t="s">
        <v>333</v>
      </c>
      <c r="E130" s="16" t="s">
        <v>349</v>
      </c>
      <c r="F130" s="66" t="s">
        <v>327</v>
      </c>
    </row>
    <row r="131" spans="1:7" x14ac:dyDescent="0.25">
      <c r="A131" s="131"/>
      <c r="B131" s="65">
        <v>130</v>
      </c>
      <c r="C131" s="81">
        <v>45823</v>
      </c>
      <c r="D131" s="16" t="s">
        <v>332</v>
      </c>
      <c r="E131" s="16" t="s">
        <v>349</v>
      </c>
      <c r="F131" s="66" t="s">
        <v>335</v>
      </c>
    </row>
    <row r="132" spans="1:7" x14ac:dyDescent="0.25">
      <c r="A132" s="131"/>
      <c r="B132" s="65">
        <v>131</v>
      </c>
      <c r="C132" s="81">
        <v>45823</v>
      </c>
      <c r="D132" s="16" t="s">
        <v>339</v>
      </c>
      <c r="E132" s="16" t="s">
        <v>349</v>
      </c>
      <c r="F132" s="66" t="s">
        <v>337</v>
      </c>
    </row>
    <row r="133" spans="1:7" x14ac:dyDescent="0.25">
      <c r="A133" s="131"/>
      <c r="B133" s="65">
        <v>132</v>
      </c>
      <c r="C133" s="81">
        <v>45823</v>
      </c>
      <c r="D133" s="16" t="s">
        <v>331</v>
      </c>
      <c r="E133" s="16" t="s">
        <v>349</v>
      </c>
      <c r="F133" s="66" t="s">
        <v>330</v>
      </c>
    </row>
    <row r="134" spans="1:7" x14ac:dyDescent="0.25">
      <c r="A134" s="131"/>
      <c r="B134" s="65">
        <v>133</v>
      </c>
      <c r="C134" s="81">
        <v>45823</v>
      </c>
      <c r="D134" s="16" t="s">
        <v>382</v>
      </c>
      <c r="E134" s="16" t="s">
        <v>349</v>
      </c>
      <c r="F134" s="66" t="s">
        <v>338</v>
      </c>
    </row>
    <row r="135" spans="1:7" ht="18.75" thickBot="1" x14ac:dyDescent="0.3">
      <c r="A135" s="132"/>
      <c r="B135" s="65">
        <v>134</v>
      </c>
      <c r="C135" s="81">
        <v>45823</v>
      </c>
      <c r="D135" s="67" t="s">
        <v>336</v>
      </c>
      <c r="E135" s="67" t="s">
        <v>349</v>
      </c>
      <c r="F135" s="68" t="s">
        <v>334</v>
      </c>
    </row>
    <row r="136" spans="1:7" x14ac:dyDescent="0.25">
      <c r="A136" s="133" t="s">
        <v>81</v>
      </c>
      <c r="B136" s="62">
        <v>135</v>
      </c>
      <c r="C136" s="77">
        <v>45830</v>
      </c>
      <c r="D136" s="63" t="s">
        <v>337</v>
      </c>
      <c r="E136" s="63" t="s">
        <v>349</v>
      </c>
      <c r="F136" s="64" t="s">
        <v>329</v>
      </c>
    </row>
    <row r="137" spans="1:7" x14ac:dyDescent="0.25">
      <c r="A137" s="131"/>
      <c r="B137" s="65">
        <v>136</v>
      </c>
      <c r="C137" s="81">
        <v>45830</v>
      </c>
      <c r="D137" s="16" t="s">
        <v>328</v>
      </c>
      <c r="E137" s="16" t="s">
        <v>349</v>
      </c>
      <c r="F137" s="66" t="s">
        <v>327</v>
      </c>
    </row>
    <row r="138" spans="1:7" x14ac:dyDescent="0.25">
      <c r="A138" s="131"/>
      <c r="B138" s="65">
        <v>137</v>
      </c>
      <c r="C138" s="81">
        <v>45830</v>
      </c>
      <c r="D138" s="16" t="s">
        <v>332</v>
      </c>
      <c r="E138" s="16" t="s">
        <v>349</v>
      </c>
      <c r="F138" s="66" t="s">
        <v>333</v>
      </c>
    </row>
    <row r="139" spans="1:7" x14ac:dyDescent="0.25">
      <c r="A139" s="131"/>
      <c r="B139" s="65">
        <v>138</v>
      </c>
      <c r="C139" s="81">
        <v>45830</v>
      </c>
      <c r="D139" s="16" t="s">
        <v>339</v>
      </c>
      <c r="E139" s="16" t="s">
        <v>349</v>
      </c>
      <c r="F139" s="66" t="s">
        <v>335</v>
      </c>
    </row>
    <row r="140" spans="1:7" x14ac:dyDescent="0.25">
      <c r="A140" s="131"/>
      <c r="B140" s="65">
        <v>139</v>
      </c>
      <c r="C140" s="81">
        <v>45830</v>
      </c>
      <c r="D140" s="16" t="s">
        <v>325</v>
      </c>
      <c r="E140" s="16" t="s">
        <v>349</v>
      </c>
      <c r="F140" s="66" t="s">
        <v>330</v>
      </c>
    </row>
    <row r="141" spans="1:7" x14ac:dyDescent="0.25">
      <c r="A141" s="131"/>
      <c r="B141" s="65">
        <v>140</v>
      </c>
      <c r="C141" s="81">
        <v>45830</v>
      </c>
      <c r="D141" s="16" t="s">
        <v>331</v>
      </c>
      <c r="E141" s="16" t="s">
        <v>349</v>
      </c>
      <c r="F141" s="66" t="s">
        <v>338</v>
      </c>
    </row>
    <row r="142" spans="1:7" ht="18.75" thickBot="1" x14ac:dyDescent="0.3">
      <c r="A142" s="132"/>
      <c r="B142" s="65">
        <v>141</v>
      </c>
      <c r="C142" s="81">
        <v>45830</v>
      </c>
      <c r="D142" s="67" t="s">
        <v>336</v>
      </c>
      <c r="E142" s="67" t="s">
        <v>349</v>
      </c>
      <c r="F142" s="68" t="s">
        <v>382</v>
      </c>
    </row>
    <row r="143" spans="1:7" x14ac:dyDescent="0.25">
      <c r="A143" s="133" t="s">
        <v>83</v>
      </c>
      <c r="B143" s="62">
        <v>142</v>
      </c>
      <c r="C143" s="77">
        <v>45837</v>
      </c>
      <c r="D143" s="63" t="s">
        <v>382</v>
      </c>
      <c r="E143" s="63" t="s">
        <v>349</v>
      </c>
      <c r="F143" s="64" t="s">
        <v>331</v>
      </c>
    </row>
    <row r="144" spans="1:7" x14ac:dyDescent="0.25">
      <c r="A144" s="131"/>
      <c r="B144" s="65">
        <v>143</v>
      </c>
      <c r="C144" s="81">
        <v>45837</v>
      </c>
      <c r="D144" s="16" t="s">
        <v>333</v>
      </c>
      <c r="E144" s="16" t="s">
        <v>349</v>
      </c>
      <c r="F144" s="66" t="s">
        <v>328</v>
      </c>
    </row>
    <row r="145" spans="1:7" x14ac:dyDescent="0.2">
      <c r="A145" s="131"/>
      <c r="B145" s="65">
        <v>144</v>
      </c>
      <c r="C145" s="81">
        <v>45837</v>
      </c>
      <c r="D145" s="16" t="s">
        <v>334</v>
      </c>
      <c r="E145" s="16" t="s">
        <v>349</v>
      </c>
      <c r="F145" s="66" t="s">
        <v>325</v>
      </c>
      <c r="G145" s="69"/>
    </row>
    <row r="146" spans="1:7" x14ac:dyDescent="0.2">
      <c r="A146" s="131"/>
      <c r="B146" s="65">
        <v>145</v>
      </c>
      <c r="C146" s="81">
        <v>45837</v>
      </c>
      <c r="D146" s="16" t="s">
        <v>335</v>
      </c>
      <c r="E146" s="16" t="s">
        <v>349</v>
      </c>
      <c r="F146" s="66" t="s">
        <v>337</v>
      </c>
      <c r="G146" s="69"/>
    </row>
    <row r="147" spans="1:7" x14ac:dyDescent="0.2">
      <c r="A147" s="131"/>
      <c r="B147" s="65">
        <v>146</v>
      </c>
      <c r="C147" s="81">
        <v>45837</v>
      </c>
      <c r="D147" s="16" t="s">
        <v>336</v>
      </c>
      <c r="E147" s="16" t="s">
        <v>349</v>
      </c>
      <c r="F147" s="66" t="s">
        <v>330</v>
      </c>
      <c r="G147" s="69"/>
    </row>
    <row r="148" spans="1:7" x14ac:dyDescent="0.2">
      <c r="A148" s="131"/>
      <c r="B148" s="65">
        <v>147</v>
      </c>
      <c r="C148" s="81">
        <v>45837</v>
      </c>
      <c r="D148" s="16" t="s">
        <v>332</v>
      </c>
      <c r="E148" s="16" t="s">
        <v>349</v>
      </c>
      <c r="F148" s="66" t="s">
        <v>329</v>
      </c>
      <c r="G148" s="69"/>
    </row>
    <row r="149" spans="1:7" ht="18.75" thickBot="1" x14ac:dyDescent="0.25">
      <c r="A149" s="132"/>
      <c r="B149" s="65">
        <v>148</v>
      </c>
      <c r="C149" s="81">
        <v>45837</v>
      </c>
      <c r="D149" s="67" t="s">
        <v>339</v>
      </c>
      <c r="E149" s="67" t="s">
        <v>349</v>
      </c>
      <c r="F149" s="68" t="s">
        <v>327</v>
      </c>
      <c r="G149" s="69"/>
    </row>
    <row r="150" spans="1:7" x14ac:dyDescent="0.2">
      <c r="A150" s="130" t="s">
        <v>84</v>
      </c>
      <c r="B150" s="62">
        <v>149</v>
      </c>
      <c r="C150" s="77">
        <v>45844</v>
      </c>
      <c r="D150" s="63" t="s">
        <v>334</v>
      </c>
      <c r="E150" s="63" t="s">
        <v>349</v>
      </c>
      <c r="F150" s="64" t="s">
        <v>338</v>
      </c>
      <c r="G150" s="69"/>
    </row>
    <row r="151" spans="1:7" x14ac:dyDescent="0.2">
      <c r="A151" s="131"/>
      <c r="B151" s="65">
        <v>150</v>
      </c>
      <c r="C151" s="81">
        <v>45844</v>
      </c>
      <c r="D151" s="16" t="s">
        <v>333</v>
      </c>
      <c r="E151" s="16" t="s">
        <v>349</v>
      </c>
      <c r="F151" s="66" t="s">
        <v>329</v>
      </c>
      <c r="G151" s="69"/>
    </row>
    <row r="152" spans="1:7" x14ac:dyDescent="0.2">
      <c r="A152" s="131"/>
      <c r="B152" s="65">
        <v>151</v>
      </c>
      <c r="C152" s="81">
        <v>45844</v>
      </c>
      <c r="D152" s="16" t="s">
        <v>331</v>
      </c>
      <c r="E152" s="16" t="s">
        <v>349</v>
      </c>
      <c r="F152" s="66" t="s">
        <v>325</v>
      </c>
      <c r="G152" s="69"/>
    </row>
    <row r="153" spans="1:7" x14ac:dyDescent="0.2">
      <c r="A153" s="131"/>
      <c r="B153" s="65">
        <v>152</v>
      </c>
      <c r="C153" s="81">
        <v>45844</v>
      </c>
      <c r="D153" s="16" t="s">
        <v>328</v>
      </c>
      <c r="E153" s="16" t="s">
        <v>349</v>
      </c>
      <c r="F153" s="66" t="s">
        <v>337</v>
      </c>
      <c r="G153" s="69"/>
    </row>
    <row r="154" spans="1:7" x14ac:dyDescent="0.2">
      <c r="A154" s="131"/>
      <c r="B154" s="65">
        <v>153</v>
      </c>
      <c r="C154" s="81">
        <v>45844</v>
      </c>
      <c r="D154" s="16" t="s">
        <v>339</v>
      </c>
      <c r="E154" s="16" t="s">
        <v>349</v>
      </c>
      <c r="F154" s="66" t="s">
        <v>332</v>
      </c>
      <c r="G154" s="69"/>
    </row>
    <row r="155" spans="1:7" x14ac:dyDescent="0.2">
      <c r="A155" s="131"/>
      <c r="B155" s="65">
        <v>154</v>
      </c>
      <c r="C155" s="81">
        <v>45844</v>
      </c>
      <c r="D155" s="16" t="s">
        <v>335</v>
      </c>
      <c r="E155" s="16" t="s">
        <v>349</v>
      </c>
      <c r="F155" s="66" t="s">
        <v>327</v>
      </c>
      <c r="G155" s="69"/>
    </row>
    <row r="156" spans="1:7" ht="18.75" thickBot="1" x14ac:dyDescent="0.25">
      <c r="A156" s="132"/>
      <c r="B156" s="65">
        <v>155</v>
      </c>
      <c r="C156" s="81">
        <v>45844</v>
      </c>
      <c r="D156" s="67" t="s">
        <v>382</v>
      </c>
      <c r="E156" s="67" t="s">
        <v>349</v>
      </c>
      <c r="F156" s="68" t="s">
        <v>330</v>
      </c>
      <c r="G156" s="69"/>
    </row>
    <row r="157" spans="1:7" x14ac:dyDescent="0.2">
      <c r="A157" s="130" t="s">
        <v>85</v>
      </c>
      <c r="B157" s="62">
        <v>156</v>
      </c>
      <c r="C157" s="77">
        <v>45851</v>
      </c>
      <c r="D157" s="63" t="s">
        <v>339</v>
      </c>
      <c r="E157" s="63" t="s">
        <v>349</v>
      </c>
      <c r="F157" s="64" t="s">
        <v>328</v>
      </c>
      <c r="G157" s="69"/>
    </row>
    <row r="158" spans="1:7" x14ac:dyDescent="0.2">
      <c r="A158" s="131"/>
      <c r="B158" s="65">
        <v>157</v>
      </c>
      <c r="C158" s="81">
        <v>45851</v>
      </c>
      <c r="D158" s="16" t="s">
        <v>334</v>
      </c>
      <c r="E158" s="16" t="s">
        <v>349</v>
      </c>
      <c r="F158" s="66" t="s">
        <v>330</v>
      </c>
      <c r="G158" s="69"/>
    </row>
    <row r="159" spans="1:7" x14ac:dyDescent="0.2">
      <c r="A159" s="131"/>
      <c r="B159" s="65">
        <v>158</v>
      </c>
      <c r="C159" s="81">
        <v>45851</v>
      </c>
      <c r="D159" s="16" t="s">
        <v>336</v>
      </c>
      <c r="E159" s="16" t="s">
        <v>349</v>
      </c>
      <c r="F159" s="66" t="s">
        <v>338</v>
      </c>
      <c r="G159" s="69"/>
    </row>
    <row r="160" spans="1:7" x14ac:dyDescent="0.2">
      <c r="A160" s="131"/>
      <c r="B160" s="65">
        <v>159</v>
      </c>
      <c r="C160" s="81">
        <v>45851</v>
      </c>
      <c r="D160" s="16" t="s">
        <v>335</v>
      </c>
      <c r="E160" s="16" t="s">
        <v>349</v>
      </c>
      <c r="F160" s="66" t="s">
        <v>329</v>
      </c>
      <c r="G160" s="69"/>
    </row>
    <row r="161" spans="1:7" x14ac:dyDescent="0.2">
      <c r="A161" s="131"/>
      <c r="B161" s="65">
        <v>160</v>
      </c>
      <c r="C161" s="81">
        <v>45851</v>
      </c>
      <c r="D161" s="16" t="s">
        <v>333</v>
      </c>
      <c r="E161" s="16" t="s">
        <v>349</v>
      </c>
      <c r="F161" s="66" t="s">
        <v>337</v>
      </c>
      <c r="G161" s="69"/>
    </row>
    <row r="162" spans="1:7" x14ac:dyDescent="0.2">
      <c r="A162" s="131"/>
      <c r="B162" s="65">
        <v>161</v>
      </c>
      <c r="C162" s="81">
        <v>45851</v>
      </c>
      <c r="D162" s="16" t="s">
        <v>332</v>
      </c>
      <c r="E162" s="16" t="s">
        <v>349</v>
      </c>
      <c r="F162" s="66" t="s">
        <v>327</v>
      </c>
      <c r="G162" s="69"/>
    </row>
    <row r="163" spans="1:7" ht="18.75" thickBot="1" x14ac:dyDescent="0.25">
      <c r="A163" s="132"/>
      <c r="B163" s="65">
        <v>162</v>
      </c>
      <c r="C163" s="81">
        <v>45851</v>
      </c>
      <c r="D163" s="67" t="s">
        <v>382</v>
      </c>
      <c r="E163" s="67" t="s">
        <v>349</v>
      </c>
      <c r="F163" s="68" t="s">
        <v>325</v>
      </c>
      <c r="G163" s="69"/>
    </row>
    <row r="164" spans="1:7" x14ac:dyDescent="0.2">
      <c r="A164" s="130" t="s">
        <v>93</v>
      </c>
      <c r="B164" s="62">
        <v>163</v>
      </c>
      <c r="C164" s="81">
        <v>45858</v>
      </c>
      <c r="D164" s="16" t="s">
        <v>339</v>
      </c>
      <c r="E164" s="16" t="s">
        <v>349</v>
      </c>
      <c r="F164" s="66" t="s">
        <v>329</v>
      </c>
      <c r="G164" s="69"/>
    </row>
    <row r="165" spans="1:7" x14ac:dyDescent="0.2">
      <c r="A165" s="131"/>
      <c r="B165" s="65">
        <v>164</v>
      </c>
      <c r="C165" s="81">
        <v>45858</v>
      </c>
      <c r="D165" s="16" t="s">
        <v>337</v>
      </c>
      <c r="E165" s="16" t="s">
        <v>349</v>
      </c>
      <c r="F165" s="66" t="s">
        <v>327</v>
      </c>
      <c r="G165" s="69"/>
    </row>
    <row r="166" spans="1:7" x14ac:dyDescent="0.2">
      <c r="A166" s="131"/>
      <c r="B166" s="65">
        <v>165</v>
      </c>
      <c r="C166" s="81">
        <v>45858</v>
      </c>
      <c r="D166" s="16" t="s">
        <v>325</v>
      </c>
      <c r="E166" s="16" t="s">
        <v>349</v>
      </c>
      <c r="F166" s="66" t="s">
        <v>338</v>
      </c>
      <c r="G166" s="69"/>
    </row>
    <row r="167" spans="1:7" x14ac:dyDescent="0.2">
      <c r="A167" s="131"/>
      <c r="B167" s="65">
        <v>166</v>
      </c>
      <c r="C167" s="81">
        <v>45858</v>
      </c>
      <c r="D167" s="16" t="s">
        <v>335</v>
      </c>
      <c r="E167" s="16" t="s">
        <v>349</v>
      </c>
      <c r="F167" s="66" t="s">
        <v>333</v>
      </c>
      <c r="G167" s="69"/>
    </row>
    <row r="168" spans="1:7" x14ac:dyDescent="0.2">
      <c r="A168" s="131"/>
      <c r="B168" s="65">
        <v>167</v>
      </c>
      <c r="C168" s="81">
        <v>45858</v>
      </c>
      <c r="D168" s="16" t="s">
        <v>332</v>
      </c>
      <c r="E168" s="16" t="s">
        <v>349</v>
      </c>
      <c r="F168" s="66" t="s">
        <v>328</v>
      </c>
      <c r="G168" s="69"/>
    </row>
    <row r="169" spans="1:7" x14ac:dyDescent="0.2">
      <c r="A169" s="131"/>
      <c r="B169" s="65">
        <v>168</v>
      </c>
      <c r="C169" s="81">
        <v>45858</v>
      </c>
      <c r="D169" s="16" t="s">
        <v>336</v>
      </c>
      <c r="E169" s="16" t="s">
        <v>349</v>
      </c>
      <c r="F169" s="66" t="s">
        <v>331</v>
      </c>
      <c r="G169" s="69"/>
    </row>
    <row r="170" spans="1:7" ht="18.75" thickBot="1" x14ac:dyDescent="0.25">
      <c r="A170" s="132"/>
      <c r="B170" s="65">
        <v>169</v>
      </c>
      <c r="C170" s="81">
        <v>45858</v>
      </c>
      <c r="D170" s="67" t="s">
        <v>334</v>
      </c>
      <c r="E170" s="67" t="s">
        <v>349</v>
      </c>
      <c r="F170" s="68" t="s">
        <v>382</v>
      </c>
      <c r="G170" s="69"/>
    </row>
    <row r="171" spans="1:7" x14ac:dyDescent="0.2">
      <c r="A171" s="126" t="s">
        <v>94</v>
      </c>
      <c r="B171" s="62">
        <v>170</v>
      </c>
      <c r="C171" s="77">
        <v>45865</v>
      </c>
      <c r="D171" s="16" t="s">
        <v>339</v>
      </c>
      <c r="E171" s="16" t="s">
        <v>349</v>
      </c>
      <c r="F171" s="66" t="s">
        <v>334</v>
      </c>
      <c r="G171" s="69"/>
    </row>
    <row r="172" spans="1:7" x14ac:dyDescent="0.2">
      <c r="B172" s="65">
        <v>171</v>
      </c>
      <c r="C172" s="81">
        <v>45865</v>
      </c>
      <c r="D172" s="16" t="s">
        <v>336</v>
      </c>
      <c r="E172" s="16" t="s">
        <v>349</v>
      </c>
      <c r="F172" s="66" t="s">
        <v>333</v>
      </c>
      <c r="G172" s="69"/>
    </row>
    <row r="173" spans="1:7" x14ac:dyDescent="0.2">
      <c r="B173" s="65">
        <v>172</v>
      </c>
      <c r="C173" s="81">
        <v>45865</v>
      </c>
      <c r="D173" s="16" t="s">
        <v>327</v>
      </c>
      <c r="E173" s="16" t="s">
        <v>349</v>
      </c>
      <c r="F173" s="66" t="s">
        <v>325</v>
      </c>
      <c r="G173" s="69"/>
    </row>
    <row r="174" spans="1:7" ht="18.75" thickBot="1" x14ac:dyDescent="0.25">
      <c r="B174" s="65">
        <v>173</v>
      </c>
      <c r="C174" s="81">
        <v>45865</v>
      </c>
      <c r="D174" s="67" t="s">
        <v>338</v>
      </c>
      <c r="E174" s="67" t="s">
        <v>349</v>
      </c>
      <c r="F174" s="68" t="s">
        <v>337</v>
      </c>
      <c r="G174" s="69"/>
    </row>
    <row r="175" spans="1:7" x14ac:dyDescent="0.2">
      <c r="A175" s="126" t="s">
        <v>95</v>
      </c>
      <c r="B175" s="62">
        <v>174</v>
      </c>
      <c r="C175" s="77">
        <v>45872</v>
      </c>
      <c r="D175" s="16" t="s">
        <v>337</v>
      </c>
      <c r="E175" s="16" t="s">
        <v>349</v>
      </c>
      <c r="F175" s="66" t="s">
        <v>325</v>
      </c>
      <c r="G175" s="69"/>
    </row>
    <row r="176" spans="1:7" ht="18.75" thickBot="1" x14ac:dyDescent="0.25">
      <c r="B176" s="65">
        <v>175</v>
      </c>
      <c r="C176" s="81">
        <v>45872</v>
      </c>
      <c r="D176" s="67" t="s">
        <v>339</v>
      </c>
      <c r="E176" s="67" t="s">
        <v>349</v>
      </c>
      <c r="F176" s="68" t="s">
        <v>333</v>
      </c>
      <c r="G176" s="69"/>
    </row>
    <row r="177" spans="2:7" x14ac:dyDescent="0.2">
      <c r="B177" s="62"/>
      <c r="C177" s="69"/>
      <c r="G177" s="69"/>
    </row>
    <row r="178" spans="2:7" x14ac:dyDescent="0.2">
      <c r="B178" s="65"/>
      <c r="C178" s="69"/>
      <c r="G178" s="69"/>
    </row>
    <row r="179" spans="2:7" x14ac:dyDescent="0.2">
      <c r="B179" s="65"/>
      <c r="C179" s="69"/>
      <c r="G179" s="69"/>
    </row>
    <row r="180" spans="2:7" x14ac:dyDescent="0.2">
      <c r="B180" s="65"/>
      <c r="C180" s="69"/>
      <c r="G180" s="69"/>
    </row>
  </sheetData>
  <mergeCells count="22">
    <mergeCell ref="A164:A170"/>
    <mergeCell ref="A2:A9"/>
    <mergeCell ref="A18:A25"/>
    <mergeCell ref="A26:A33"/>
    <mergeCell ref="A34:A41"/>
    <mergeCell ref="A42:A49"/>
    <mergeCell ref="A10:A17"/>
    <mergeCell ref="A50:A57"/>
    <mergeCell ref="A58:A65"/>
    <mergeCell ref="A66:A73"/>
    <mergeCell ref="A74:A81"/>
    <mergeCell ref="A82:A89"/>
    <mergeCell ref="A90:A97"/>
    <mergeCell ref="A98:A105"/>
    <mergeCell ref="A106:A113"/>
    <mergeCell ref="A157:A163"/>
    <mergeCell ref="A114:A121"/>
    <mergeCell ref="A129:A135"/>
    <mergeCell ref="A136:A142"/>
    <mergeCell ref="A143:A149"/>
    <mergeCell ref="A150:A156"/>
    <mergeCell ref="A122:A128"/>
  </mergeCells>
  <phoneticPr fontId="9" type="noConversion"/>
  <conditionalFormatting sqref="C2:C176">
    <cfRule type="expression" dxfId="6" priority="1">
      <formula>C2&lt;=TODAY()</formula>
    </cfRule>
  </conditionalFormatting>
  <hyperlinks>
    <hyperlink ref="A1" location="Equipos!A1" display="Volver" xr:uid="{00000000-0004-0000-0100-000000000000}"/>
  </hyperlink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16"/>
  <sheetViews>
    <sheetView showGridLines="0" zoomScale="110" zoomScaleNormal="110" workbookViewId="0">
      <selection activeCell="N3" sqref="N3:P12"/>
    </sheetView>
  </sheetViews>
  <sheetFormatPr baseColWidth="10" defaultRowHeight="15" x14ac:dyDescent="0.25"/>
  <cols>
    <col min="1" max="1" width="7.42578125" customWidth="1"/>
    <col min="2" max="2" width="15.5703125" customWidth="1"/>
    <col min="3" max="3" width="3.85546875" customWidth="1"/>
    <col min="4" max="4" width="3.140625" customWidth="1"/>
    <col min="5" max="5" width="4.42578125" customWidth="1"/>
    <col min="6" max="6" width="5.85546875" customWidth="1"/>
    <col min="7" max="7" width="8" customWidth="1"/>
    <col min="8" max="8" width="5.140625" customWidth="1"/>
    <col min="9" max="9" width="6.5703125" customWidth="1"/>
    <col min="10" max="10" width="5.85546875" customWidth="1"/>
    <col min="11" max="11" width="3.28515625" customWidth="1"/>
    <col min="12" max="12" width="6" customWidth="1"/>
    <col min="13" max="13" width="3" customWidth="1"/>
    <col min="14" max="14" width="26.28515625" customWidth="1"/>
    <col min="15" max="15" width="20.7109375" customWidth="1"/>
    <col min="16" max="16" width="7.28515625" customWidth="1"/>
    <col min="17" max="17" width="3.28515625" customWidth="1"/>
    <col min="18" max="18" width="5.85546875" customWidth="1"/>
    <col min="19" max="19" width="21.85546875" customWidth="1"/>
    <col min="20" max="20" width="19" customWidth="1"/>
    <col min="21" max="21" width="7" bestFit="1" customWidth="1"/>
    <col min="22" max="22" width="3.28515625" customWidth="1"/>
    <col min="23" max="23" width="6" customWidth="1"/>
    <col min="24" max="24" width="14.28515625" bestFit="1" customWidth="1"/>
    <col min="25" max="25" width="11.7109375" bestFit="1" customWidth="1"/>
    <col min="26" max="26" width="7" bestFit="1" customWidth="1"/>
    <col min="27" max="27" width="3.42578125" customWidth="1"/>
    <col min="28" max="28" width="5.28515625" customWidth="1"/>
    <col min="29" max="29" width="18" customWidth="1"/>
    <col min="30" max="30" width="19" customWidth="1"/>
    <col min="31" max="31" width="7" bestFit="1" customWidth="1"/>
  </cols>
  <sheetData>
    <row r="1" spans="1:31" s="14" customFormat="1" ht="13.9" customHeight="1" thickBot="1" x14ac:dyDescent="0.3">
      <c r="A1" s="139" t="s">
        <v>128</v>
      </c>
      <c r="B1" s="139"/>
      <c r="C1" s="139"/>
      <c r="D1" s="139"/>
      <c r="E1" s="139"/>
      <c r="F1" s="139"/>
      <c r="G1" s="139"/>
      <c r="H1" s="139"/>
      <c r="I1" s="139"/>
      <c r="J1" s="139"/>
      <c r="L1" s="137" t="s">
        <v>36</v>
      </c>
      <c r="M1" s="137"/>
      <c r="N1" s="137"/>
      <c r="O1" s="137"/>
      <c r="P1" s="137"/>
      <c r="R1" s="137" t="s">
        <v>37</v>
      </c>
      <c r="S1" s="137"/>
      <c r="T1" s="137"/>
      <c r="U1" s="137"/>
      <c r="W1" s="137" t="s">
        <v>69</v>
      </c>
      <c r="X1" s="137"/>
      <c r="Y1" s="137"/>
      <c r="Z1" s="137"/>
      <c r="AB1" s="137" t="s">
        <v>229</v>
      </c>
      <c r="AC1" s="137"/>
      <c r="AD1" s="137"/>
      <c r="AE1" s="137"/>
    </row>
    <row r="2" spans="1:31" s="14" customFormat="1" ht="13.9" customHeight="1" thickBot="1" x14ac:dyDescent="0.3">
      <c r="A2" s="20" t="s">
        <v>122</v>
      </c>
      <c r="B2" s="20" t="s">
        <v>2</v>
      </c>
      <c r="C2" s="20" t="s">
        <v>115</v>
      </c>
      <c r="D2" s="20" t="s">
        <v>116</v>
      </c>
      <c r="E2" s="20" t="s">
        <v>117</v>
      </c>
      <c r="F2" s="20" t="s">
        <v>119</v>
      </c>
      <c r="G2" s="20" t="s">
        <v>246</v>
      </c>
      <c r="H2" s="20" t="s">
        <v>126</v>
      </c>
      <c r="I2" s="20" t="s">
        <v>125</v>
      </c>
      <c r="J2" s="20" t="s">
        <v>127</v>
      </c>
      <c r="L2" s="20" t="s">
        <v>88</v>
      </c>
      <c r="M2" s="20"/>
      <c r="N2" s="20" t="s">
        <v>3</v>
      </c>
      <c r="O2" s="20" t="s">
        <v>2</v>
      </c>
      <c r="P2" s="20" t="s">
        <v>21</v>
      </c>
      <c r="R2" s="21" t="s">
        <v>235</v>
      </c>
      <c r="S2" s="21" t="s">
        <v>3</v>
      </c>
      <c r="T2" s="21" t="s">
        <v>2</v>
      </c>
      <c r="U2" s="21" t="s">
        <v>87</v>
      </c>
      <c r="W2" s="21" t="s">
        <v>235</v>
      </c>
      <c r="X2" s="21" t="s">
        <v>3</v>
      </c>
      <c r="Y2" s="21" t="s">
        <v>2</v>
      </c>
      <c r="Z2" s="21" t="s">
        <v>87</v>
      </c>
      <c r="AB2" s="21" t="s">
        <v>235</v>
      </c>
      <c r="AC2" s="21" t="s">
        <v>3</v>
      </c>
      <c r="AD2" s="21" t="s">
        <v>2</v>
      </c>
      <c r="AE2" s="21" t="s">
        <v>87</v>
      </c>
    </row>
    <row r="3" spans="1:31" s="14" customFormat="1" ht="18" customHeight="1" x14ac:dyDescent="0.25">
      <c r="A3" s="109" t="s">
        <v>129</v>
      </c>
      <c r="B3" s="120" t="str">
        <f ca="1">Resultados!AC3</f>
        <v>La Unión FC</v>
      </c>
      <c r="C3" s="109">
        <f ca="1">Resultados!AE3</f>
        <v>16</v>
      </c>
      <c r="D3" s="109">
        <f ca="1">Resultados!AF3</f>
        <v>4</v>
      </c>
      <c r="E3" s="109">
        <f ca="1">Resultados!AG3</f>
        <v>2</v>
      </c>
      <c r="F3" s="109">
        <f ca="1">Resultados!AK3</f>
        <v>205</v>
      </c>
      <c r="G3" s="109" t="str">
        <f ca="1">CONCATENATE(Resultados!AH3,":",Resultados!AI3)</f>
        <v>118:57</v>
      </c>
      <c r="H3" s="109">
        <f ca="1">Resultados!AL3</f>
        <v>52</v>
      </c>
      <c r="I3" s="109">
        <f ca="1">Resultados!AJ3</f>
        <v>61</v>
      </c>
      <c r="J3" s="109">
        <f ca="1">Resultados!AD3</f>
        <v>22</v>
      </c>
      <c r="L3" s="111" t="s">
        <v>129</v>
      </c>
      <c r="M3" s="111"/>
      <c r="N3" s="112" t="str">
        <f>Orden!F2</f>
        <v>Alexander Salgado</v>
      </c>
      <c r="O3" s="112" t="str">
        <f>Orden!G2</f>
        <v>La Unión FC</v>
      </c>
      <c r="P3" s="111">
        <f>Orden!H2</f>
        <v>49</v>
      </c>
      <c r="R3" s="15" t="s">
        <v>129</v>
      </c>
      <c r="S3" s="16" t="str">
        <f>Orden!K2</f>
        <v>Carlos Andrés Berrio</v>
      </c>
      <c r="T3" s="16" t="str">
        <f>Orden!L2</f>
        <v>Valentín FC</v>
      </c>
      <c r="U3" s="16">
        <f>Orden!M2</f>
        <v>9</v>
      </c>
      <c r="W3" s="15" t="s">
        <v>129</v>
      </c>
      <c r="X3" s="16" t="str">
        <f>Orden!P2</f>
        <v/>
      </c>
      <c r="Y3" s="16" t="str">
        <f>Orden!Q2</f>
        <v/>
      </c>
      <c r="Z3" s="16" t="str">
        <f>Orden!R2</f>
        <v/>
      </c>
      <c r="AB3" s="15" t="s">
        <v>129</v>
      </c>
      <c r="AC3" s="16" t="str">
        <f>Orden!U2</f>
        <v/>
      </c>
      <c r="AD3" s="16" t="str">
        <f>Orden!V2</f>
        <v/>
      </c>
      <c r="AE3" s="16" t="str">
        <f>Orden!W2</f>
        <v/>
      </c>
    </row>
    <row r="4" spans="1:31" s="14" customFormat="1" ht="18" customHeight="1" x14ac:dyDescent="0.25">
      <c r="A4" s="109" t="s">
        <v>130</v>
      </c>
      <c r="B4" s="120" t="str">
        <f ca="1">Resultados!AC4</f>
        <v>Ron Star</v>
      </c>
      <c r="C4" s="109">
        <f ca="1">Resultados!AE4</f>
        <v>16</v>
      </c>
      <c r="D4" s="109">
        <f ca="1">Resultados!AF4</f>
        <v>3</v>
      </c>
      <c r="E4" s="109">
        <f ca="1">Resultados!AG4</f>
        <v>5</v>
      </c>
      <c r="F4" s="109">
        <f ca="1">Resultados!AK4</f>
        <v>90</v>
      </c>
      <c r="G4" s="109" t="str">
        <f ca="1">CONCATENATE(Resultados!AH4,":",Resultados!AI4)</f>
        <v>101:53</v>
      </c>
      <c r="H4" s="109">
        <f ca="1">Resultados!AL4</f>
        <v>51</v>
      </c>
      <c r="I4" s="109">
        <f ca="1">Resultados!AJ4</f>
        <v>48</v>
      </c>
      <c r="J4" s="109">
        <f ca="1">Resultados!AD4</f>
        <v>24</v>
      </c>
      <c r="L4" s="111" t="s">
        <v>130</v>
      </c>
      <c r="M4" s="111"/>
      <c r="N4" s="112" t="str">
        <f>Orden!F3</f>
        <v>Eliecer Serpa</v>
      </c>
      <c r="O4" s="112" t="str">
        <f>Orden!G3</f>
        <v>Ron Star</v>
      </c>
      <c r="P4" s="111">
        <f>Orden!H3</f>
        <v>41</v>
      </c>
      <c r="R4" s="15" t="s">
        <v>130</v>
      </c>
      <c r="S4" s="16" t="str">
        <f>Orden!K3</f>
        <v>Julián Esteban Gil</v>
      </c>
      <c r="T4" s="16" t="str">
        <f>Orden!L3</f>
        <v>Hojas Anchas</v>
      </c>
      <c r="U4" s="16">
        <f>Orden!M3</f>
        <v>7</v>
      </c>
      <c r="W4" s="15" t="s">
        <v>130</v>
      </c>
      <c r="X4" s="16" t="str">
        <f>Orden!P3</f>
        <v/>
      </c>
      <c r="Y4" s="16" t="str">
        <f>Orden!Q3</f>
        <v/>
      </c>
      <c r="Z4" s="16" t="str">
        <f>Orden!R3</f>
        <v/>
      </c>
      <c r="AB4" s="15" t="s">
        <v>130</v>
      </c>
      <c r="AC4" s="16" t="str">
        <f>Orden!U3</f>
        <v/>
      </c>
      <c r="AD4" s="16" t="str">
        <f>Orden!V3</f>
        <v/>
      </c>
      <c r="AE4" s="16" t="str">
        <f>Orden!W3</f>
        <v/>
      </c>
    </row>
    <row r="5" spans="1:31" s="14" customFormat="1" ht="18" customHeight="1" x14ac:dyDescent="0.25">
      <c r="A5" s="109" t="s">
        <v>131</v>
      </c>
      <c r="B5" s="120" t="str">
        <f ca="1">Resultados!AC5</f>
        <v>La Amistad</v>
      </c>
      <c r="C5" s="109">
        <f ca="1">Resultados!AE5</f>
        <v>16</v>
      </c>
      <c r="D5" s="109">
        <f ca="1">Resultados!AF5</f>
        <v>2</v>
      </c>
      <c r="E5" s="109">
        <f ca="1">Resultados!AG5</f>
        <v>3</v>
      </c>
      <c r="F5" s="109">
        <f ca="1">Resultados!AK5</f>
        <v>120</v>
      </c>
      <c r="G5" s="109" t="str">
        <f ca="1">CONCATENATE(Resultados!AH5,":",Resultados!AI5)</f>
        <v>100:43</v>
      </c>
      <c r="H5" s="109">
        <f ca="1">Resultados!AL5</f>
        <v>50</v>
      </c>
      <c r="I5" s="109">
        <f ca="1">Resultados!AJ5</f>
        <v>57</v>
      </c>
      <c r="J5" s="109">
        <f ca="1">Resultados!AD5</f>
        <v>21</v>
      </c>
      <c r="L5" s="111" t="s">
        <v>131</v>
      </c>
      <c r="M5" s="111"/>
      <c r="N5" s="112" t="str">
        <f>Orden!F4</f>
        <v>Hernán Sánchez</v>
      </c>
      <c r="O5" s="112" t="str">
        <f>Orden!G4</f>
        <v>Los Amigos</v>
      </c>
      <c r="P5" s="111">
        <f>Orden!H4</f>
        <v>30</v>
      </c>
      <c r="R5" s="15" t="s">
        <v>131</v>
      </c>
      <c r="S5" s="16" t="str">
        <f>Orden!K4</f>
        <v>Argemiro Medina</v>
      </c>
      <c r="T5" s="16" t="str">
        <f>Orden!L4</f>
        <v>Ron Star</v>
      </c>
      <c r="U5" s="16">
        <f>Orden!M4</f>
        <v>5</v>
      </c>
      <c r="W5" s="15" t="s">
        <v>131</v>
      </c>
      <c r="X5" s="16" t="str">
        <f>Orden!P4</f>
        <v/>
      </c>
      <c r="Y5" s="16" t="str">
        <f>Orden!Q4</f>
        <v/>
      </c>
      <c r="Z5" s="16" t="str">
        <f>Orden!R4</f>
        <v/>
      </c>
      <c r="AB5" s="15" t="s">
        <v>131</v>
      </c>
      <c r="AC5" s="16" t="str">
        <f>Orden!U4</f>
        <v/>
      </c>
      <c r="AD5" s="16" t="str">
        <f>Orden!V4</f>
        <v/>
      </c>
      <c r="AE5" s="16" t="str">
        <f>Orden!W4</f>
        <v/>
      </c>
    </row>
    <row r="6" spans="1:31" s="14" customFormat="1" ht="18" customHeight="1" x14ac:dyDescent="0.25">
      <c r="A6" s="109" t="s">
        <v>132</v>
      </c>
      <c r="B6" s="120" t="str">
        <f ca="1">Resultados!AC6</f>
        <v>Los Amigos</v>
      </c>
      <c r="C6" s="109">
        <f ca="1">Resultados!AE6</f>
        <v>15</v>
      </c>
      <c r="D6" s="109">
        <f ca="1">Resultados!AF6</f>
        <v>5</v>
      </c>
      <c r="E6" s="109">
        <f ca="1">Resultados!AG6</f>
        <v>4</v>
      </c>
      <c r="F6" s="109">
        <f ca="1">Resultados!AK6</f>
        <v>135</v>
      </c>
      <c r="G6" s="109" t="str">
        <f ca="1">CONCATENATE(Resultados!AH6,":",Resultados!AI6)</f>
        <v>105:60</v>
      </c>
      <c r="H6" s="109">
        <f ca="1">Resultados!AL6</f>
        <v>50</v>
      </c>
      <c r="I6" s="109">
        <f ca="1">Resultados!AJ6</f>
        <v>45</v>
      </c>
      <c r="J6" s="109">
        <f ca="1">Resultados!AD6</f>
        <v>24</v>
      </c>
      <c r="L6" s="111" t="s">
        <v>132</v>
      </c>
      <c r="M6" s="111"/>
      <c r="N6" s="112" t="str">
        <f>Orden!F5</f>
        <v>Jaider Carvajal Ríos</v>
      </c>
      <c r="O6" s="112" t="str">
        <f>Orden!G5</f>
        <v>Valentín FC</v>
      </c>
      <c r="P6" s="111">
        <f>Orden!H5</f>
        <v>27</v>
      </c>
      <c r="R6" s="15" t="s">
        <v>132</v>
      </c>
      <c r="S6" s="16" t="str">
        <f>Orden!K5</f>
        <v>Jaider Carvajal Ríos</v>
      </c>
      <c r="T6" s="16" t="str">
        <f>Orden!L5</f>
        <v>Valentín FC</v>
      </c>
      <c r="U6" s="16">
        <f>Orden!M5</f>
        <v>5</v>
      </c>
      <c r="W6" s="15" t="s">
        <v>132</v>
      </c>
      <c r="X6" s="16" t="str">
        <f>Orden!P5</f>
        <v/>
      </c>
      <c r="Y6" s="16" t="str">
        <f>Orden!Q5</f>
        <v/>
      </c>
      <c r="Z6" s="16" t="str">
        <f>Orden!R5</f>
        <v/>
      </c>
      <c r="AB6" s="15" t="s">
        <v>132</v>
      </c>
      <c r="AC6" s="16" t="str">
        <f>Orden!U5</f>
        <v/>
      </c>
      <c r="AD6" s="16" t="str">
        <f>Orden!V5</f>
        <v/>
      </c>
      <c r="AE6" s="16" t="str">
        <f>Orden!W5</f>
        <v/>
      </c>
    </row>
    <row r="7" spans="1:31" s="14" customFormat="1" ht="18" customHeight="1" x14ac:dyDescent="0.25">
      <c r="A7" s="109" t="s">
        <v>133</v>
      </c>
      <c r="B7" s="120" t="str">
        <f ca="1">Resultados!AC7</f>
        <v>Konami</v>
      </c>
      <c r="C7" s="109">
        <f ca="1">Resultados!AE7</f>
        <v>15</v>
      </c>
      <c r="D7" s="109">
        <f ca="1">Resultados!AF7</f>
        <v>1</v>
      </c>
      <c r="E7" s="109">
        <f ca="1">Resultados!AG7</f>
        <v>7</v>
      </c>
      <c r="F7" s="109">
        <f ca="1">Resultados!AK7</f>
        <v>45</v>
      </c>
      <c r="G7" s="109" t="str">
        <f ca="1">CONCATENATE(Resultados!AH7,":",Resultados!AI7)</f>
        <v>75:41</v>
      </c>
      <c r="H7" s="109">
        <f ca="1">Resultados!AL7</f>
        <v>46</v>
      </c>
      <c r="I7" s="109">
        <f ca="1">Resultados!AJ7</f>
        <v>34</v>
      </c>
      <c r="J7" s="109">
        <f ca="1">Resultados!AD7</f>
        <v>23</v>
      </c>
      <c r="L7" s="111" t="s">
        <v>133</v>
      </c>
      <c r="M7" s="111"/>
      <c r="N7" s="112" t="str">
        <f>Orden!F6</f>
        <v>Santiago Lopera</v>
      </c>
      <c r="O7" s="112" t="str">
        <f>Orden!G6</f>
        <v>Konami</v>
      </c>
      <c r="P7" s="111">
        <f>Orden!H6</f>
        <v>25</v>
      </c>
      <c r="R7" s="15" t="s">
        <v>133</v>
      </c>
      <c r="S7" s="16" t="str">
        <f>Orden!K6</f>
        <v>Luis Fernando Madera</v>
      </c>
      <c r="T7" s="16" t="str">
        <f>Orden!L6</f>
        <v>La Unión FC</v>
      </c>
      <c r="U7" s="16">
        <f>Orden!M6</f>
        <v>5</v>
      </c>
      <c r="W7" s="15" t="s">
        <v>133</v>
      </c>
      <c r="X7" s="16" t="str">
        <f>Orden!P6</f>
        <v/>
      </c>
      <c r="Y7" s="16" t="str">
        <f>Orden!Q6</f>
        <v/>
      </c>
      <c r="Z7" s="16" t="str">
        <f>Orden!R6</f>
        <v/>
      </c>
      <c r="AB7" s="15" t="s">
        <v>133</v>
      </c>
      <c r="AC7" s="16" t="str">
        <f>Orden!U6</f>
        <v/>
      </c>
      <c r="AD7" s="16" t="str">
        <f>Orden!V6</f>
        <v/>
      </c>
      <c r="AE7" s="16" t="str">
        <f>Orden!W6</f>
        <v/>
      </c>
    </row>
    <row r="8" spans="1:31" s="14" customFormat="1" ht="18" customHeight="1" x14ac:dyDescent="0.25">
      <c r="A8" s="109" t="s">
        <v>134</v>
      </c>
      <c r="B8" s="120" t="str">
        <f ca="1">Resultados!AC8</f>
        <v>Valentín FC</v>
      </c>
      <c r="C8" s="109">
        <f ca="1">Resultados!AE8</f>
        <v>13</v>
      </c>
      <c r="D8" s="109">
        <f ca="1">Resultados!AF8</f>
        <v>5</v>
      </c>
      <c r="E8" s="109">
        <f ca="1">Resultados!AG8</f>
        <v>6</v>
      </c>
      <c r="F8" s="109">
        <f ca="1">Resultados!AK8</f>
        <v>230</v>
      </c>
      <c r="G8" s="109" t="str">
        <f ca="1">CONCATENATE(Resultados!AH8,":",Resultados!AI8)</f>
        <v>88:46</v>
      </c>
      <c r="H8" s="109">
        <f ca="1">Resultados!AL8</f>
        <v>44</v>
      </c>
      <c r="I8" s="109">
        <f ca="1">Resultados!AJ8</f>
        <v>42</v>
      </c>
      <c r="J8" s="109">
        <f ca="1">Resultados!AD8</f>
        <v>24</v>
      </c>
      <c r="L8" s="111" t="s">
        <v>134</v>
      </c>
      <c r="M8" s="111"/>
      <c r="N8" s="112" t="str">
        <f>Orden!F7</f>
        <v>Alexander Silva</v>
      </c>
      <c r="O8" s="112" t="str">
        <f>Orden!G7</f>
        <v>Villanueva</v>
      </c>
      <c r="P8" s="111">
        <f>Orden!H7</f>
        <v>24</v>
      </c>
      <c r="R8" s="15" t="s">
        <v>134</v>
      </c>
      <c r="S8" s="16" t="str">
        <f>Orden!K7</f>
        <v>Daniel Ossa</v>
      </c>
      <c r="T8" s="16" t="str">
        <f>Orden!L7</f>
        <v>Los Amigos</v>
      </c>
      <c r="U8" s="16">
        <f>Orden!M7</f>
        <v>4</v>
      </c>
      <c r="W8" s="15" t="s">
        <v>134</v>
      </c>
      <c r="X8" s="16" t="str">
        <f>Orden!P7</f>
        <v/>
      </c>
      <c r="Y8" s="16" t="str">
        <f>Orden!Q7</f>
        <v/>
      </c>
      <c r="Z8" s="16" t="str">
        <f>Orden!R7</f>
        <v/>
      </c>
      <c r="AB8" s="15" t="s">
        <v>134</v>
      </c>
      <c r="AC8" s="16" t="str">
        <f>Orden!U7</f>
        <v/>
      </c>
      <c r="AD8" s="16" t="str">
        <f>Orden!V7</f>
        <v/>
      </c>
      <c r="AE8" s="16" t="str">
        <f>Orden!W7</f>
        <v/>
      </c>
    </row>
    <row r="9" spans="1:31" s="14" customFormat="1" ht="18" customHeight="1" x14ac:dyDescent="0.25">
      <c r="A9" s="109" t="s">
        <v>135</v>
      </c>
      <c r="B9" s="120" t="str">
        <f ca="1">Resultados!AC9</f>
        <v>Villanueva</v>
      </c>
      <c r="C9" s="109">
        <f ca="1">Resultados!AE9</f>
        <v>13</v>
      </c>
      <c r="D9" s="109">
        <f ca="1">Resultados!AF9</f>
        <v>1</v>
      </c>
      <c r="E9" s="109">
        <f ca="1">Resultados!AG9</f>
        <v>7</v>
      </c>
      <c r="F9" s="109">
        <f ca="1">Resultados!AK9</f>
        <v>170</v>
      </c>
      <c r="G9" s="109" t="str">
        <f ca="1">CONCATENATE(Resultados!AH9,":",Resultados!AI9)</f>
        <v>71:43</v>
      </c>
      <c r="H9" s="109">
        <f ca="1">Resultados!AL9</f>
        <v>40</v>
      </c>
      <c r="I9" s="109">
        <f ca="1">Resultados!AJ9</f>
        <v>28</v>
      </c>
      <c r="J9" s="109">
        <f ca="1">Resultados!AD9</f>
        <v>21</v>
      </c>
      <c r="L9" s="111" t="s">
        <v>135</v>
      </c>
      <c r="M9" s="111"/>
      <c r="N9" s="112" t="str">
        <f>Orden!F8</f>
        <v>Brayan Salazar Gómez</v>
      </c>
      <c r="O9" s="112" t="str">
        <f>Orden!G8</f>
        <v>La Amistad</v>
      </c>
      <c r="P9" s="111">
        <f>Orden!H8</f>
        <v>23</v>
      </c>
      <c r="R9" s="15" t="s">
        <v>135</v>
      </c>
      <c r="S9" s="16" t="str">
        <f>Orden!K8</f>
        <v>Ángel Mora</v>
      </c>
      <c r="T9" s="16" t="str">
        <f>Orden!L8</f>
        <v>Villanueva</v>
      </c>
      <c r="U9" s="16">
        <f>Orden!M8</f>
        <v>4</v>
      </c>
      <c r="W9" s="15" t="s">
        <v>135</v>
      </c>
      <c r="X9" s="16" t="str">
        <f>Orden!P8</f>
        <v/>
      </c>
      <c r="Y9" s="16" t="str">
        <f>Orden!Q8</f>
        <v/>
      </c>
      <c r="Z9" s="16" t="str">
        <f>Orden!R8</f>
        <v/>
      </c>
      <c r="AB9" s="15" t="s">
        <v>135</v>
      </c>
      <c r="AC9" s="16" t="str">
        <f>Orden!U8</f>
        <v/>
      </c>
      <c r="AD9" s="16" t="str">
        <f>Orden!V8</f>
        <v/>
      </c>
      <c r="AE9" s="16" t="str">
        <f>Orden!W8</f>
        <v/>
      </c>
    </row>
    <row r="10" spans="1:31" s="14" customFormat="1" ht="18" customHeight="1" x14ac:dyDescent="0.25">
      <c r="A10" s="109" t="s">
        <v>136</v>
      </c>
      <c r="B10" s="120" t="str">
        <f ca="1">Resultados!AC10</f>
        <v>Amenadim</v>
      </c>
      <c r="C10" s="109">
        <f ca="1">Resultados!AE10</f>
        <v>10</v>
      </c>
      <c r="D10" s="109">
        <f ca="1">Resultados!AF10</f>
        <v>1</v>
      </c>
      <c r="E10" s="109">
        <f ca="1">Resultados!AG10</f>
        <v>10</v>
      </c>
      <c r="F10" s="109">
        <f ca="1">Resultados!AK10</f>
        <v>95</v>
      </c>
      <c r="G10" s="109" t="str">
        <f ca="1">CONCATENATE(Resultados!AH10,":",Resultados!AI10)</f>
        <v>70:59</v>
      </c>
      <c r="H10" s="109">
        <f ca="1">Resultados!AL10</f>
        <v>31</v>
      </c>
      <c r="I10" s="109">
        <f ca="1">Resultados!AJ10</f>
        <v>11</v>
      </c>
      <c r="J10" s="109">
        <f ca="1">Resultados!AD10</f>
        <v>21</v>
      </c>
      <c r="L10" s="111" t="s">
        <v>136</v>
      </c>
      <c r="M10" s="111"/>
      <c r="N10" s="112" t="str">
        <f>Orden!F9</f>
        <v>Yehis Pacheco</v>
      </c>
      <c r="O10" s="112" t="str">
        <f>Orden!G9</f>
        <v>Boca Juniors</v>
      </c>
      <c r="P10" s="111">
        <f>Orden!H9</f>
        <v>20</v>
      </c>
      <c r="R10" s="15" t="s">
        <v>136</v>
      </c>
      <c r="S10" s="16" t="str">
        <f>Orden!K9</f>
        <v>Julián Hincapie</v>
      </c>
      <c r="T10" s="16" t="str">
        <f>Orden!L9</f>
        <v>Ron Star</v>
      </c>
      <c r="U10" s="16">
        <f>Orden!M9</f>
        <v>4</v>
      </c>
      <c r="W10" s="15" t="s">
        <v>136</v>
      </c>
      <c r="X10" s="16" t="str">
        <f>Orden!P9</f>
        <v/>
      </c>
      <c r="Y10" s="16" t="str">
        <f>Orden!Q9</f>
        <v/>
      </c>
      <c r="Z10" s="16" t="str">
        <f>Orden!R9</f>
        <v/>
      </c>
      <c r="AB10" s="15" t="s">
        <v>136</v>
      </c>
      <c r="AC10" s="16" t="str">
        <f>Orden!U9</f>
        <v/>
      </c>
      <c r="AD10" s="16" t="str">
        <f>Orden!V9</f>
        <v/>
      </c>
      <c r="AE10" s="16" t="str">
        <f>Orden!W9</f>
        <v/>
      </c>
    </row>
    <row r="11" spans="1:31" s="14" customFormat="1" ht="18" customHeight="1" x14ac:dyDescent="0.25">
      <c r="A11" s="109" t="s">
        <v>137</v>
      </c>
      <c r="B11" s="120" t="str">
        <f ca="1">Resultados!AC11</f>
        <v>Boca Juniors</v>
      </c>
      <c r="C11" s="109">
        <f ca="1">Resultados!AE11</f>
        <v>9</v>
      </c>
      <c r="D11" s="109">
        <f ca="1">Resultados!AF11</f>
        <v>1</v>
      </c>
      <c r="E11" s="109">
        <f ca="1">Resultados!AG11</f>
        <v>12</v>
      </c>
      <c r="F11" s="109">
        <f ca="1">Resultados!AK11</f>
        <v>185</v>
      </c>
      <c r="G11" s="109" t="str">
        <f ca="1">CONCATENATE(Resultados!AH11,":",Resultados!AI11)</f>
        <v>59:65</v>
      </c>
      <c r="H11" s="109">
        <f ca="1">Resultados!AL11</f>
        <v>28</v>
      </c>
      <c r="I11" s="109">
        <f ca="1">Resultados!AJ11</f>
        <v>-6</v>
      </c>
      <c r="J11" s="109">
        <f ca="1">Resultados!AD11</f>
        <v>22</v>
      </c>
      <c r="L11" s="111" t="s">
        <v>137</v>
      </c>
      <c r="M11" s="111"/>
      <c r="N11" s="112" t="str">
        <f>Orden!F10</f>
        <v>Juan Manuel Marulanda</v>
      </c>
      <c r="O11" s="112" t="str">
        <f>Orden!G10</f>
        <v>La Amistad</v>
      </c>
      <c r="P11" s="111">
        <f>Orden!H10</f>
        <v>19</v>
      </c>
      <c r="R11" s="15" t="s">
        <v>137</v>
      </c>
      <c r="S11" s="16" t="str">
        <f>Orden!K10</f>
        <v>Martín Angulo</v>
      </c>
      <c r="T11" s="16" t="str">
        <f>Orden!L10</f>
        <v>Amenadim</v>
      </c>
      <c r="U11" s="16">
        <f>Orden!M10</f>
        <v>4</v>
      </c>
      <c r="W11" s="15" t="s">
        <v>137</v>
      </c>
      <c r="X11" s="16" t="str">
        <f>Orden!P10</f>
        <v/>
      </c>
      <c r="Y11" s="16" t="str">
        <f>Orden!Q10</f>
        <v/>
      </c>
      <c r="Z11" s="16" t="str">
        <f>Orden!R10</f>
        <v/>
      </c>
      <c r="AB11" s="15" t="s">
        <v>137</v>
      </c>
      <c r="AC11" s="16" t="str">
        <f>Orden!U10</f>
        <v/>
      </c>
      <c r="AD11" s="16" t="str">
        <f>Orden!V10</f>
        <v/>
      </c>
      <c r="AE11" s="16" t="str">
        <f>Orden!W10</f>
        <v/>
      </c>
    </row>
    <row r="12" spans="1:31" s="14" customFormat="1" ht="18" customHeight="1" x14ac:dyDescent="0.25">
      <c r="A12" s="109" t="s">
        <v>138</v>
      </c>
      <c r="B12" s="120" t="str">
        <f ca="1">Resultados!AC12</f>
        <v>CD El Corozo</v>
      </c>
      <c r="C12" s="109">
        <f ca="1">Resultados!AE12</f>
        <v>8</v>
      </c>
      <c r="D12" s="109">
        <f ca="1">Resultados!AF12</f>
        <v>3</v>
      </c>
      <c r="E12" s="109">
        <f ca="1">Resultados!AG12</f>
        <v>10</v>
      </c>
      <c r="F12" s="109">
        <f ca="1">Resultados!AK12</f>
        <v>240</v>
      </c>
      <c r="G12" s="109" t="str">
        <f ca="1">CONCATENATE(Resultados!AH12,":",Resultados!AI12)</f>
        <v>67:54</v>
      </c>
      <c r="H12" s="109">
        <f ca="1">Resultados!AL12</f>
        <v>27</v>
      </c>
      <c r="I12" s="109">
        <f ca="1">Resultados!AJ12</f>
        <v>13</v>
      </c>
      <c r="J12" s="109">
        <f ca="1">Resultados!AD12</f>
        <v>21</v>
      </c>
      <c r="L12" s="111" t="s">
        <v>138</v>
      </c>
      <c r="M12" s="111"/>
      <c r="N12" s="112" t="str">
        <f>Orden!F11</f>
        <v>Denilson Cadena</v>
      </c>
      <c r="O12" s="112" t="str">
        <f>Orden!G11</f>
        <v>Villanueva</v>
      </c>
      <c r="P12" s="111">
        <f>Orden!H11</f>
        <v>19</v>
      </c>
      <c r="R12" s="15" t="s">
        <v>138</v>
      </c>
      <c r="S12" s="16" t="str">
        <f>Orden!K11</f>
        <v>Matias Montoya</v>
      </c>
      <c r="T12" s="16" t="str">
        <f>Orden!L11</f>
        <v>Valentín FC</v>
      </c>
      <c r="U12" s="16">
        <f>Orden!M11</f>
        <v>4</v>
      </c>
      <c r="W12" s="15" t="s">
        <v>138</v>
      </c>
      <c r="X12" s="16" t="str">
        <f>Orden!P11</f>
        <v/>
      </c>
      <c r="Y12" s="16" t="str">
        <f>Orden!Q11</f>
        <v/>
      </c>
      <c r="Z12" s="16" t="str">
        <f>Orden!R11</f>
        <v/>
      </c>
      <c r="AB12" s="15" t="s">
        <v>138</v>
      </c>
      <c r="AC12" s="16" t="str">
        <f>Orden!U11</f>
        <v/>
      </c>
      <c r="AD12" s="16" t="str">
        <f>Orden!V11</f>
        <v/>
      </c>
      <c r="AE12" s="16" t="str">
        <f>Orden!W11</f>
        <v/>
      </c>
    </row>
    <row r="13" spans="1:31" s="14" customFormat="1" ht="18" customHeight="1" x14ac:dyDescent="0.25">
      <c r="A13" s="109" t="s">
        <v>139</v>
      </c>
      <c r="B13" s="120" t="str">
        <f ca="1">Resultados!AC13</f>
        <v>Hojas Anchas</v>
      </c>
      <c r="C13" s="109">
        <f ca="1">Resultados!AE13</f>
        <v>6</v>
      </c>
      <c r="D13" s="109">
        <f ca="1">Resultados!AF13</f>
        <v>5</v>
      </c>
      <c r="E13" s="109">
        <f ca="1">Resultados!AG13</f>
        <v>11</v>
      </c>
      <c r="F13" s="109">
        <f ca="1">Resultados!AK13</f>
        <v>225</v>
      </c>
      <c r="G13" s="109" t="str">
        <f ca="1">CONCATENATE(Resultados!AH13,":",Resultados!AI13)</f>
        <v>66:85</v>
      </c>
      <c r="H13" s="109">
        <f ca="1">Resultados!AL13</f>
        <v>23</v>
      </c>
      <c r="I13" s="109">
        <f ca="1">Resultados!AJ13</f>
        <v>-19</v>
      </c>
      <c r="J13" s="109">
        <f ca="1">Resultados!AD13</f>
        <v>22</v>
      </c>
      <c r="R13" s="15" t="s">
        <v>139</v>
      </c>
      <c r="S13" s="16" t="str">
        <f>Orden!K12</f>
        <v>Cristián Duque</v>
      </c>
      <c r="T13" s="16" t="str">
        <f>Orden!L12</f>
        <v>Valentín FC</v>
      </c>
      <c r="U13" s="16">
        <f>Orden!M12</f>
        <v>4</v>
      </c>
      <c r="W13" s="15" t="s">
        <v>139</v>
      </c>
      <c r="X13" s="16" t="str">
        <f>Orden!P12</f>
        <v/>
      </c>
      <c r="Y13" s="16" t="str">
        <f>Orden!Q12</f>
        <v/>
      </c>
      <c r="Z13" s="16" t="str">
        <f>Orden!R12</f>
        <v/>
      </c>
      <c r="AB13" s="15" t="s">
        <v>139</v>
      </c>
      <c r="AC13" s="16" t="str">
        <f>Orden!U12</f>
        <v/>
      </c>
      <c r="AD13" s="16" t="str">
        <f>Orden!V12</f>
        <v/>
      </c>
      <c r="AE13" s="16" t="str">
        <f>Orden!W12</f>
        <v/>
      </c>
    </row>
    <row r="14" spans="1:31" s="14" customFormat="1" ht="18" customHeight="1" x14ac:dyDescent="0.25">
      <c r="A14" s="109" t="s">
        <v>140</v>
      </c>
      <c r="B14" s="120" t="str">
        <f ca="1">Resultados!AC14</f>
        <v>Deportivo Fénix</v>
      </c>
      <c r="C14" s="109">
        <f ca="1">Resultados!AE14</f>
        <v>7</v>
      </c>
      <c r="D14" s="109">
        <f ca="1">Resultados!AF14</f>
        <v>1</v>
      </c>
      <c r="E14" s="109">
        <f ca="1">Resultados!AG14</f>
        <v>13</v>
      </c>
      <c r="F14" s="109">
        <f ca="1">Resultados!AK14</f>
        <v>90</v>
      </c>
      <c r="G14" s="109" t="str">
        <f ca="1">CONCATENATE(Resultados!AH14,":",Resultados!AI14)</f>
        <v>54:103</v>
      </c>
      <c r="H14" s="109">
        <f ca="1">Resultados!AL14</f>
        <v>22</v>
      </c>
      <c r="I14" s="109">
        <f ca="1">Resultados!AJ14</f>
        <v>-49</v>
      </c>
      <c r="J14" s="109">
        <f ca="1">Resultados!AD14</f>
        <v>21</v>
      </c>
      <c r="L14" s="86"/>
      <c r="M14" s="86"/>
      <c r="N14" s="87"/>
      <c r="O14" s="88"/>
      <c r="P14" s="88"/>
      <c r="R14" s="15" t="s">
        <v>140</v>
      </c>
      <c r="S14" s="16" t="str">
        <f>Orden!K13</f>
        <v>Daniel Garcia</v>
      </c>
      <c r="T14" s="16" t="str">
        <f>Orden!L13</f>
        <v>Boca Juniors</v>
      </c>
      <c r="U14" s="16">
        <f>Orden!M13</f>
        <v>4</v>
      </c>
      <c r="W14" s="15" t="s">
        <v>140</v>
      </c>
      <c r="X14" s="16" t="str">
        <f>Orden!P13</f>
        <v/>
      </c>
      <c r="Y14" s="16" t="str">
        <f>Orden!Q13</f>
        <v/>
      </c>
      <c r="Z14" s="16" t="str">
        <f>Orden!R13</f>
        <v/>
      </c>
      <c r="AB14" s="15" t="s">
        <v>140</v>
      </c>
      <c r="AC14" s="16" t="str">
        <f>Orden!U13</f>
        <v/>
      </c>
      <c r="AD14" s="16" t="str">
        <f>Orden!V13</f>
        <v/>
      </c>
      <c r="AE14" s="16" t="str">
        <f>Orden!W13</f>
        <v/>
      </c>
    </row>
    <row r="15" spans="1:31" s="14" customFormat="1" ht="18" customHeight="1" x14ac:dyDescent="0.25">
      <c r="A15" s="109" t="s">
        <v>141</v>
      </c>
      <c r="B15" s="120" t="str">
        <f ca="1">Resultados!AC15</f>
        <v>Los Aliados</v>
      </c>
      <c r="C15" s="109">
        <f ca="1">Resultados!AE15</f>
        <v>4</v>
      </c>
      <c r="D15" s="109">
        <f ca="1">Resultados!AF15</f>
        <v>2</v>
      </c>
      <c r="E15" s="109">
        <f ca="1">Resultados!AG15</f>
        <v>16</v>
      </c>
      <c r="F15" s="109">
        <f ca="1">Resultados!AK15</f>
        <v>195</v>
      </c>
      <c r="G15" s="109" t="str">
        <f ca="1">CONCATENATE(Resultados!AH15,":",Resultados!AI15)</f>
        <v>39:111</v>
      </c>
      <c r="H15" s="109">
        <f ca="1">Resultados!AL15</f>
        <v>14</v>
      </c>
      <c r="I15" s="109">
        <f ca="1">Resultados!AJ15</f>
        <v>-72</v>
      </c>
      <c r="J15" s="109">
        <f ca="1">Resultados!AD15</f>
        <v>22</v>
      </c>
      <c r="L15" s="86"/>
      <c r="M15" s="86"/>
      <c r="N15" s="87"/>
      <c r="O15" s="88"/>
      <c r="P15" s="88"/>
      <c r="R15" s="15" t="s">
        <v>141</v>
      </c>
      <c r="S15" s="16" t="str">
        <f>Orden!K14</f>
        <v>Arbenis Montoya</v>
      </c>
      <c r="T15" s="16" t="str">
        <f>Orden!L14</f>
        <v>Boca Juniors</v>
      </c>
      <c r="U15" s="16">
        <f>Orden!M14</f>
        <v>4</v>
      </c>
      <c r="W15" s="15" t="s">
        <v>141</v>
      </c>
      <c r="X15" s="16" t="str">
        <f>Orden!P14</f>
        <v/>
      </c>
      <c r="Y15" s="16" t="str">
        <f>Orden!Q14</f>
        <v/>
      </c>
      <c r="Z15" s="16" t="str">
        <f>Orden!R14</f>
        <v/>
      </c>
      <c r="AB15" s="15" t="s">
        <v>141</v>
      </c>
      <c r="AC15" s="16" t="str">
        <f>Orden!U14</f>
        <v/>
      </c>
      <c r="AD15" s="16" t="str">
        <f>Orden!V14</f>
        <v/>
      </c>
      <c r="AE15" s="16" t="str">
        <f>Orden!W14</f>
        <v/>
      </c>
    </row>
    <row r="16" spans="1:31" s="14" customFormat="1" ht="18" customHeight="1" x14ac:dyDescent="0.25">
      <c r="A16" s="109" t="s">
        <v>142</v>
      </c>
      <c r="B16" s="120" t="str">
        <f ca="1">Resultados!AC16</f>
        <v>Atalanta</v>
      </c>
      <c r="C16" s="109">
        <f ca="1">Resultados!AE16</f>
        <v>3</v>
      </c>
      <c r="D16" s="109">
        <f ca="1">Resultados!AF16</f>
        <v>4</v>
      </c>
      <c r="E16" s="109">
        <f ca="1">Resultados!AG16</f>
        <v>15</v>
      </c>
      <c r="F16" s="109">
        <f ca="1">Resultados!AK16</f>
        <v>210</v>
      </c>
      <c r="G16" s="109" t="str">
        <f ca="1">CONCATENATE(Resultados!AH16,":",Resultados!AI16)</f>
        <v>50:94</v>
      </c>
      <c r="H16" s="109">
        <f ca="1">Resultados!AL16</f>
        <v>13</v>
      </c>
      <c r="I16" s="109">
        <f ca="1">Resultados!AJ16</f>
        <v>-44</v>
      </c>
      <c r="J16" s="109">
        <f ca="1">Resultados!AD16</f>
        <v>22</v>
      </c>
      <c r="R16" s="15" t="s">
        <v>142</v>
      </c>
      <c r="S16" s="16" t="str">
        <f>Orden!K15</f>
        <v>Oscar Torín</v>
      </c>
      <c r="T16" s="16" t="str">
        <f>Orden!L15</f>
        <v>Boca Juniors</v>
      </c>
      <c r="U16" s="16">
        <f>Orden!M15</f>
        <v>4</v>
      </c>
      <c r="W16" s="15" t="s">
        <v>142</v>
      </c>
      <c r="X16" s="16" t="str">
        <f>Orden!P15</f>
        <v/>
      </c>
      <c r="Y16" s="16" t="str">
        <f>Orden!Q15</f>
        <v/>
      </c>
      <c r="Z16" s="16" t="str">
        <f>Orden!R15</f>
        <v/>
      </c>
      <c r="AB16" s="15" t="s">
        <v>142</v>
      </c>
      <c r="AC16" s="16" t="str">
        <f>Orden!U15</f>
        <v/>
      </c>
      <c r="AD16" s="16" t="str">
        <f>Orden!V15</f>
        <v/>
      </c>
      <c r="AE16" s="16" t="str">
        <f>Orden!W15</f>
        <v/>
      </c>
    </row>
    <row r="17" spans="1:31" s="14" customFormat="1" ht="18" customHeight="1" x14ac:dyDescent="0.25">
      <c r="A17" s="109" t="s">
        <v>143</v>
      </c>
      <c r="B17" s="120" t="str">
        <f ca="1">Resultados!AC17</f>
        <v>La Nueva Era</v>
      </c>
      <c r="C17" s="109">
        <f ca="1">Resultados!AE17</f>
        <v>4</v>
      </c>
      <c r="D17" s="109">
        <f ca="1">Resultados!AF17</f>
        <v>0</v>
      </c>
      <c r="E17" s="109">
        <f ca="1">Resultados!AG17</f>
        <v>17</v>
      </c>
      <c r="F17" s="109">
        <f ca="1">Resultados!AK17</f>
        <v>50</v>
      </c>
      <c r="G17" s="109" t="str">
        <f ca="1">CONCATENATE(Resultados!AH17,":",Resultados!AI17)</f>
        <v>38:133</v>
      </c>
      <c r="H17" s="109">
        <f ca="1">Resultados!AL17</f>
        <v>12</v>
      </c>
      <c r="I17" s="109">
        <f ca="1">Resultados!AJ17</f>
        <v>-95</v>
      </c>
      <c r="J17" s="109">
        <f ca="1">Resultados!AD17</f>
        <v>21</v>
      </c>
      <c r="R17" s="15" t="s">
        <v>143</v>
      </c>
      <c r="S17" s="16" t="str">
        <f>Orden!K17</f>
        <v>Alexander Salgado</v>
      </c>
      <c r="T17" s="16" t="str">
        <f>Orden!L17</f>
        <v>La Unión FC</v>
      </c>
      <c r="U17" s="16">
        <f>Orden!M17</f>
        <v>4</v>
      </c>
      <c r="W17" s="15" t="s">
        <v>143</v>
      </c>
      <c r="X17" s="16" t="str">
        <f>Orden!P17</f>
        <v/>
      </c>
      <c r="Y17" s="16" t="str">
        <f>Orden!Q17</f>
        <v/>
      </c>
      <c r="Z17" s="16" t="str">
        <f>Orden!R17</f>
        <v/>
      </c>
      <c r="AB17" s="15" t="s">
        <v>143</v>
      </c>
      <c r="AC17" s="16" t="str">
        <f>Orden!U17</f>
        <v/>
      </c>
      <c r="AD17" s="16" t="str">
        <f>Orden!V17</f>
        <v/>
      </c>
      <c r="AE17" s="16" t="str">
        <f>Orden!W17</f>
        <v/>
      </c>
    </row>
    <row r="18" spans="1:31" s="14" customFormat="1" ht="18" customHeight="1" x14ac:dyDescent="0.25">
      <c r="A18" s="109" t="s">
        <v>228</v>
      </c>
      <c r="B18" s="120" t="str">
        <f ca="1">Resultados!AC18</f>
        <v>Rayos FC</v>
      </c>
      <c r="C18" s="109">
        <f ca="1">Resultados!AE18</f>
        <v>1</v>
      </c>
      <c r="D18" s="109">
        <f ca="1">Resultados!AF18</f>
        <v>0</v>
      </c>
      <c r="E18" s="109">
        <f ca="1">Resultados!AG18</f>
        <v>14</v>
      </c>
      <c r="F18" s="109">
        <f ca="1">Resultados!AK18</f>
        <v>370</v>
      </c>
      <c r="G18" s="109" t="str">
        <f ca="1">CONCATENATE(Resultados!AH18,":",Resultados!AI18)</f>
        <v>6:50</v>
      </c>
      <c r="H18" s="109">
        <f ca="1">Resultados!AL18</f>
        <v>3</v>
      </c>
      <c r="I18" s="109">
        <f ca="1">Resultados!AJ18</f>
        <v>-44</v>
      </c>
      <c r="J18" s="109">
        <f ca="1">Resultados!AD18</f>
        <v>15</v>
      </c>
      <c r="R18" s="15" t="s">
        <v>228</v>
      </c>
      <c r="S18" s="16" t="str">
        <f>Orden!K18</f>
        <v>Deiner Santana</v>
      </c>
      <c r="T18" s="16" t="str">
        <f>Orden!L18</f>
        <v>La Unión FC</v>
      </c>
      <c r="U18" s="16">
        <f>Orden!M18</f>
        <v>4</v>
      </c>
      <c r="W18" s="15" t="s">
        <v>228</v>
      </c>
      <c r="X18" s="16" t="str">
        <f>Orden!P18</f>
        <v/>
      </c>
      <c r="Y18" s="16" t="str">
        <f>Orden!Q18</f>
        <v/>
      </c>
      <c r="Z18" s="16" t="str">
        <f>Orden!R18</f>
        <v/>
      </c>
      <c r="AB18" s="15" t="s">
        <v>228</v>
      </c>
      <c r="AC18" s="16" t="str">
        <f>Orden!U18</f>
        <v/>
      </c>
      <c r="AD18" s="16" t="str">
        <f>Orden!V18</f>
        <v/>
      </c>
      <c r="AE18" s="16" t="str">
        <f>Orden!W18</f>
        <v/>
      </c>
    </row>
    <row r="19" spans="1:31" s="14" customFormat="1" ht="18" customHeight="1" x14ac:dyDescent="0.25">
      <c r="A19" s="109"/>
      <c r="B19" s="110"/>
      <c r="C19" s="109"/>
      <c r="D19" s="109"/>
      <c r="E19" s="109"/>
      <c r="F19" s="109"/>
      <c r="G19" s="109"/>
      <c r="H19" s="109"/>
      <c r="I19" s="109"/>
      <c r="J19" s="109"/>
      <c r="R19" s="15" t="s">
        <v>227</v>
      </c>
      <c r="S19" s="16" t="str">
        <f>Orden!K19</f>
        <v>Jhon Restrepo</v>
      </c>
      <c r="T19" s="16" t="str">
        <f>Orden!L19</f>
        <v>Los Amigos</v>
      </c>
      <c r="U19" s="16">
        <f>Orden!M19</f>
        <v>3</v>
      </c>
      <c r="W19" s="15" t="s">
        <v>227</v>
      </c>
      <c r="X19" s="16" t="str">
        <f>Orden!P19</f>
        <v/>
      </c>
      <c r="Y19" s="16" t="str">
        <f>Orden!Q19</f>
        <v/>
      </c>
      <c r="Z19" s="16" t="str">
        <f>Orden!R19</f>
        <v/>
      </c>
      <c r="AB19" s="15" t="s">
        <v>227</v>
      </c>
      <c r="AC19" s="16" t="str">
        <f>Orden!U19</f>
        <v/>
      </c>
      <c r="AD19" s="16" t="str">
        <f>Orden!V19</f>
        <v/>
      </c>
      <c r="AE19" s="16" t="str">
        <f>Orden!W19</f>
        <v/>
      </c>
    </row>
    <row r="20" spans="1:31" s="14" customFormat="1" ht="13.9" customHeight="1" thickBot="1" x14ac:dyDescent="0.3">
      <c r="R20" s="15" t="s">
        <v>226</v>
      </c>
      <c r="S20" s="16" t="str">
        <f>Orden!K20</f>
        <v>Julián Botero Carvajal</v>
      </c>
      <c r="T20" s="16" t="str">
        <f>Orden!L20</f>
        <v>La Nueva Era</v>
      </c>
      <c r="U20" s="16">
        <f>Orden!M20</f>
        <v>3</v>
      </c>
      <c r="W20" s="15" t="s">
        <v>226</v>
      </c>
      <c r="X20" s="16" t="str">
        <f>Orden!P20</f>
        <v/>
      </c>
      <c r="Y20" s="16" t="str">
        <f>Orden!Q20</f>
        <v/>
      </c>
      <c r="Z20" s="16" t="str">
        <f>Orden!R20</f>
        <v/>
      </c>
      <c r="AB20" s="15" t="s">
        <v>226</v>
      </c>
      <c r="AC20" s="16" t="str">
        <f>Orden!U20</f>
        <v/>
      </c>
      <c r="AD20" s="16" t="str">
        <f>Orden!V20</f>
        <v/>
      </c>
      <c r="AE20" s="16" t="str">
        <f>Orden!W20</f>
        <v/>
      </c>
    </row>
    <row r="21" spans="1:31" s="14" customFormat="1" ht="13.9" customHeight="1" thickBot="1" x14ac:dyDescent="0.3">
      <c r="A21" s="138" t="s">
        <v>522</v>
      </c>
      <c r="B21" s="138"/>
      <c r="C21" s="138"/>
      <c r="D21" s="138"/>
      <c r="E21" s="138"/>
      <c r="F21" s="138"/>
      <c r="G21" s="138"/>
      <c r="H21" s="138"/>
      <c r="I21" s="138"/>
      <c r="J21" s="138"/>
      <c r="R21" s="15" t="s">
        <v>225</v>
      </c>
      <c r="S21" s="16" t="str">
        <f>Orden!K21</f>
        <v xml:space="preserve">Deivid Jaramillo </v>
      </c>
      <c r="T21" s="16" t="str">
        <f>Orden!L21</f>
        <v>La Amistad</v>
      </c>
      <c r="U21" s="16">
        <f>Orden!M21</f>
        <v>3</v>
      </c>
      <c r="W21" s="15" t="s">
        <v>225</v>
      </c>
      <c r="X21" s="16" t="str">
        <f>Orden!P21</f>
        <v/>
      </c>
      <c r="Y21" s="16" t="str">
        <f>Orden!Q21</f>
        <v/>
      </c>
      <c r="Z21" s="16" t="str">
        <f>Orden!R21</f>
        <v/>
      </c>
      <c r="AB21" s="15" t="s">
        <v>225</v>
      </c>
      <c r="AC21" s="16" t="str">
        <f>Orden!U21</f>
        <v/>
      </c>
      <c r="AD21" s="16" t="str">
        <f>Orden!V21</f>
        <v/>
      </c>
      <c r="AE21" s="16" t="str">
        <f>Orden!W21</f>
        <v/>
      </c>
    </row>
    <row r="22" spans="1:31" s="14" customFormat="1" ht="13.9" customHeight="1" thickBot="1" x14ac:dyDescent="0.3">
      <c r="A22" s="21" t="s">
        <v>122</v>
      </c>
      <c r="B22" s="127" t="s">
        <v>2</v>
      </c>
      <c r="C22" s="21" t="s">
        <v>115</v>
      </c>
      <c r="D22" s="21" t="s">
        <v>116</v>
      </c>
      <c r="E22" s="21" t="s">
        <v>117</v>
      </c>
      <c r="F22" s="21" t="s">
        <v>119</v>
      </c>
      <c r="G22" s="21" t="s">
        <v>123</v>
      </c>
      <c r="H22" s="21" t="s">
        <v>126</v>
      </c>
      <c r="I22" s="21" t="s">
        <v>125</v>
      </c>
      <c r="J22" s="21" t="s">
        <v>127</v>
      </c>
      <c r="R22" s="15" t="s">
        <v>224</v>
      </c>
      <c r="S22" s="16" t="str">
        <f>Orden!K22</f>
        <v>Humberto Ochoa</v>
      </c>
      <c r="T22" s="16" t="str">
        <f>Orden!L22</f>
        <v>Amenadim</v>
      </c>
      <c r="U22" s="16">
        <f>Orden!M22</f>
        <v>3</v>
      </c>
      <c r="W22" s="15" t="s">
        <v>224</v>
      </c>
      <c r="X22" s="16" t="str">
        <f>Orden!P22</f>
        <v/>
      </c>
      <c r="Y22" s="16" t="str">
        <f>Orden!Q22</f>
        <v/>
      </c>
      <c r="Z22" s="16" t="str">
        <f>Orden!R22</f>
        <v/>
      </c>
      <c r="AB22" s="15" t="s">
        <v>224</v>
      </c>
      <c r="AC22" s="16" t="str">
        <f>Orden!U22</f>
        <v/>
      </c>
      <c r="AD22" s="16" t="str">
        <f>Orden!V22</f>
        <v/>
      </c>
      <c r="AE22" s="16" t="str">
        <f>Orden!W22</f>
        <v/>
      </c>
    </row>
    <row r="23" spans="1:31" s="14" customFormat="1" ht="13.9" customHeight="1" x14ac:dyDescent="0.25">
      <c r="A23" s="109" t="s">
        <v>129</v>
      </c>
      <c r="B23" s="120" t="str">
        <f ca="1">Resultados!AC56</f>
        <v>Valentín FC</v>
      </c>
      <c r="C23" s="109">
        <f ca="1">Resultados!AD56</f>
        <v>6</v>
      </c>
      <c r="D23" s="109">
        <f ca="1">Resultados!AE56</f>
        <v>0</v>
      </c>
      <c r="E23" s="109">
        <f ca="1">Resultados!AF56</f>
        <v>1</v>
      </c>
      <c r="F23" s="109">
        <f ca="1">VLOOKUP($B23,$B$3:$J$18,5,FALSE)</f>
        <v>230</v>
      </c>
      <c r="G23" s="109" t="str">
        <f ca="1">CONCATENATE(Resultados!AG56,":",Resultados!AH56)</f>
        <v>29:7</v>
      </c>
      <c r="H23" s="109">
        <f ca="1">Resultados!AJ56</f>
        <v>18</v>
      </c>
      <c r="I23" s="109">
        <f ca="1">Resultados!AI56</f>
        <v>22</v>
      </c>
      <c r="J23" s="109">
        <f ca="1">Resultados!AK56</f>
        <v>7</v>
      </c>
      <c r="R23" s="15" t="s">
        <v>223</v>
      </c>
      <c r="S23" s="16" t="str">
        <f>Orden!K23</f>
        <v>Edwar Jaramillo</v>
      </c>
      <c r="T23" s="16" t="str">
        <f>Orden!L23</f>
        <v>Hojas Anchas</v>
      </c>
      <c r="U23" s="16">
        <f>Orden!M23</f>
        <v>3</v>
      </c>
      <c r="W23" s="15" t="s">
        <v>223</v>
      </c>
      <c r="X23" s="16" t="str">
        <f>Orden!P23</f>
        <v/>
      </c>
      <c r="Y23" s="16" t="str">
        <f>Orden!Q23</f>
        <v/>
      </c>
      <c r="Z23" s="16" t="str">
        <f>Orden!R23</f>
        <v/>
      </c>
      <c r="AB23" s="15" t="s">
        <v>223</v>
      </c>
      <c r="AC23" s="16" t="str">
        <f>Orden!U23</f>
        <v/>
      </c>
      <c r="AD23" s="16" t="str">
        <f>Orden!V23</f>
        <v/>
      </c>
      <c r="AE23" s="16" t="str">
        <f>Orden!W23</f>
        <v/>
      </c>
    </row>
    <row r="24" spans="1:31" s="14" customFormat="1" ht="13.9" customHeight="1" x14ac:dyDescent="0.25">
      <c r="A24" s="109" t="s">
        <v>130</v>
      </c>
      <c r="B24" s="120" t="str">
        <f ca="1">Resultados!AC57</f>
        <v>La Unión FC</v>
      </c>
      <c r="C24" s="109">
        <f ca="1">Resultados!AD57</f>
        <v>5</v>
      </c>
      <c r="D24" s="109">
        <f ca="1">Resultados!AE57</f>
        <v>1</v>
      </c>
      <c r="E24" s="109">
        <f ca="1">Resultados!AF57</f>
        <v>1</v>
      </c>
      <c r="F24" s="109">
        <f t="shared" ref="F24:F30" ca="1" si="0">VLOOKUP($B24,$B$3:$J$18,5,FALSE)</f>
        <v>205</v>
      </c>
      <c r="G24" s="109" t="str">
        <f ca="1">CONCATENATE(Resultados!AG57,":",Resultados!AH57)</f>
        <v>35:11</v>
      </c>
      <c r="H24" s="109">
        <f ca="1">Resultados!AJ57</f>
        <v>16</v>
      </c>
      <c r="I24" s="109">
        <f ca="1">Resultados!AI57</f>
        <v>24</v>
      </c>
      <c r="J24" s="109">
        <f ca="1">Resultados!AK57</f>
        <v>7</v>
      </c>
      <c r="R24" s="15" t="s">
        <v>222</v>
      </c>
      <c r="S24" s="16" t="str">
        <f>Orden!K24</f>
        <v>Jaider Londoño</v>
      </c>
      <c r="T24" s="16" t="str">
        <f>Orden!L24</f>
        <v>Hojas Anchas</v>
      </c>
      <c r="U24" s="16">
        <f>Orden!M24</f>
        <v>3</v>
      </c>
      <c r="W24" s="15" t="s">
        <v>222</v>
      </c>
      <c r="X24" s="16" t="str">
        <f>Orden!P24</f>
        <v/>
      </c>
      <c r="Y24" s="16" t="str">
        <f>Orden!Q24</f>
        <v/>
      </c>
      <c r="Z24" s="16" t="str">
        <f>Orden!R24</f>
        <v/>
      </c>
      <c r="AB24" s="15" t="s">
        <v>222</v>
      </c>
      <c r="AC24" s="16" t="str">
        <f>Orden!U24</f>
        <v/>
      </c>
      <c r="AD24" s="16" t="str">
        <f>Orden!V24</f>
        <v/>
      </c>
      <c r="AE24" s="16" t="str">
        <f>Orden!W24</f>
        <v/>
      </c>
    </row>
    <row r="25" spans="1:31" s="14" customFormat="1" ht="13.9" customHeight="1" x14ac:dyDescent="0.25">
      <c r="A25" s="109" t="s">
        <v>131</v>
      </c>
      <c r="B25" s="120" t="str">
        <f ca="1">Resultados!AC58</f>
        <v>Los Amigos</v>
      </c>
      <c r="C25" s="109">
        <f ca="1">Resultados!AD58</f>
        <v>5</v>
      </c>
      <c r="D25" s="109">
        <f ca="1">Resultados!AE58</f>
        <v>1</v>
      </c>
      <c r="E25" s="109">
        <f ca="1">Resultados!AF58</f>
        <v>1</v>
      </c>
      <c r="F25" s="109">
        <f t="shared" ca="1" si="0"/>
        <v>135</v>
      </c>
      <c r="G25" s="109" t="str">
        <f ca="1">CONCATENATE(Resultados!AG58,":",Resultados!AH58)</f>
        <v>32:17</v>
      </c>
      <c r="H25" s="109">
        <f ca="1">Resultados!AJ58</f>
        <v>16</v>
      </c>
      <c r="I25" s="109">
        <f ca="1">Resultados!AI58</f>
        <v>15</v>
      </c>
      <c r="J25" s="109">
        <f ca="1">Resultados!AK58</f>
        <v>7</v>
      </c>
      <c r="R25" s="15" t="s">
        <v>221</v>
      </c>
      <c r="S25" s="16" t="str">
        <f>Orden!K25</f>
        <v>José Ángel Londoño</v>
      </c>
      <c r="T25" s="16" t="str">
        <f>Orden!L25</f>
        <v>Hojas Anchas</v>
      </c>
      <c r="U25" s="16">
        <f>Orden!M25</f>
        <v>3</v>
      </c>
      <c r="W25" s="15" t="s">
        <v>221</v>
      </c>
      <c r="X25" s="16" t="str">
        <f>Orden!P25</f>
        <v/>
      </c>
      <c r="Y25" s="16" t="str">
        <f>Orden!Q25</f>
        <v/>
      </c>
      <c r="Z25" s="16" t="str">
        <f>Orden!R25</f>
        <v/>
      </c>
      <c r="AB25" s="15" t="s">
        <v>221</v>
      </c>
      <c r="AC25" s="16" t="str">
        <f>Orden!U25</f>
        <v/>
      </c>
      <c r="AD25" s="16" t="str">
        <f>Orden!V25</f>
        <v/>
      </c>
      <c r="AE25" s="16" t="str">
        <f>Orden!W25</f>
        <v/>
      </c>
    </row>
    <row r="26" spans="1:31" s="14" customFormat="1" ht="13.9" customHeight="1" x14ac:dyDescent="0.25">
      <c r="A26" s="109" t="s">
        <v>132</v>
      </c>
      <c r="B26" s="120" t="str">
        <f ca="1">Resultados!AC59</f>
        <v>Ron Star</v>
      </c>
      <c r="C26" s="109">
        <f ca="1">Resultados!AD59</f>
        <v>4</v>
      </c>
      <c r="D26" s="109">
        <f ca="1">Resultados!AE59</f>
        <v>2</v>
      </c>
      <c r="E26" s="109">
        <f ca="1">Resultados!AF59</f>
        <v>1</v>
      </c>
      <c r="F26" s="109">
        <f t="shared" ca="1" si="0"/>
        <v>90</v>
      </c>
      <c r="G26" s="109" t="str">
        <f ca="1">CONCATENATE(Resultados!AG59,":",Resultados!AH59)</f>
        <v>25:16</v>
      </c>
      <c r="H26" s="109">
        <f ca="1">Resultados!AJ59</f>
        <v>14</v>
      </c>
      <c r="I26" s="109">
        <f ca="1">Resultados!AI59</f>
        <v>9</v>
      </c>
      <c r="J26" s="109">
        <f ca="1">Resultados!AK59</f>
        <v>7</v>
      </c>
      <c r="R26" s="15" t="s">
        <v>220</v>
      </c>
      <c r="S26" s="16" t="str">
        <f>Orden!K26</f>
        <v>Jeferson Álvarez</v>
      </c>
      <c r="T26" s="16" t="str">
        <f>Orden!L26</f>
        <v>Hojas Anchas</v>
      </c>
      <c r="U26" s="16">
        <f>Orden!M26</f>
        <v>3</v>
      </c>
      <c r="W26" s="15" t="s">
        <v>220</v>
      </c>
      <c r="X26" s="16" t="str">
        <f>Orden!P26</f>
        <v/>
      </c>
      <c r="Y26" s="16" t="str">
        <f>Orden!Q26</f>
        <v/>
      </c>
      <c r="Z26" s="16" t="str">
        <f>Orden!R26</f>
        <v/>
      </c>
      <c r="AB26" s="15" t="s">
        <v>220</v>
      </c>
      <c r="AC26" s="16" t="str">
        <f>Orden!U26</f>
        <v/>
      </c>
      <c r="AD26" s="16" t="str">
        <f>Orden!V26</f>
        <v/>
      </c>
      <c r="AE26" s="16" t="str">
        <f>Orden!W26</f>
        <v/>
      </c>
    </row>
    <row r="27" spans="1:31" s="14" customFormat="1" ht="13.9" customHeight="1" x14ac:dyDescent="0.25">
      <c r="A27" s="109" t="s">
        <v>133</v>
      </c>
      <c r="B27" s="120" t="str">
        <f ca="1">Resultados!AC60</f>
        <v>Atalanta</v>
      </c>
      <c r="C27" s="109">
        <f ca="1">Resultados!AD60</f>
        <v>2</v>
      </c>
      <c r="D27" s="109">
        <f ca="1">Resultados!AE60</f>
        <v>1</v>
      </c>
      <c r="E27" s="109">
        <f ca="1">Resultados!AF60</f>
        <v>4</v>
      </c>
      <c r="F27" s="109">
        <f t="shared" ca="1" si="0"/>
        <v>210</v>
      </c>
      <c r="G27" s="109" t="str">
        <f ca="1">CONCATENATE(Resultados!AG60,":",Resultados!AH60)</f>
        <v>26:37</v>
      </c>
      <c r="H27" s="109">
        <f ca="1">Resultados!AJ60</f>
        <v>7</v>
      </c>
      <c r="I27" s="109">
        <f ca="1">Resultados!AI60</f>
        <v>-11</v>
      </c>
      <c r="J27" s="109">
        <f ca="1">Resultados!AK60</f>
        <v>7</v>
      </c>
      <c r="R27" s="15" t="s">
        <v>219</v>
      </c>
      <c r="S27" s="16" t="str">
        <f>Orden!K27</f>
        <v>Alejandro Acevedo</v>
      </c>
      <c r="T27" s="16" t="str">
        <f>Orden!L27</f>
        <v>Valentín FC</v>
      </c>
      <c r="U27" s="16">
        <f>Orden!M27</f>
        <v>3</v>
      </c>
      <c r="W27" s="15" t="s">
        <v>219</v>
      </c>
      <c r="X27" s="16" t="str">
        <f>Orden!P27</f>
        <v/>
      </c>
      <c r="Y27" s="16" t="str">
        <f>Orden!Q27</f>
        <v/>
      </c>
      <c r="Z27" s="16" t="str">
        <f>Orden!R27</f>
        <v/>
      </c>
      <c r="AB27" s="15" t="s">
        <v>219</v>
      </c>
      <c r="AC27" s="16" t="str">
        <f>Orden!U27</f>
        <v/>
      </c>
      <c r="AD27" s="16" t="str">
        <f>Orden!V27</f>
        <v/>
      </c>
      <c r="AE27" s="16" t="str">
        <f>Orden!W27</f>
        <v/>
      </c>
    </row>
    <row r="28" spans="1:31" s="14" customFormat="1" ht="13.9" customHeight="1" x14ac:dyDescent="0.25">
      <c r="A28" s="109" t="s">
        <v>134</v>
      </c>
      <c r="B28" s="120" t="str">
        <f ca="1">Resultados!AC61</f>
        <v>Hojas Anchas</v>
      </c>
      <c r="C28" s="109">
        <f ca="1">Resultados!AD61</f>
        <v>2</v>
      </c>
      <c r="D28" s="109">
        <f ca="1">Resultados!AE61</f>
        <v>0</v>
      </c>
      <c r="E28" s="109">
        <f ca="1">Resultados!AF61</f>
        <v>5</v>
      </c>
      <c r="F28" s="109">
        <f t="shared" ca="1" si="0"/>
        <v>225</v>
      </c>
      <c r="G28" s="109" t="str">
        <f ca="1">CONCATENATE(Resultados!AG61,":",Resultados!AH61)</f>
        <v>25:33</v>
      </c>
      <c r="H28" s="109">
        <f ca="1">Resultados!AJ61</f>
        <v>6</v>
      </c>
      <c r="I28" s="109">
        <f ca="1">Resultados!AI61</f>
        <v>-8</v>
      </c>
      <c r="J28" s="109">
        <f ca="1">Resultados!AK61</f>
        <v>7</v>
      </c>
      <c r="R28" s="15" t="s">
        <v>218</v>
      </c>
      <c r="S28" s="16" t="str">
        <f>Orden!K28</f>
        <v>Victor Sierra</v>
      </c>
      <c r="T28" s="16" t="str">
        <f>Orden!L28</f>
        <v>Valentín FC</v>
      </c>
      <c r="U28" s="16">
        <f>Orden!M28</f>
        <v>3</v>
      </c>
      <c r="W28" s="15" t="s">
        <v>218</v>
      </c>
      <c r="X28" s="16" t="str">
        <f>Orden!P28</f>
        <v/>
      </c>
      <c r="Y28" s="16" t="str">
        <f>Orden!Q28</f>
        <v/>
      </c>
      <c r="Z28" s="16" t="str">
        <f>Orden!R28</f>
        <v/>
      </c>
      <c r="AB28" s="15" t="s">
        <v>218</v>
      </c>
      <c r="AC28" s="16" t="str">
        <f>Orden!U28</f>
        <v/>
      </c>
      <c r="AD28" s="16" t="str">
        <f>Orden!V28</f>
        <v/>
      </c>
      <c r="AE28" s="16" t="str">
        <f>Orden!W28</f>
        <v/>
      </c>
    </row>
    <row r="29" spans="1:31" s="14" customFormat="1" ht="13.9" customHeight="1" x14ac:dyDescent="0.25">
      <c r="A29" s="109" t="s">
        <v>135</v>
      </c>
      <c r="B29" s="120" t="str">
        <f ca="1">Resultados!AC62</f>
        <v>Los Aliados</v>
      </c>
      <c r="C29" s="109">
        <f ca="1">Resultados!AD62</f>
        <v>1</v>
      </c>
      <c r="D29" s="109">
        <f ca="1">Resultados!AE62</f>
        <v>0</v>
      </c>
      <c r="E29" s="109">
        <f ca="1">Resultados!AF62</f>
        <v>6</v>
      </c>
      <c r="F29" s="109">
        <f t="shared" ca="1" si="0"/>
        <v>195</v>
      </c>
      <c r="G29" s="109" t="str">
        <f ca="1">CONCATENATE(Resultados!AG62,":",Resultados!AH62)</f>
        <v>10:43</v>
      </c>
      <c r="H29" s="109">
        <f ca="1">Resultados!AJ62</f>
        <v>3</v>
      </c>
      <c r="I29" s="109">
        <f ca="1">Resultados!AI62</f>
        <v>-33</v>
      </c>
      <c r="J29" s="109">
        <f ca="1">Resultados!AK62</f>
        <v>7</v>
      </c>
      <c r="R29" s="15" t="s">
        <v>217</v>
      </c>
      <c r="S29" s="16" t="str">
        <f>Orden!K29</f>
        <v>Orlando Montiel</v>
      </c>
      <c r="T29" s="16" t="str">
        <f>Orden!L29</f>
        <v>Boca Juniors</v>
      </c>
      <c r="U29" s="16">
        <f>Orden!M29</f>
        <v>3</v>
      </c>
      <c r="W29" s="15" t="s">
        <v>217</v>
      </c>
      <c r="X29" s="16" t="str">
        <f>Orden!P29</f>
        <v/>
      </c>
      <c r="Y29" s="16" t="str">
        <f>Orden!Q29</f>
        <v/>
      </c>
      <c r="Z29" s="16" t="str">
        <f>Orden!R29</f>
        <v/>
      </c>
      <c r="AB29" s="15" t="s">
        <v>217</v>
      </c>
      <c r="AC29" s="16" t="str">
        <f>Orden!U29</f>
        <v/>
      </c>
      <c r="AD29" s="16" t="str">
        <f>Orden!V29</f>
        <v/>
      </c>
      <c r="AE29" s="16" t="str">
        <f>Orden!W29</f>
        <v/>
      </c>
    </row>
    <row r="30" spans="1:31" s="14" customFormat="1" ht="13.9" customHeight="1" x14ac:dyDescent="0.25">
      <c r="A30" s="109" t="s">
        <v>136</v>
      </c>
      <c r="B30" s="120" t="str">
        <f ca="1">Resultados!AC63</f>
        <v>Boca Juniors</v>
      </c>
      <c r="C30" s="109">
        <f ca="1">Resultados!AD63</f>
        <v>0</v>
      </c>
      <c r="D30" s="109">
        <f ca="1">Resultados!AE63</f>
        <v>1</v>
      </c>
      <c r="E30" s="109">
        <f ca="1">Resultados!AF63</f>
        <v>6</v>
      </c>
      <c r="F30" s="109">
        <f t="shared" ca="1" si="0"/>
        <v>185</v>
      </c>
      <c r="G30" s="109" t="str">
        <f ca="1">CONCATENATE(Resultados!AG63,":",Resultados!AH63)</f>
        <v>11:29</v>
      </c>
      <c r="H30" s="109">
        <f ca="1">Resultados!AJ63</f>
        <v>1</v>
      </c>
      <c r="I30" s="109">
        <f ca="1">Resultados!AI63</f>
        <v>-18</v>
      </c>
      <c r="J30" s="109">
        <f ca="1">Resultados!AK63</f>
        <v>7</v>
      </c>
      <c r="R30" s="15" t="s">
        <v>216</v>
      </c>
      <c r="S30" s="16" t="str">
        <f>Orden!K30</f>
        <v>Andry Jhoan Rivera</v>
      </c>
      <c r="T30" s="16" t="str">
        <f>Orden!L30</f>
        <v>Boca Juniors</v>
      </c>
      <c r="U30" s="16">
        <f>Orden!M30</f>
        <v>3</v>
      </c>
      <c r="W30" s="15" t="s">
        <v>216</v>
      </c>
      <c r="X30" s="16" t="str">
        <f>Orden!P30</f>
        <v/>
      </c>
      <c r="Y30" s="16" t="str">
        <f>Orden!Q30</f>
        <v/>
      </c>
      <c r="Z30" s="16" t="str">
        <f>Orden!R30</f>
        <v/>
      </c>
      <c r="AB30" s="15" t="s">
        <v>216</v>
      </c>
      <c r="AC30" s="16" t="str">
        <f>Orden!U30</f>
        <v/>
      </c>
      <c r="AD30" s="16" t="str">
        <f>Orden!V30</f>
        <v/>
      </c>
      <c r="AE30" s="16" t="str">
        <f>Orden!W30</f>
        <v/>
      </c>
    </row>
    <row r="31" spans="1:31" s="14" customFormat="1" ht="13.9" customHeight="1" thickBot="1" x14ac:dyDescent="0.3">
      <c r="R31" s="15" t="s">
        <v>215</v>
      </c>
      <c r="S31" s="16" t="str">
        <f>Orden!K32</f>
        <v>Jhoan Sebastián Ossa</v>
      </c>
      <c r="T31" s="16" t="str">
        <f>Orden!L32</f>
        <v>Los Aliados</v>
      </c>
      <c r="U31" s="16">
        <f>Orden!M32</f>
        <v>3</v>
      </c>
      <c r="W31" s="15" t="s">
        <v>215</v>
      </c>
      <c r="X31" s="16" t="str">
        <f>Orden!P32</f>
        <v/>
      </c>
      <c r="Y31" s="16" t="str">
        <f>Orden!Q32</f>
        <v/>
      </c>
      <c r="Z31" s="16" t="str">
        <f>Orden!R32</f>
        <v/>
      </c>
      <c r="AB31" s="15" t="s">
        <v>215</v>
      </c>
      <c r="AC31" s="16" t="str">
        <f>Orden!U32</f>
        <v/>
      </c>
      <c r="AD31" s="16" t="str">
        <f>Orden!V32</f>
        <v/>
      </c>
      <c r="AE31" s="16" t="str">
        <f>Orden!W32</f>
        <v/>
      </c>
    </row>
    <row r="32" spans="1:31" s="14" customFormat="1" ht="13.9" customHeight="1" thickBot="1" x14ac:dyDescent="0.3">
      <c r="A32" s="138" t="s">
        <v>523</v>
      </c>
      <c r="B32" s="138"/>
      <c r="C32" s="138"/>
      <c r="D32" s="138"/>
      <c r="E32" s="138"/>
      <c r="F32" s="138"/>
      <c r="G32" s="138"/>
      <c r="H32" s="138"/>
      <c r="I32" s="138"/>
      <c r="J32" s="138"/>
      <c r="R32" s="15" t="s">
        <v>214</v>
      </c>
      <c r="S32" s="16" t="str">
        <f>Orden!K33</f>
        <v>Manuel Carrascal Espitía</v>
      </c>
      <c r="T32" s="16" t="str">
        <f>Orden!L33</f>
        <v>CD El Corozo</v>
      </c>
      <c r="U32" s="16">
        <f>Orden!M33</f>
        <v>3</v>
      </c>
      <c r="W32" s="15" t="s">
        <v>214</v>
      </c>
      <c r="X32" s="16" t="str">
        <f>Orden!P33</f>
        <v/>
      </c>
      <c r="Y32" s="16" t="str">
        <f>Orden!Q33</f>
        <v/>
      </c>
      <c r="Z32" s="16" t="str">
        <f>Orden!R33</f>
        <v/>
      </c>
      <c r="AB32" s="15" t="s">
        <v>214</v>
      </c>
      <c r="AC32" s="16" t="str">
        <f>Orden!U33</f>
        <v/>
      </c>
      <c r="AD32" s="16" t="str">
        <f>Orden!V33</f>
        <v/>
      </c>
      <c r="AE32" s="16" t="str">
        <f>Orden!W33</f>
        <v/>
      </c>
    </row>
    <row r="33" spans="1:31" s="14" customFormat="1" ht="13.9" customHeight="1" thickBot="1" x14ac:dyDescent="0.3">
      <c r="A33" s="21" t="s">
        <v>122</v>
      </c>
      <c r="B33" s="127" t="s">
        <v>2</v>
      </c>
      <c r="C33" s="21" t="s">
        <v>115</v>
      </c>
      <c r="D33" s="21" t="s">
        <v>116</v>
      </c>
      <c r="E33" s="21" t="s">
        <v>117</v>
      </c>
      <c r="F33" s="21" t="s">
        <v>119</v>
      </c>
      <c r="G33" s="21" t="s">
        <v>123</v>
      </c>
      <c r="H33" s="21" t="s">
        <v>126</v>
      </c>
      <c r="I33" s="21" t="s">
        <v>125</v>
      </c>
      <c r="J33" s="21" t="s">
        <v>127</v>
      </c>
      <c r="R33" s="15" t="s">
        <v>213</v>
      </c>
      <c r="S33" s="16" t="str">
        <f>Orden!K34</f>
        <v>Cristián Álzate</v>
      </c>
      <c r="T33" s="16" t="str">
        <f>Orden!L34</f>
        <v>Los Amigos</v>
      </c>
      <c r="U33" s="16">
        <f>Orden!M34</f>
        <v>2</v>
      </c>
      <c r="W33" s="15" t="s">
        <v>213</v>
      </c>
      <c r="X33" s="16" t="str">
        <f>Orden!P34</f>
        <v/>
      </c>
      <c r="Y33" s="16" t="str">
        <f>Orden!Q34</f>
        <v/>
      </c>
      <c r="Z33" s="16" t="str">
        <f>Orden!R34</f>
        <v/>
      </c>
      <c r="AB33" s="15" t="s">
        <v>213</v>
      </c>
      <c r="AC33" s="16" t="str">
        <f>Orden!U34</f>
        <v/>
      </c>
      <c r="AD33" s="16" t="str">
        <f>Orden!V34</f>
        <v/>
      </c>
      <c r="AE33" s="16" t="str">
        <f>Orden!W34</f>
        <v/>
      </c>
    </row>
    <row r="34" spans="1:31" s="14" customFormat="1" ht="13.9" customHeight="1" x14ac:dyDescent="0.25">
      <c r="A34" s="109" t="s">
        <v>129</v>
      </c>
      <c r="B34" s="120" t="str">
        <f ca="1">Resultados!AC67</f>
        <v>La Amistad</v>
      </c>
      <c r="C34" s="109">
        <f ca="1">Resultados!AD67</f>
        <v>6</v>
      </c>
      <c r="D34" s="109">
        <f ca="1">Resultados!AE67</f>
        <v>0</v>
      </c>
      <c r="E34" s="109">
        <f ca="1">Resultados!AF67</f>
        <v>0</v>
      </c>
      <c r="F34" s="109">
        <f ca="1">VLOOKUP($B34,$B$3:$J$18,5,FALSE)</f>
        <v>120</v>
      </c>
      <c r="G34" s="109" t="str">
        <f ca="1">CONCATENATE(Resultados!AG67,":",Resultados!AH67)</f>
        <v>35:9</v>
      </c>
      <c r="H34" s="109">
        <f ca="1">Resultados!AJ67</f>
        <v>18</v>
      </c>
      <c r="I34" s="109">
        <f ca="1">Resultados!AI67</f>
        <v>26</v>
      </c>
      <c r="J34" s="109">
        <f ca="1">Resultados!AK67</f>
        <v>6</v>
      </c>
      <c r="R34" s="15" t="s">
        <v>212</v>
      </c>
      <c r="S34" s="16" t="str">
        <f>Orden!K35</f>
        <v>Santiago Cardona</v>
      </c>
      <c r="T34" s="16" t="str">
        <f>Orden!L35</f>
        <v>Los Amigos</v>
      </c>
      <c r="U34" s="16">
        <f>Orden!M35</f>
        <v>2</v>
      </c>
      <c r="W34" s="15" t="s">
        <v>212</v>
      </c>
      <c r="X34" s="16" t="str">
        <f>Orden!P35</f>
        <v/>
      </c>
      <c r="Y34" s="16" t="str">
        <f>Orden!Q35</f>
        <v/>
      </c>
      <c r="Z34" s="16" t="str">
        <f>Orden!R35</f>
        <v/>
      </c>
      <c r="AB34" s="15" t="s">
        <v>212</v>
      </c>
      <c r="AC34" s="16" t="str">
        <f>Orden!U35</f>
        <v/>
      </c>
      <c r="AD34" s="16" t="str">
        <f>Orden!V35</f>
        <v/>
      </c>
      <c r="AE34" s="16" t="str">
        <f>Orden!W35</f>
        <v/>
      </c>
    </row>
    <row r="35" spans="1:31" s="14" customFormat="1" ht="13.9" customHeight="1" x14ac:dyDescent="0.25">
      <c r="A35" s="109" t="s">
        <v>130</v>
      </c>
      <c r="B35" s="120" t="str">
        <f ca="1">Resultados!AC68</f>
        <v>Villanueva</v>
      </c>
      <c r="C35" s="109">
        <f ca="1">Resultados!AD68</f>
        <v>5</v>
      </c>
      <c r="D35" s="109">
        <f ca="1">Resultados!AE68</f>
        <v>0</v>
      </c>
      <c r="E35" s="109">
        <f ca="1">Resultados!AF68</f>
        <v>1</v>
      </c>
      <c r="F35" s="109">
        <f t="shared" ref="F35:F40" ca="1" si="1">VLOOKUP($B35,$B$3:$J$18,5,FALSE)</f>
        <v>170</v>
      </c>
      <c r="G35" s="109" t="str">
        <f ca="1">CONCATENATE(Resultados!AG68,":",Resultados!AH68)</f>
        <v>22:8</v>
      </c>
      <c r="H35" s="109">
        <f ca="1">Resultados!AJ68</f>
        <v>15</v>
      </c>
      <c r="I35" s="109">
        <f ca="1">Resultados!AI68</f>
        <v>14</v>
      </c>
      <c r="J35" s="109">
        <f ca="1">Resultados!AK68</f>
        <v>6</v>
      </c>
      <c r="R35" s="15" t="s">
        <v>211</v>
      </c>
      <c r="S35" s="16" t="str">
        <f>Orden!K36</f>
        <v>Diego Castrillón</v>
      </c>
      <c r="T35" s="16" t="str">
        <f>Orden!L36</f>
        <v>Los Amigos</v>
      </c>
      <c r="U35" s="16">
        <f>Orden!M36</f>
        <v>2</v>
      </c>
      <c r="W35" s="15" t="s">
        <v>211</v>
      </c>
      <c r="X35" s="16" t="str">
        <f>Orden!P36</f>
        <v/>
      </c>
      <c r="Y35" s="16" t="str">
        <f>Orden!Q36</f>
        <v/>
      </c>
      <c r="Z35" s="16" t="str">
        <f>Orden!R36</f>
        <v/>
      </c>
      <c r="AB35" s="15" t="s">
        <v>211</v>
      </c>
      <c r="AC35" s="16" t="str">
        <f>Orden!U36</f>
        <v/>
      </c>
      <c r="AD35" s="16" t="str">
        <f>Orden!V36</f>
        <v/>
      </c>
      <c r="AE35" s="16" t="str">
        <f>Orden!W36</f>
        <v/>
      </c>
    </row>
    <row r="36" spans="1:31" s="14" customFormat="1" ht="13.9" customHeight="1" x14ac:dyDescent="0.25">
      <c r="A36" s="109" t="s">
        <v>131</v>
      </c>
      <c r="B36" s="120" t="str">
        <f ca="1">Resultados!AC69</f>
        <v>Konami</v>
      </c>
      <c r="C36" s="109">
        <f ca="1">Resultados!AD69</f>
        <v>4</v>
      </c>
      <c r="D36" s="109">
        <f ca="1">Resultados!AE69</f>
        <v>0</v>
      </c>
      <c r="E36" s="109">
        <f ca="1">Resultados!AF69</f>
        <v>2</v>
      </c>
      <c r="F36" s="109">
        <f t="shared" ca="1" si="1"/>
        <v>45</v>
      </c>
      <c r="G36" s="109" t="str">
        <f ca="1">CONCATENATE(Resultados!AG69,":",Resultados!AH69)</f>
        <v>12:9</v>
      </c>
      <c r="H36" s="109">
        <f ca="1">Resultados!AJ69</f>
        <v>12</v>
      </c>
      <c r="I36" s="109">
        <f ca="1">Resultados!AI69</f>
        <v>3</v>
      </c>
      <c r="J36" s="109">
        <f ca="1">Resultados!AK69</f>
        <v>6</v>
      </c>
      <c r="R36" s="15" t="s">
        <v>210</v>
      </c>
      <c r="S36" s="16" t="str">
        <f>Orden!K37</f>
        <v>Hernán Sánchez</v>
      </c>
      <c r="T36" s="16" t="str">
        <f>Orden!L37</f>
        <v>Los Amigos</v>
      </c>
      <c r="U36" s="16">
        <f>Orden!M37</f>
        <v>2</v>
      </c>
      <c r="W36" s="15" t="s">
        <v>210</v>
      </c>
      <c r="X36" s="16" t="str">
        <f>Orden!P37</f>
        <v/>
      </c>
      <c r="Y36" s="16" t="str">
        <f>Orden!Q37</f>
        <v/>
      </c>
      <c r="Z36" s="16" t="str">
        <f>Orden!R37</f>
        <v/>
      </c>
      <c r="AB36" s="15" t="s">
        <v>210</v>
      </c>
      <c r="AC36" s="16" t="str">
        <f>Orden!U37</f>
        <v/>
      </c>
      <c r="AD36" s="16" t="str">
        <f>Orden!V37</f>
        <v/>
      </c>
      <c r="AE36" s="16" t="str">
        <f>Orden!W37</f>
        <v/>
      </c>
    </row>
    <row r="37" spans="1:31" s="14" customFormat="1" ht="13.9" customHeight="1" x14ac:dyDescent="0.25">
      <c r="A37" s="109" t="s">
        <v>132</v>
      </c>
      <c r="B37" s="120" t="str">
        <f ca="1">Resultados!AC70</f>
        <v>Amenadim</v>
      </c>
      <c r="C37" s="109">
        <f ca="1">Resultados!AD70</f>
        <v>3</v>
      </c>
      <c r="D37" s="109">
        <f ca="1">Resultados!AE70</f>
        <v>0</v>
      </c>
      <c r="E37" s="109">
        <f ca="1">Resultados!AF70</f>
        <v>3</v>
      </c>
      <c r="F37" s="109">
        <f t="shared" ca="1" si="1"/>
        <v>95</v>
      </c>
      <c r="G37" s="109" t="str">
        <f ca="1">CONCATENATE(Resultados!AG70,":",Resultados!AH70)</f>
        <v>19:16</v>
      </c>
      <c r="H37" s="109">
        <f ca="1">Resultados!AJ70</f>
        <v>9</v>
      </c>
      <c r="I37" s="109">
        <f ca="1">Resultados!AI70</f>
        <v>3</v>
      </c>
      <c r="J37" s="109">
        <f ca="1">Resultados!AK70</f>
        <v>6</v>
      </c>
      <c r="R37" s="15" t="s">
        <v>209</v>
      </c>
      <c r="S37" s="16" t="str">
        <f>Orden!K38</f>
        <v>Gonzalo Carvajal</v>
      </c>
      <c r="T37" s="16" t="str">
        <f>Orden!L38</f>
        <v>La Nueva Era</v>
      </c>
      <c r="U37" s="16">
        <f>Orden!M38</f>
        <v>2</v>
      </c>
      <c r="W37" s="15" t="s">
        <v>209</v>
      </c>
      <c r="X37" s="16" t="str">
        <f>Orden!P38</f>
        <v/>
      </c>
      <c r="Y37" s="16" t="str">
        <f>Orden!Q38</f>
        <v/>
      </c>
      <c r="Z37" s="16" t="str">
        <f>Orden!R38</f>
        <v/>
      </c>
      <c r="AB37" s="15" t="s">
        <v>209</v>
      </c>
      <c r="AC37" s="16" t="str">
        <f>Orden!U38</f>
        <v/>
      </c>
      <c r="AD37" s="16" t="str">
        <f>Orden!V38</f>
        <v/>
      </c>
      <c r="AE37" s="16" t="str">
        <f>Orden!W38</f>
        <v/>
      </c>
    </row>
    <row r="38" spans="1:31" s="14" customFormat="1" ht="13.9" customHeight="1" x14ac:dyDescent="0.25">
      <c r="A38" s="109" t="s">
        <v>133</v>
      </c>
      <c r="B38" s="120" t="str">
        <f ca="1">Resultados!AC71</f>
        <v>Deportivo Fénix</v>
      </c>
      <c r="C38" s="109">
        <f ca="1">Resultados!AD71</f>
        <v>2</v>
      </c>
      <c r="D38" s="109">
        <f ca="1">Resultados!AE71</f>
        <v>0</v>
      </c>
      <c r="E38" s="109">
        <f ca="1">Resultados!AF71</f>
        <v>4</v>
      </c>
      <c r="F38" s="109">
        <f t="shared" ca="1" si="1"/>
        <v>90</v>
      </c>
      <c r="G38" s="109" t="str">
        <f ca="1">CONCATENATE(Resultados!AG71,":",Resultados!AH71)</f>
        <v>15:22</v>
      </c>
      <c r="H38" s="109">
        <f ca="1">Resultados!AJ71</f>
        <v>6</v>
      </c>
      <c r="I38" s="109">
        <f ca="1">Resultados!AI71</f>
        <v>-7</v>
      </c>
      <c r="J38" s="109">
        <f ca="1">Resultados!AK71</f>
        <v>6</v>
      </c>
      <c r="R38" s="15" t="s">
        <v>208</v>
      </c>
      <c r="S38" s="16" t="str">
        <f>Orden!K39</f>
        <v>Antony Pérez Osorio</v>
      </c>
      <c r="T38" s="16" t="str">
        <f>Orden!L39</f>
        <v>La Amistad</v>
      </c>
      <c r="U38" s="16">
        <f>Orden!M39</f>
        <v>2</v>
      </c>
      <c r="W38" s="15" t="s">
        <v>208</v>
      </c>
      <c r="X38" s="16" t="str">
        <f>Orden!P39</f>
        <v/>
      </c>
      <c r="Y38" s="16" t="str">
        <f>Orden!Q39</f>
        <v/>
      </c>
      <c r="Z38" s="16" t="str">
        <f>Orden!R39</f>
        <v/>
      </c>
      <c r="AB38" s="15" t="s">
        <v>208</v>
      </c>
      <c r="AC38" s="16" t="str">
        <f>Orden!U39</f>
        <v/>
      </c>
      <c r="AD38" s="16" t="str">
        <f>Orden!V39</f>
        <v/>
      </c>
      <c r="AE38" s="16" t="str">
        <f>Orden!W39</f>
        <v/>
      </c>
    </row>
    <row r="39" spans="1:31" s="14" customFormat="1" ht="13.9" customHeight="1" x14ac:dyDescent="0.25">
      <c r="A39" s="109" t="s">
        <v>134</v>
      </c>
      <c r="B39" s="120" t="str">
        <f ca="1">Resultados!AC72</f>
        <v>La Nueva Era</v>
      </c>
      <c r="C39" s="109">
        <f ca="1">Resultados!AD72</f>
        <v>1</v>
      </c>
      <c r="D39" s="109">
        <f ca="1">Resultados!AE72</f>
        <v>0</v>
      </c>
      <c r="E39" s="109">
        <f ca="1">Resultados!AF72</f>
        <v>5</v>
      </c>
      <c r="F39" s="109">
        <f t="shared" ca="1" si="1"/>
        <v>50</v>
      </c>
      <c r="G39" s="109" t="str">
        <f ca="1">CONCATENATE(Resultados!AG72,":",Resultados!AH72)</f>
        <v>5:28</v>
      </c>
      <c r="H39" s="109">
        <f ca="1">Resultados!AJ72</f>
        <v>3</v>
      </c>
      <c r="I39" s="109">
        <f ca="1">Resultados!AI72</f>
        <v>-23</v>
      </c>
      <c r="J39" s="109">
        <f ca="1">Resultados!AK72</f>
        <v>6</v>
      </c>
      <c r="R39" s="15" t="s">
        <v>207</v>
      </c>
      <c r="S39" s="16" t="str">
        <f>Orden!K40</f>
        <v xml:space="preserve">Juan David García </v>
      </c>
      <c r="T39" s="16" t="str">
        <f>Orden!L40</f>
        <v>La Amistad</v>
      </c>
      <c r="U39" s="16">
        <f>Orden!M40</f>
        <v>2</v>
      </c>
      <c r="W39" s="15" t="s">
        <v>207</v>
      </c>
      <c r="X39" s="16" t="str">
        <f>Orden!P40</f>
        <v/>
      </c>
      <c r="Y39" s="16" t="str">
        <f>Orden!Q40</f>
        <v/>
      </c>
      <c r="Z39" s="16" t="str">
        <f>Orden!R40</f>
        <v/>
      </c>
      <c r="AB39" s="15" t="s">
        <v>207</v>
      </c>
      <c r="AC39" s="16" t="str">
        <f>Orden!U40</f>
        <v/>
      </c>
      <c r="AD39" s="16" t="str">
        <f>Orden!V40</f>
        <v/>
      </c>
      <c r="AE39" s="16" t="str">
        <f>Orden!W40</f>
        <v/>
      </c>
    </row>
    <row r="40" spans="1:31" s="14" customFormat="1" ht="13.9" customHeight="1" x14ac:dyDescent="0.25">
      <c r="A40" s="109" t="s">
        <v>135</v>
      </c>
      <c r="B40" s="120" t="str">
        <f ca="1">Resultados!AC73</f>
        <v>CD El Corozo</v>
      </c>
      <c r="C40" s="109">
        <f ca="1">Resultados!AD73</f>
        <v>0</v>
      </c>
      <c r="D40" s="109">
        <f ca="1">Resultados!AE73</f>
        <v>0</v>
      </c>
      <c r="E40" s="109">
        <f ca="1">Resultados!AF73</f>
        <v>6</v>
      </c>
      <c r="F40" s="109">
        <f t="shared" ca="1" si="1"/>
        <v>240</v>
      </c>
      <c r="G40" s="109" t="str">
        <f ca="1">CONCATENATE(Resultados!AG73,":",Resultados!AH73)</f>
        <v>4:20</v>
      </c>
      <c r="H40" s="109">
        <f ca="1">Resultados!AJ73</f>
        <v>0</v>
      </c>
      <c r="I40" s="109">
        <f ca="1">Resultados!AI73</f>
        <v>-16</v>
      </c>
      <c r="J40" s="109">
        <f ca="1">Resultados!AK73</f>
        <v>6</v>
      </c>
      <c r="R40" s="15" t="s">
        <v>206</v>
      </c>
      <c r="S40" s="16" t="str">
        <f>Orden!K41</f>
        <v>Norbey Flórez</v>
      </c>
      <c r="T40" s="16" t="str">
        <f>Orden!L41</f>
        <v>Konami</v>
      </c>
      <c r="U40" s="16">
        <f>Orden!M41</f>
        <v>2</v>
      </c>
      <c r="W40" s="15" t="s">
        <v>206</v>
      </c>
      <c r="X40" s="16" t="str">
        <f>Orden!P41</f>
        <v/>
      </c>
      <c r="Y40" s="16" t="str">
        <f>Orden!Q41</f>
        <v/>
      </c>
      <c r="Z40" s="16" t="str">
        <f>Orden!R41</f>
        <v/>
      </c>
      <c r="AB40" s="15" t="s">
        <v>206</v>
      </c>
      <c r="AC40" s="16" t="str">
        <f>Orden!U41</f>
        <v/>
      </c>
      <c r="AD40" s="16" t="str">
        <f>Orden!V41</f>
        <v/>
      </c>
      <c r="AE40" s="16" t="str">
        <f>Orden!W41</f>
        <v/>
      </c>
    </row>
    <row r="41" spans="1:31" s="14" customFormat="1" ht="13.9" customHeight="1" x14ac:dyDescent="0.25">
      <c r="R41" s="15" t="s">
        <v>205</v>
      </c>
      <c r="S41" s="16" t="str">
        <f>Orden!K42</f>
        <v xml:space="preserve">Fabián Serna </v>
      </c>
      <c r="T41" s="16" t="str">
        <f>Orden!L42</f>
        <v>Konami</v>
      </c>
      <c r="U41" s="16">
        <f>Orden!M42</f>
        <v>2</v>
      </c>
      <c r="W41" s="15" t="s">
        <v>205</v>
      </c>
      <c r="X41" s="16" t="str">
        <f>Orden!P42</f>
        <v/>
      </c>
      <c r="Y41" s="16" t="str">
        <f>Orden!Q42</f>
        <v/>
      </c>
      <c r="Z41" s="16" t="str">
        <f>Orden!R42</f>
        <v/>
      </c>
      <c r="AB41" s="15" t="s">
        <v>205</v>
      </c>
      <c r="AC41" s="16" t="str">
        <f>Orden!U42</f>
        <v/>
      </c>
      <c r="AD41" s="16" t="str">
        <f>Orden!V42</f>
        <v/>
      </c>
      <c r="AE41" s="16" t="str">
        <f>Orden!W42</f>
        <v/>
      </c>
    </row>
    <row r="42" spans="1:31" s="14" customFormat="1" ht="13.9" customHeight="1" x14ac:dyDescent="0.25">
      <c r="R42" s="15" t="s">
        <v>204</v>
      </c>
      <c r="S42" s="16" t="str">
        <f>Orden!K43</f>
        <v>Gregory Mora</v>
      </c>
      <c r="T42" s="16" t="str">
        <f>Orden!L43</f>
        <v>Villanueva</v>
      </c>
      <c r="U42" s="16">
        <f>Orden!M43</f>
        <v>2</v>
      </c>
      <c r="W42" s="15" t="s">
        <v>204</v>
      </c>
      <c r="X42" s="16" t="str">
        <f>Orden!P43</f>
        <v/>
      </c>
      <c r="Y42" s="16" t="str">
        <f>Orden!Q43</f>
        <v/>
      </c>
      <c r="Z42" s="16" t="str">
        <f>Orden!R43</f>
        <v/>
      </c>
      <c r="AB42" s="15" t="s">
        <v>204</v>
      </c>
      <c r="AC42" s="16" t="str">
        <f>Orden!U43</f>
        <v/>
      </c>
      <c r="AD42" s="16" t="str">
        <f>Orden!V43</f>
        <v/>
      </c>
      <c r="AE42" s="16" t="str">
        <f>Orden!W43</f>
        <v/>
      </c>
    </row>
    <row r="43" spans="1:31" s="14" customFormat="1" ht="13.9" customHeight="1" x14ac:dyDescent="0.25">
      <c r="R43" s="15" t="s">
        <v>203</v>
      </c>
      <c r="S43" s="16" t="str">
        <f>Orden!K44</f>
        <v>Elias Reyes</v>
      </c>
      <c r="T43" s="16" t="str">
        <f>Orden!L44</f>
        <v>Villanueva</v>
      </c>
      <c r="U43" s="16">
        <f>Orden!M44</f>
        <v>2</v>
      </c>
      <c r="W43" s="15" t="s">
        <v>203</v>
      </c>
      <c r="X43" s="16" t="str">
        <f>Orden!P44</f>
        <v/>
      </c>
      <c r="Y43" s="16" t="str">
        <f>Orden!Q44</f>
        <v/>
      </c>
      <c r="Z43" s="16" t="str">
        <f>Orden!R44</f>
        <v/>
      </c>
      <c r="AB43" s="15" t="s">
        <v>203</v>
      </c>
      <c r="AC43" s="16" t="str">
        <f>Orden!U44</f>
        <v/>
      </c>
      <c r="AD43" s="16" t="str">
        <f>Orden!V44</f>
        <v/>
      </c>
      <c r="AE43" s="16" t="str">
        <f>Orden!W44</f>
        <v/>
      </c>
    </row>
    <row r="44" spans="1:31" s="14" customFormat="1" ht="13.9" customHeight="1" x14ac:dyDescent="0.25">
      <c r="R44" s="15" t="s">
        <v>202</v>
      </c>
      <c r="S44" s="16" t="str">
        <f>Orden!K45</f>
        <v>Eliecer Serpa</v>
      </c>
      <c r="T44" s="16" t="str">
        <f>Orden!L45</f>
        <v>Ron Star</v>
      </c>
      <c r="U44" s="16">
        <f>Orden!M45</f>
        <v>2</v>
      </c>
      <c r="W44" s="15" t="s">
        <v>202</v>
      </c>
      <c r="X44" s="16" t="str">
        <f>Orden!P45</f>
        <v/>
      </c>
      <c r="Y44" s="16" t="str">
        <f>Orden!Q45</f>
        <v/>
      </c>
      <c r="Z44" s="16" t="str">
        <f>Orden!R45</f>
        <v/>
      </c>
      <c r="AB44" s="15" t="s">
        <v>202</v>
      </c>
      <c r="AC44" s="16" t="str">
        <f>Orden!U45</f>
        <v/>
      </c>
      <c r="AD44" s="16" t="str">
        <f>Orden!V45</f>
        <v/>
      </c>
      <c r="AE44" s="16" t="str">
        <f>Orden!W45</f>
        <v/>
      </c>
    </row>
    <row r="45" spans="1:31" s="14" customFormat="1" ht="13.9" customHeight="1" x14ac:dyDescent="0.25">
      <c r="R45" s="15" t="s">
        <v>201</v>
      </c>
      <c r="S45" s="16" t="str">
        <f>Orden!K47</f>
        <v>Dany Gaviria</v>
      </c>
      <c r="T45" s="16" t="str">
        <f>Orden!L47</f>
        <v>Ron Star</v>
      </c>
      <c r="U45" s="16">
        <f>Orden!M47</f>
        <v>2</v>
      </c>
      <c r="W45" s="15" t="s">
        <v>201</v>
      </c>
      <c r="X45" s="16" t="str">
        <f>Orden!P47</f>
        <v/>
      </c>
      <c r="Y45" s="16" t="str">
        <f>Orden!Q47</f>
        <v/>
      </c>
      <c r="Z45" s="16" t="str">
        <f>Orden!R47</f>
        <v/>
      </c>
      <c r="AB45" s="15" t="s">
        <v>201</v>
      </c>
      <c r="AC45" s="16" t="str">
        <f>Orden!U47</f>
        <v/>
      </c>
      <c r="AD45" s="16" t="str">
        <f>Orden!V47</f>
        <v/>
      </c>
      <c r="AE45" s="16" t="str">
        <f>Orden!W47</f>
        <v/>
      </c>
    </row>
    <row r="46" spans="1:31" s="14" customFormat="1" ht="13.9" customHeight="1" x14ac:dyDescent="0.25">
      <c r="R46" s="15" t="s">
        <v>200</v>
      </c>
      <c r="S46" s="16" t="str">
        <f>Orden!K48</f>
        <v>Diego Patiño</v>
      </c>
      <c r="T46" s="16" t="str">
        <f>Orden!L48</f>
        <v>Ron Star</v>
      </c>
      <c r="U46" s="16">
        <f>Orden!M48</f>
        <v>2</v>
      </c>
      <c r="W46" s="15" t="s">
        <v>200</v>
      </c>
      <c r="X46" s="16" t="str">
        <f>Orden!P48</f>
        <v/>
      </c>
      <c r="Y46" s="16" t="str">
        <f>Orden!Q48</f>
        <v/>
      </c>
      <c r="Z46" s="16" t="str">
        <f>Orden!R48</f>
        <v/>
      </c>
      <c r="AB46" s="15" t="s">
        <v>200</v>
      </c>
      <c r="AC46" s="16" t="str">
        <f>Orden!U48</f>
        <v/>
      </c>
      <c r="AD46" s="16" t="str">
        <f>Orden!V48</f>
        <v/>
      </c>
      <c r="AE46" s="16" t="str">
        <f>Orden!W48</f>
        <v/>
      </c>
    </row>
    <row r="47" spans="1:31" s="14" customFormat="1" ht="13.9" customHeight="1" x14ac:dyDescent="0.25">
      <c r="R47" s="15" t="s">
        <v>199</v>
      </c>
      <c r="S47" s="16" t="str">
        <f>Orden!K49</f>
        <v>Leandro Oviedo</v>
      </c>
      <c r="T47" s="16" t="str">
        <f>Orden!L49</f>
        <v>Amenadim</v>
      </c>
      <c r="U47" s="16">
        <f>Orden!M49</f>
        <v>2</v>
      </c>
      <c r="W47" s="15" t="s">
        <v>199</v>
      </c>
      <c r="X47" s="16" t="str">
        <f>Orden!P49</f>
        <v/>
      </c>
      <c r="Y47" s="16" t="str">
        <f>Orden!Q49</f>
        <v/>
      </c>
      <c r="Z47" s="16" t="str">
        <f>Orden!R49</f>
        <v/>
      </c>
      <c r="AB47" s="15" t="s">
        <v>199</v>
      </c>
      <c r="AC47" s="16" t="str">
        <f>Orden!U49</f>
        <v/>
      </c>
      <c r="AD47" s="16" t="str">
        <f>Orden!V49</f>
        <v/>
      </c>
      <c r="AE47" s="16" t="str">
        <f>Orden!W49</f>
        <v/>
      </c>
    </row>
    <row r="48" spans="1:31" s="14" customFormat="1" ht="13.9" customHeight="1" x14ac:dyDescent="0.25">
      <c r="R48" s="15" t="s">
        <v>198</v>
      </c>
      <c r="S48" s="16" t="str">
        <f>Orden!K50</f>
        <v>Jimy Manrique</v>
      </c>
      <c r="T48" s="16" t="str">
        <f>Orden!L50</f>
        <v>Hojas Anchas</v>
      </c>
      <c r="U48" s="16">
        <f>Orden!M50</f>
        <v>2</v>
      </c>
      <c r="W48" s="15" t="s">
        <v>198</v>
      </c>
      <c r="X48" s="16" t="str">
        <f>Orden!P50</f>
        <v/>
      </c>
      <c r="Y48" s="16" t="str">
        <f>Orden!Q50</f>
        <v/>
      </c>
      <c r="Z48" s="16" t="str">
        <f>Orden!R50</f>
        <v/>
      </c>
      <c r="AB48" s="15" t="s">
        <v>198</v>
      </c>
      <c r="AC48" s="16" t="str">
        <f>Orden!U50</f>
        <v/>
      </c>
      <c r="AD48" s="16" t="str">
        <f>Orden!V50</f>
        <v/>
      </c>
      <c r="AE48" s="16" t="str">
        <f>Orden!W50</f>
        <v/>
      </c>
    </row>
    <row r="49" spans="18:31" s="14" customFormat="1" ht="13.9" customHeight="1" x14ac:dyDescent="0.25">
      <c r="R49" s="15" t="s">
        <v>197</v>
      </c>
      <c r="S49" s="16" t="str">
        <f>Orden!K51</f>
        <v xml:space="preserve">Jeison Londoño </v>
      </c>
      <c r="T49" s="16" t="str">
        <f>Orden!L51</f>
        <v>Hojas Anchas</v>
      </c>
      <c r="U49" s="16">
        <f>Orden!M51</f>
        <v>2</v>
      </c>
      <c r="W49" s="15" t="s">
        <v>197</v>
      </c>
      <c r="X49" s="16" t="str">
        <f>Orden!P51</f>
        <v/>
      </c>
      <c r="Y49" s="16" t="str">
        <f>Orden!Q51</f>
        <v/>
      </c>
      <c r="Z49" s="16" t="str">
        <f>Orden!R51</f>
        <v/>
      </c>
      <c r="AB49" s="15" t="s">
        <v>197</v>
      </c>
      <c r="AC49" s="16" t="str">
        <f>Orden!U51</f>
        <v/>
      </c>
      <c r="AD49" s="16" t="str">
        <f>Orden!V51</f>
        <v/>
      </c>
      <c r="AE49" s="16" t="str">
        <f>Orden!W51</f>
        <v/>
      </c>
    </row>
    <row r="50" spans="18:31" s="14" customFormat="1" ht="13.9" customHeight="1" x14ac:dyDescent="0.25">
      <c r="R50" s="15" t="s">
        <v>196</v>
      </c>
      <c r="S50" s="16" t="str">
        <f>Orden!K52</f>
        <v>Simón Flórez</v>
      </c>
      <c r="T50" s="16" t="str">
        <f>Orden!L52</f>
        <v>Valentín FC</v>
      </c>
      <c r="U50" s="16">
        <f>Orden!M52</f>
        <v>2</v>
      </c>
      <c r="W50" s="15" t="s">
        <v>196</v>
      </c>
      <c r="X50" s="16" t="str">
        <f>Orden!P52</f>
        <v/>
      </c>
      <c r="Y50" s="16" t="str">
        <f>Orden!Q52</f>
        <v/>
      </c>
      <c r="Z50" s="16" t="str">
        <f>Orden!R52</f>
        <v/>
      </c>
      <c r="AB50" s="15" t="s">
        <v>196</v>
      </c>
      <c r="AC50" s="16" t="str">
        <f>Orden!U52</f>
        <v/>
      </c>
      <c r="AD50" s="16" t="str">
        <f>Orden!V52</f>
        <v/>
      </c>
      <c r="AE50" s="16" t="str">
        <f>Orden!W52</f>
        <v/>
      </c>
    </row>
    <row r="51" spans="18:31" s="14" customFormat="1" ht="13.9" customHeight="1" x14ac:dyDescent="0.25">
      <c r="R51" s="15" t="s">
        <v>195</v>
      </c>
      <c r="S51" s="16" t="str">
        <f>Orden!K53</f>
        <v>Santiago Grisales</v>
      </c>
      <c r="T51" s="16" t="str">
        <f>Orden!L53</f>
        <v>Valentín FC</v>
      </c>
      <c r="U51" s="16">
        <f>Orden!M53</f>
        <v>2</v>
      </c>
      <c r="W51" s="15" t="s">
        <v>195</v>
      </c>
      <c r="X51" s="16" t="str">
        <f>Orden!P53</f>
        <v/>
      </c>
      <c r="Y51" s="16" t="str">
        <f>Orden!Q53</f>
        <v/>
      </c>
      <c r="Z51" s="16" t="str">
        <f>Orden!R53</f>
        <v/>
      </c>
      <c r="AB51" s="15" t="s">
        <v>195</v>
      </c>
      <c r="AC51" s="16" t="str">
        <f>Orden!U53</f>
        <v/>
      </c>
      <c r="AD51" s="16" t="str">
        <f>Orden!V53</f>
        <v/>
      </c>
      <c r="AE51" s="16" t="str">
        <f>Orden!W53</f>
        <v/>
      </c>
    </row>
    <row r="52" spans="18:31" s="14" customFormat="1" ht="13.9" customHeight="1" x14ac:dyDescent="0.25">
      <c r="R52" s="15" t="s">
        <v>194</v>
      </c>
      <c r="S52" s="16" t="str">
        <f>Orden!K54</f>
        <v>Luis Colmenares</v>
      </c>
      <c r="T52" s="16" t="str">
        <f>Orden!L54</f>
        <v>Boca Juniors</v>
      </c>
      <c r="U52" s="16">
        <f>Orden!M54</f>
        <v>2</v>
      </c>
      <c r="W52" s="15" t="s">
        <v>194</v>
      </c>
      <c r="X52" s="16" t="str">
        <f>Orden!P54</f>
        <v/>
      </c>
      <c r="Y52" s="16" t="str">
        <f>Orden!Q54</f>
        <v/>
      </c>
      <c r="Z52" s="16" t="str">
        <f>Orden!R54</f>
        <v/>
      </c>
      <c r="AB52" s="15" t="s">
        <v>194</v>
      </c>
      <c r="AC52" s="16" t="str">
        <f>Orden!U54</f>
        <v/>
      </c>
      <c r="AD52" s="16" t="str">
        <f>Orden!V54</f>
        <v/>
      </c>
      <c r="AE52" s="16" t="str">
        <f>Orden!W54</f>
        <v/>
      </c>
    </row>
    <row r="53" spans="18:31" s="14" customFormat="1" ht="13.9" customHeight="1" x14ac:dyDescent="0.25">
      <c r="R53" s="15" t="s">
        <v>193</v>
      </c>
      <c r="S53" s="16" t="str">
        <f>Orden!K55</f>
        <v>Yehis Pacheco</v>
      </c>
      <c r="T53" s="16" t="str">
        <f>Orden!L55</f>
        <v>Boca Juniors</v>
      </c>
      <c r="U53" s="16">
        <f>Orden!M55</f>
        <v>2</v>
      </c>
    </row>
    <row r="54" spans="18:31" s="14" customFormat="1" ht="13.9" customHeight="1" x14ac:dyDescent="0.25">
      <c r="R54" s="15" t="s">
        <v>192</v>
      </c>
      <c r="S54" s="16" t="str">
        <f>Orden!K56</f>
        <v>Segundo Polo</v>
      </c>
      <c r="T54" s="16" t="str">
        <f>Orden!L56</f>
        <v>Boca Juniors</v>
      </c>
      <c r="U54" s="16">
        <f>Orden!M56</f>
        <v>2</v>
      </c>
    </row>
    <row r="55" spans="18:31" s="14" customFormat="1" ht="13.9" customHeight="1" x14ac:dyDescent="0.25">
      <c r="R55" s="15" t="s">
        <v>191</v>
      </c>
      <c r="S55" s="16" t="str">
        <f>Orden!K57</f>
        <v>Jorge Mayo</v>
      </c>
      <c r="T55" s="16" t="str">
        <f>Orden!L57</f>
        <v>Deportivo Fénix</v>
      </c>
      <c r="U55" s="16">
        <f>Orden!M57</f>
        <v>2</v>
      </c>
      <c r="W55" s="15"/>
      <c r="X55" s="16"/>
      <c r="Y55" s="16"/>
      <c r="Z55" s="16"/>
      <c r="AB55" s="15"/>
      <c r="AC55" s="16"/>
      <c r="AD55" s="16"/>
      <c r="AE55" s="16"/>
    </row>
    <row r="56" spans="18:31" s="14" customFormat="1" ht="13.9" customHeight="1" x14ac:dyDescent="0.25">
      <c r="R56" s="15" t="s">
        <v>190</v>
      </c>
      <c r="S56" s="16" t="str">
        <f>Orden!K58</f>
        <v>David Ortega</v>
      </c>
      <c r="T56" s="16" t="str">
        <f>Orden!L58</f>
        <v>La Unión FC</v>
      </c>
      <c r="U56" s="16">
        <f>Orden!M58</f>
        <v>2</v>
      </c>
      <c r="W56" s="15"/>
      <c r="X56" s="16"/>
      <c r="Y56" s="16"/>
      <c r="Z56" s="16"/>
      <c r="AB56" s="15"/>
      <c r="AC56" s="16"/>
      <c r="AD56" s="16"/>
      <c r="AE56" s="16"/>
    </row>
    <row r="57" spans="18:31" s="14" customFormat="1" ht="13.9" customHeight="1" x14ac:dyDescent="0.25">
      <c r="R57" s="15" t="s">
        <v>189</v>
      </c>
      <c r="S57" s="16" t="str">
        <f>Orden!K59</f>
        <v>Luis Fernando Cabrera</v>
      </c>
      <c r="T57" s="16" t="str">
        <f>Orden!L59</f>
        <v>La Unión FC</v>
      </c>
      <c r="U57" s="16">
        <f>Orden!M59</f>
        <v>2</v>
      </c>
      <c r="W57" s="15"/>
      <c r="X57" s="16"/>
      <c r="Y57" s="16"/>
      <c r="Z57" s="16"/>
      <c r="AB57" s="15"/>
      <c r="AC57" s="16"/>
      <c r="AD57" s="16"/>
      <c r="AE57" s="16"/>
    </row>
    <row r="58" spans="18:31" s="14" customFormat="1" ht="13.9" customHeight="1" x14ac:dyDescent="0.25">
      <c r="R58" s="15" t="s">
        <v>188</v>
      </c>
      <c r="S58" s="16" t="str">
        <f>Orden!K60</f>
        <v>Luis Fernando Hernández</v>
      </c>
      <c r="T58" s="16" t="str">
        <f>Orden!L60</f>
        <v>La Unión FC</v>
      </c>
      <c r="U58" s="16">
        <f>Orden!M60</f>
        <v>2</v>
      </c>
      <c r="W58" s="15"/>
      <c r="X58" s="16"/>
      <c r="Y58" s="16"/>
      <c r="Z58" s="16"/>
      <c r="AB58" s="15"/>
      <c r="AC58" s="16"/>
      <c r="AD58" s="16"/>
      <c r="AE58" s="16"/>
    </row>
    <row r="59" spans="18:31" s="14" customFormat="1" ht="13.9" customHeight="1" x14ac:dyDescent="0.25">
      <c r="R59" s="15" t="s">
        <v>187</v>
      </c>
      <c r="S59" s="16" t="str">
        <f>Orden!K62</f>
        <v>Cristián Alejandro Chavarría</v>
      </c>
      <c r="T59" s="16" t="str">
        <f>Orden!L62</f>
        <v>Los Aliados</v>
      </c>
      <c r="U59" s="16">
        <f>Orden!M62</f>
        <v>2</v>
      </c>
      <c r="W59" s="15"/>
      <c r="X59" s="16"/>
      <c r="Y59" s="16"/>
      <c r="Z59" s="16"/>
      <c r="AB59" s="15"/>
      <c r="AC59" s="16"/>
      <c r="AD59" s="16"/>
      <c r="AE59" s="16"/>
    </row>
    <row r="60" spans="18:31" s="14" customFormat="1" ht="13.9" customHeight="1" x14ac:dyDescent="0.25">
      <c r="R60" s="15" t="s">
        <v>186</v>
      </c>
      <c r="S60" s="16" t="str">
        <f>Orden!K63</f>
        <v>Sergio Reales Zambrano</v>
      </c>
      <c r="T60" s="16" t="str">
        <f>Orden!L63</f>
        <v>Los Aliados</v>
      </c>
      <c r="U60" s="16">
        <f>Orden!M63</f>
        <v>2</v>
      </c>
      <c r="W60" s="15"/>
      <c r="X60" s="16"/>
      <c r="Y60" s="16"/>
      <c r="Z60" s="16"/>
      <c r="AB60" s="15"/>
      <c r="AC60" s="16"/>
      <c r="AD60" s="16"/>
      <c r="AE60" s="16"/>
    </row>
    <row r="61" spans="18:31" s="14" customFormat="1" ht="13.9" customHeight="1" x14ac:dyDescent="0.25">
      <c r="R61" s="15" t="s">
        <v>185</v>
      </c>
      <c r="S61" s="16" t="str">
        <f>Orden!K64</f>
        <v>Marcos Muñoz</v>
      </c>
      <c r="T61" s="16" t="str">
        <f>Orden!L64</f>
        <v>Los Aliados</v>
      </c>
      <c r="U61" s="16">
        <f>Orden!M64</f>
        <v>2</v>
      </c>
      <c r="W61" s="15"/>
      <c r="X61" s="16"/>
      <c r="Y61" s="16"/>
      <c r="Z61" s="16"/>
      <c r="AB61" s="15"/>
      <c r="AC61" s="16"/>
      <c r="AD61" s="16"/>
      <c r="AE61" s="16"/>
    </row>
    <row r="62" spans="18:31" s="14" customFormat="1" ht="13.9" customHeight="1" x14ac:dyDescent="0.25">
      <c r="R62" s="15" t="s">
        <v>184</v>
      </c>
      <c r="S62" s="16" t="str">
        <f>Orden!K65</f>
        <v xml:space="preserve">Wilson Arango </v>
      </c>
      <c r="T62" s="16" t="str">
        <f>Orden!L65</f>
        <v>Los Aliados</v>
      </c>
      <c r="U62" s="16">
        <f>Orden!M65</f>
        <v>2</v>
      </c>
      <c r="W62" s="15"/>
      <c r="X62" s="16"/>
      <c r="Y62" s="16"/>
      <c r="Z62" s="16"/>
      <c r="AB62" s="15"/>
      <c r="AC62" s="16"/>
      <c r="AD62" s="16"/>
      <c r="AE62" s="16"/>
    </row>
    <row r="63" spans="18:31" s="14" customFormat="1" ht="13.9" customHeight="1" x14ac:dyDescent="0.25">
      <c r="R63" s="15" t="s">
        <v>183</v>
      </c>
      <c r="S63" s="16" t="str">
        <f>Orden!K66</f>
        <v>Jhonatan Santiago</v>
      </c>
      <c r="T63" s="16" t="str">
        <f>Orden!L66</f>
        <v>Atalanta</v>
      </c>
      <c r="U63" s="16">
        <f>Orden!M66</f>
        <v>2</v>
      </c>
      <c r="W63" s="15"/>
      <c r="X63" s="16"/>
      <c r="Y63" s="16"/>
      <c r="Z63" s="16"/>
      <c r="AB63" s="15"/>
      <c r="AC63" s="16"/>
      <c r="AD63" s="16"/>
      <c r="AE63" s="16"/>
    </row>
    <row r="64" spans="18:31" s="14" customFormat="1" ht="13.9" customHeight="1" x14ac:dyDescent="0.25">
      <c r="R64" s="15" t="s">
        <v>182</v>
      </c>
      <c r="S64" s="16" t="str">
        <f>Orden!K67</f>
        <v xml:space="preserve">Gustavo González </v>
      </c>
      <c r="T64" s="16" t="str">
        <f>Orden!L67</f>
        <v>Atalanta</v>
      </c>
      <c r="U64" s="16">
        <f>Orden!M67</f>
        <v>2</v>
      </c>
      <c r="W64" s="15"/>
      <c r="X64" s="16"/>
      <c r="Y64" s="16"/>
      <c r="Z64" s="16"/>
      <c r="AB64" s="15"/>
      <c r="AC64" s="16"/>
      <c r="AD64" s="16"/>
      <c r="AE64" s="16"/>
    </row>
    <row r="65" spans="18:31" s="14" customFormat="1" ht="13.9" customHeight="1" x14ac:dyDescent="0.25">
      <c r="R65" s="15" t="s">
        <v>181</v>
      </c>
      <c r="S65" s="16" t="str">
        <f>Orden!K68</f>
        <v>Juan Ortíz</v>
      </c>
      <c r="T65" s="16" t="str">
        <f>Orden!L68</f>
        <v>Atalanta</v>
      </c>
      <c r="U65" s="16">
        <f>Orden!M68</f>
        <v>2</v>
      </c>
      <c r="W65" s="15"/>
      <c r="X65" s="16"/>
      <c r="Y65" s="16"/>
      <c r="Z65" s="16"/>
      <c r="AB65" s="15"/>
      <c r="AC65" s="16"/>
      <c r="AD65" s="16"/>
      <c r="AE65" s="16"/>
    </row>
    <row r="66" spans="18:31" s="14" customFormat="1" ht="13.9" customHeight="1" x14ac:dyDescent="0.25">
      <c r="R66" s="15" t="s">
        <v>180</v>
      </c>
      <c r="S66" s="16" t="str">
        <f>Orden!K69</f>
        <v>Nilson Beltran</v>
      </c>
      <c r="T66" s="16" t="str">
        <f>Orden!L69</f>
        <v>Atalanta</v>
      </c>
      <c r="U66" s="16">
        <f>Orden!M69</f>
        <v>2</v>
      </c>
      <c r="W66" s="15"/>
      <c r="X66" s="16"/>
      <c r="Y66" s="16"/>
      <c r="Z66" s="16"/>
      <c r="AB66" s="15"/>
      <c r="AC66" s="16"/>
      <c r="AD66" s="16"/>
      <c r="AE66" s="16"/>
    </row>
    <row r="67" spans="18:31" s="14" customFormat="1" ht="13.9" customHeight="1" x14ac:dyDescent="0.25">
      <c r="R67" s="15" t="s">
        <v>179</v>
      </c>
      <c r="S67" s="16" t="str">
        <f>Orden!K70</f>
        <v>Osneider Benítez Feria</v>
      </c>
      <c r="T67" s="16" t="str">
        <f>Orden!L70</f>
        <v>CD El Corozo</v>
      </c>
      <c r="U67" s="16">
        <f>Orden!M70</f>
        <v>2</v>
      </c>
      <c r="W67" s="15"/>
      <c r="X67" s="16"/>
      <c r="Y67" s="16"/>
      <c r="Z67" s="16"/>
      <c r="AB67" s="15"/>
      <c r="AC67" s="16"/>
      <c r="AD67" s="16"/>
      <c r="AE67" s="16"/>
    </row>
    <row r="68" spans="18:31" s="14" customFormat="1" ht="13.9" customHeight="1" x14ac:dyDescent="0.25">
      <c r="R68" s="15" t="s">
        <v>178</v>
      </c>
      <c r="S68" s="16" t="str">
        <f>Orden!K71</f>
        <v>Carlos Suárez Martínez</v>
      </c>
      <c r="T68" s="16" t="str">
        <f>Orden!L71</f>
        <v>CD El Corozo</v>
      </c>
      <c r="U68" s="16">
        <f>Orden!M71</f>
        <v>2</v>
      </c>
      <c r="W68" s="15"/>
      <c r="X68" s="16"/>
      <c r="Y68" s="16"/>
      <c r="Z68" s="16"/>
      <c r="AB68" s="15"/>
      <c r="AC68" s="16"/>
      <c r="AD68" s="16"/>
      <c r="AE68" s="16"/>
    </row>
    <row r="69" spans="18:31" s="14" customFormat="1" ht="13.9" customHeight="1" x14ac:dyDescent="0.25">
      <c r="R69" s="15" t="s">
        <v>177</v>
      </c>
      <c r="S69" s="16" t="str">
        <f>Orden!K72</f>
        <v>Elkín Osorio</v>
      </c>
      <c r="T69" s="16" t="str">
        <f>Orden!L72</f>
        <v>CD El Corozo</v>
      </c>
      <c r="U69" s="16">
        <f>Orden!M72</f>
        <v>2</v>
      </c>
      <c r="W69" s="15"/>
      <c r="X69" s="16"/>
      <c r="Y69" s="16"/>
      <c r="Z69" s="16"/>
      <c r="AB69" s="15"/>
      <c r="AC69" s="16"/>
      <c r="AD69" s="16"/>
      <c r="AE69" s="16"/>
    </row>
    <row r="70" spans="18:31" s="14" customFormat="1" ht="13.9" customHeight="1" x14ac:dyDescent="0.25">
      <c r="R70" s="15" t="s">
        <v>176</v>
      </c>
      <c r="S70" s="16" t="str">
        <f>Orden!K73</f>
        <v>Aldrin Calderín Ruiz</v>
      </c>
      <c r="T70" s="16" t="str">
        <f>Orden!L73</f>
        <v>CD El Corozo</v>
      </c>
      <c r="U70" s="16">
        <f>Orden!M73</f>
        <v>2</v>
      </c>
      <c r="W70" s="15"/>
      <c r="X70" s="16"/>
      <c r="Y70" s="16"/>
      <c r="Z70" s="16"/>
      <c r="AB70" s="15"/>
      <c r="AC70" s="16"/>
      <c r="AD70" s="16"/>
      <c r="AE70" s="16"/>
    </row>
    <row r="71" spans="18:31" s="14" customFormat="1" ht="13.9" customHeight="1" x14ac:dyDescent="0.25">
      <c r="R71" s="15" t="s">
        <v>175</v>
      </c>
      <c r="S71" s="16" t="str">
        <f>Orden!K74</f>
        <v>Juan Felipe Rincón</v>
      </c>
      <c r="T71" s="16" t="str">
        <f>Orden!L74</f>
        <v>Los Amigos</v>
      </c>
      <c r="U71" s="16">
        <f>Orden!M74</f>
        <v>1</v>
      </c>
      <c r="W71" s="15"/>
      <c r="X71" s="16"/>
      <c r="Y71" s="16"/>
      <c r="Z71" s="16"/>
      <c r="AB71" s="15"/>
      <c r="AC71" s="16"/>
      <c r="AD71" s="16"/>
      <c r="AE71" s="16"/>
    </row>
    <row r="72" spans="18:31" s="14" customFormat="1" ht="13.9" customHeight="1" x14ac:dyDescent="0.25">
      <c r="R72" s="15" t="s">
        <v>174</v>
      </c>
      <c r="S72" s="16" t="str">
        <f>Orden!K75</f>
        <v>Sebastián Sepulveda</v>
      </c>
      <c r="T72" s="16" t="str">
        <f>Orden!L75</f>
        <v>Los Amigos</v>
      </c>
      <c r="U72" s="16">
        <f>Orden!M75</f>
        <v>1</v>
      </c>
      <c r="W72" s="15"/>
      <c r="X72" s="16"/>
      <c r="Y72" s="16"/>
      <c r="Z72" s="16"/>
      <c r="AB72" s="15"/>
      <c r="AC72" s="16"/>
      <c r="AD72" s="16"/>
      <c r="AE72" s="16"/>
    </row>
    <row r="73" spans="18:31" s="14" customFormat="1" ht="13.9" customHeight="1" x14ac:dyDescent="0.25">
      <c r="R73" s="15" t="s">
        <v>173</v>
      </c>
      <c r="S73" s="16" t="str">
        <f>Orden!K77</f>
        <v>John Walter Restrepo</v>
      </c>
      <c r="T73" s="16" t="str">
        <f>Orden!L77</f>
        <v>Los Amigos</v>
      </c>
      <c r="U73" s="16">
        <f>Orden!M77</f>
        <v>1</v>
      </c>
      <c r="W73" s="15"/>
      <c r="X73" s="16"/>
      <c r="Y73" s="16"/>
      <c r="Z73" s="16"/>
      <c r="AB73" s="15"/>
      <c r="AC73" s="16"/>
      <c r="AD73" s="16"/>
      <c r="AE73" s="16"/>
    </row>
    <row r="74" spans="18:31" s="14" customFormat="1" ht="13.9" customHeight="1" x14ac:dyDescent="0.25">
      <c r="R74" s="15" t="s">
        <v>172</v>
      </c>
      <c r="S74" s="16" t="str">
        <f>Orden!K78</f>
        <v>Jaidiver Montoya</v>
      </c>
      <c r="T74" s="16" t="str">
        <f>Orden!L78</f>
        <v>La Nueva Era</v>
      </c>
      <c r="U74" s="16">
        <f>Orden!M78</f>
        <v>1</v>
      </c>
      <c r="W74" s="15"/>
      <c r="X74" s="16"/>
      <c r="Y74" s="16"/>
      <c r="Z74" s="16"/>
      <c r="AB74" s="15"/>
      <c r="AC74" s="16"/>
      <c r="AD74" s="16"/>
      <c r="AE74" s="16"/>
    </row>
    <row r="75" spans="18:31" s="14" customFormat="1" ht="13.9" customHeight="1" x14ac:dyDescent="0.25">
      <c r="R75" s="15" t="s">
        <v>171</v>
      </c>
      <c r="S75" s="16" t="str">
        <f>Orden!K79</f>
        <v>Juan José Jaramillo</v>
      </c>
      <c r="T75" s="16" t="str">
        <f>Orden!L79</f>
        <v>La Nueva Era</v>
      </c>
      <c r="U75" s="16">
        <f>Orden!M79</f>
        <v>1</v>
      </c>
      <c r="W75" s="15"/>
      <c r="X75" s="16"/>
      <c r="Y75" s="16"/>
      <c r="Z75" s="16"/>
      <c r="AB75" s="15"/>
      <c r="AC75" s="16"/>
      <c r="AD75" s="16"/>
      <c r="AE75" s="16"/>
    </row>
    <row r="76" spans="18:31" s="14" customFormat="1" ht="13.9" customHeight="1" x14ac:dyDescent="0.25">
      <c r="R76" s="15" t="s">
        <v>170</v>
      </c>
      <c r="S76" s="16" t="str">
        <f>Orden!K80</f>
        <v>Juan José Gaviría</v>
      </c>
      <c r="T76" s="16" t="str">
        <f>Orden!L80</f>
        <v>La Nueva Era</v>
      </c>
      <c r="U76" s="16">
        <f>Orden!M80</f>
        <v>1</v>
      </c>
      <c r="W76" s="15"/>
      <c r="X76" s="16"/>
      <c r="Y76" s="16"/>
      <c r="Z76" s="16"/>
      <c r="AB76" s="15"/>
      <c r="AC76" s="16"/>
      <c r="AD76" s="16"/>
      <c r="AE76" s="16"/>
    </row>
    <row r="77" spans="18:31" s="14" customFormat="1" ht="13.9" customHeight="1" x14ac:dyDescent="0.25">
      <c r="R77" s="15" t="s">
        <v>169</v>
      </c>
      <c r="S77" s="16" t="str">
        <f>Orden!K81</f>
        <v>José Santoya</v>
      </c>
      <c r="T77" s="16" t="str">
        <f>Orden!L81</f>
        <v>La Nueva Era</v>
      </c>
      <c r="U77" s="16">
        <f>Orden!M81</f>
        <v>1</v>
      </c>
      <c r="W77" s="15"/>
      <c r="X77" s="16"/>
      <c r="Y77" s="16"/>
      <c r="Z77" s="16"/>
      <c r="AB77" s="15"/>
      <c r="AC77" s="16"/>
      <c r="AD77" s="16"/>
      <c r="AE77" s="16"/>
    </row>
    <row r="78" spans="18:31" s="14" customFormat="1" ht="13.9" customHeight="1" x14ac:dyDescent="0.25">
      <c r="R78" s="15" t="s">
        <v>168</v>
      </c>
      <c r="S78" s="16" t="str">
        <f>Orden!K82</f>
        <v>Jorge Cassiani</v>
      </c>
      <c r="T78" s="16" t="str">
        <f>Orden!L82</f>
        <v>La Nueva Era</v>
      </c>
      <c r="U78" s="16">
        <f>Orden!M82</f>
        <v>1</v>
      </c>
      <c r="W78" s="15"/>
      <c r="X78" s="16"/>
      <c r="Y78" s="16"/>
      <c r="Z78" s="16"/>
      <c r="AB78" s="15"/>
      <c r="AC78" s="16"/>
      <c r="AD78" s="16"/>
      <c r="AE78" s="16"/>
    </row>
    <row r="79" spans="18:31" s="14" customFormat="1" ht="13.9" customHeight="1" x14ac:dyDescent="0.25">
      <c r="R79" s="15" t="s">
        <v>167</v>
      </c>
      <c r="S79" s="16" t="str">
        <f>Orden!K83</f>
        <v xml:space="preserve">Yeremi Sebastián Muñoz </v>
      </c>
      <c r="T79" s="16" t="str">
        <f>Orden!L83</f>
        <v>La Amistad</v>
      </c>
      <c r="U79" s="16">
        <f>Orden!M83</f>
        <v>1</v>
      </c>
      <c r="W79" s="15"/>
      <c r="X79" s="16"/>
      <c r="Y79" s="16"/>
      <c r="Z79" s="16"/>
      <c r="AB79" s="15"/>
      <c r="AC79" s="16"/>
      <c r="AD79" s="16"/>
      <c r="AE79" s="16"/>
    </row>
    <row r="80" spans="18:31" s="14" customFormat="1" ht="13.9" customHeight="1" x14ac:dyDescent="0.25">
      <c r="R80" s="15" t="s">
        <v>166</v>
      </c>
      <c r="S80" s="16" t="str">
        <f>Orden!K84</f>
        <v>Brayan Salazar Gómez</v>
      </c>
      <c r="T80" s="16" t="str">
        <f>Orden!L84</f>
        <v>La Amistad</v>
      </c>
      <c r="U80" s="16">
        <f>Orden!M84</f>
        <v>1</v>
      </c>
      <c r="W80" s="15"/>
      <c r="X80" s="16"/>
      <c r="Y80" s="16"/>
      <c r="Z80" s="16"/>
      <c r="AB80" s="15"/>
      <c r="AC80" s="16"/>
      <c r="AD80" s="16"/>
      <c r="AE80" s="16"/>
    </row>
    <row r="81" spans="18:31" s="14" customFormat="1" ht="13.9" customHeight="1" x14ac:dyDescent="0.25">
      <c r="R81" s="15" t="s">
        <v>165</v>
      </c>
      <c r="S81" s="16" t="str">
        <f>Orden!K85</f>
        <v>Stiven Londoño</v>
      </c>
      <c r="T81" s="16" t="str">
        <f>Orden!L85</f>
        <v>La Amistad</v>
      </c>
      <c r="U81" s="16">
        <f>Orden!M85</f>
        <v>1</v>
      </c>
      <c r="W81" s="15"/>
      <c r="X81" s="16"/>
      <c r="Y81" s="16"/>
      <c r="Z81" s="16"/>
      <c r="AB81" s="15"/>
      <c r="AC81" s="16"/>
      <c r="AD81" s="16"/>
      <c r="AE81" s="16"/>
    </row>
    <row r="82" spans="18:31" s="14" customFormat="1" ht="13.9" customHeight="1" x14ac:dyDescent="0.25">
      <c r="R82" s="15" t="s">
        <v>164</v>
      </c>
      <c r="S82" s="16" t="str">
        <f>Orden!K86</f>
        <v>Santiago Cardona</v>
      </c>
      <c r="T82" s="16" t="str">
        <f>Orden!L86</f>
        <v>Los Amigos</v>
      </c>
      <c r="U82" s="16">
        <f>Orden!M86</f>
        <v>2</v>
      </c>
      <c r="W82" s="15"/>
      <c r="X82" s="16"/>
      <c r="Y82" s="16"/>
      <c r="Z82" s="16"/>
      <c r="AB82" s="15"/>
      <c r="AC82" s="16"/>
      <c r="AD82" s="16"/>
      <c r="AE82" s="16"/>
    </row>
    <row r="83" spans="18:31" s="14" customFormat="1" ht="13.9" customHeight="1" x14ac:dyDescent="0.25">
      <c r="R83" s="15" t="s">
        <v>163</v>
      </c>
      <c r="S83" s="16" t="str">
        <f>Orden!K87</f>
        <v xml:space="preserve">Samuel Isaza Hincapié </v>
      </c>
      <c r="T83" s="16" t="str">
        <f>Orden!L87</f>
        <v>La Amistad</v>
      </c>
      <c r="U83" s="16">
        <f>Orden!M87</f>
        <v>1</v>
      </c>
      <c r="W83" s="15"/>
      <c r="X83" s="16"/>
      <c r="Y83" s="16"/>
      <c r="Z83" s="16"/>
      <c r="AB83" s="15"/>
      <c r="AC83" s="16"/>
      <c r="AD83" s="16"/>
      <c r="AE83" s="16"/>
    </row>
    <row r="84" spans="18:31" s="14" customFormat="1" ht="13.9" customHeight="1" x14ac:dyDescent="0.25">
      <c r="R84" s="15" t="s">
        <v>162</v>
      </c>
      <c r="S84" s="16" t="str">
        <f>Orden!K88</f>
        <v>Santiago Piedrahíta</v>
      </c>
      <c r="T84" s="16" t="str">
        <f>Orden!L88</f>
        <v>Konami</v>
      </c>
      <c r="U84" s="16">
        <f>Orden!M88</f>
        <v>1</v>
      </c>
      <c r="W84" s="15"/>
      <c r="X84" s="16"/>
      <c r="Y84" s="16"/>
      <c r="Z84" s="16"/>
      <c r="AB84" s="15"/>
      <c r="AC84" s="16"/>
      <c r="AD84" s="16"/>
      <c r="AE84" s="16"/>
    </row>
    <row r="85" spans="18:31" s="14" customFormat="1" ht="13.9" customHeight="1" x14ac:dyDescent="0.25">
      <c r="R85" s="15" t="s">
        <v>161</v>
      </c>
      <c r="S85" s="16" t="str">
        <f>Orden!K89</f>
        <v>Jorge Briceño</v>
      </c>
      <c r="T85" s="16" t="str">
        <f>Orden!L89</f>
        <v>Konami</v>
      </c>
      <c r="U85" s="16">
        <f>Orden!M89</f>
        <v>1</v>
      </c>
      <c r="W85" s="15"/>
      <c r="X85" s="16"/>
      <c r="Y85" s="16"/>
      <c r="Z85" s="16"/>
      <c r="AB85" s="15"/>
      <c r="AC85" s="16"/>
      <c r="AD85" s="16"/>
      <c r="AE85" s="16"/>
    </row>
    <row r="86" spans="18:31" s="14" customFormat="1" ht="13.9" customHeight="1" x14ac:dyDescent="0.25">
      <c r="R86" s="15" t="s">
        <v>160</v>
      </c>
      <c r="S86" s="16" t="str">
        <f>Orden!K90</f>
        <v xml:space="preserve">Miguel Ladino </v>
      </c>
      <c r="T86" s="16" t="str">
        <f>Orden!L90</f>
        <v>Konami</v>
      </c>
      <c r="U86" s="16">
        <f>Orden!M90</f>
        <v>1</v>
      </c>
      <c r="W86" s="15"/>
      <c r="X86" s="16"/>
      <c r="Y86" s="16"/>
      <c r="Z86" s="16"/>
      <c r="AB86" s="15"/>
      <c r="AC86" s="16"/>
      <c r="AD86" s="16"/>
      <c r="AE86" s="16"/>
    </row>
    <row r="87" spans="18:31" s="14" customFormat="1" ht="13.9" customHeight="1" x14ac:dyDescent="0.25">
      <c r="R87" s="15" t="s">
        <v>159</v>
      </c>
      <c r="S87" s="16" t="str">
        <f>Orden!K92</f>
        <v xml:space="preserve">Francisco Morales </v>
      </c>
      <c r="T87" s="16" t="str">
        <f>Orden!L92</f>
        <v>Konami</v>
      </c>
      <c r="U87" s="16">
        <f>Orden!M92</f>
        <v>1</v>
      </c>
      <c r="W87" s="15"/>
      <c r="X87" s="16"/>
      <c r="Y87" s="16"/>
      <c r="Z87" s="16"/>
      <c r="AB87" s="15"/>
      <c r="AC87" s="16"/>
      <c r="AD87" s="16"/>
      <c r="AE87" s="16"/>
    </row>
    <row r="88" spans="18:31" s="14" customFormat="1" ht="13.9" customHeight="1" x14ac:dyDescent="0.25">
      <c r="R88" s="15" t="s">
        <v>158</v>
      </c>
      <c r="S88" s="16" t="str">
        <f>Orden!K93</f>
        <v>Alexander Silva</v>
      </c>
      <c r="T88" s="16" t="str">
        <f>Orden!L93</f>
        <v>Villanueva</v>
      </c>
      <c r="U88" s="16">
        <f>Orden!M93</f>
        <v>1</v>
      </c>
      <c r="W88" s="15"/>
      <c r="X88" s="16"/>
      <c r="Y88" s="16"/>
      <c r="Z88" s="16"/>
      <c r="AB88" s="15"/>
      <c r="AC88" s="16"/>
      <c r="AD88" s="16"/>
      <c r="AE88" s="16"/>
    </row>
    <row r="89" spans="18:31" s="14" customFormat="1" ht="13.9" customHeight="1" x14ac:dyDescent="0.25">
      <c r="R89" s="15" t="s">
        <v>157</v>
      </c>
      <c r="S89" s="16" t="str">
        <f>Orden!K94</f>
        <v>Denilson Cadena</v>
      </c>
      <c r="T89" s="16" t="str">
        <f>Orden!L94</f>
        <v>Villanueva</v>
      </c>
      <c r="U89" s="16">
        <f>Orden!M94</f>
        <v>1</v>
      </c>
      <c r="W89" s="15"/>
      <c r="X89" s="16"/>
      <c r="Y89" s="16"/>
      <c r="Z89" s="16"/>
      <c r="AB89" s="15"/>
      <c r="AC89" s="16"/>
      <c r="AD89" s="16"/>
      <c r="AE89" s="16"/>
    </row>
    <row r="90" spans="18:31" s="14" customFormat="1" ht="13.9" customHeight="1" x14ac:dyDescent="0.25">
      <c r="R90" s="15" t="s">
        <v>156</v>
      </c>
      <c r="S90" s="16" t="str">
        <f>Orden!K95</f>
        <v>Ismael Martíz</v>
      </c>
      <c r="T90" s="16" t="str">
        <f>Orden!L95</f>
        <v>Villanueva</v>
      </c>
      <c r="U90" s="16">
        <f>Orden!M95</f>
        <v>1</v>
      </c>
      <c r="W90" s="15"/>
      <c r="X90" s="16"/>
      <c r="Y90" s="16"/>
      <c r="Z90" s="16"/>
      <c r="AB90" s="15"/>
      <c r="AC90" s="16"/>
      <c r="AD90" s="16"/>
      <c r="AE90" s="16"/>
    </row>
    <row r="91" spans="18:31" s="14" customFormat="1" ht="13.9" customHeight="1" x14ac:dyDescent="0.25">
      <c r="R91" s="15" t="s">
        <v>155</v>
      </c>
      <c r="S91" s="16" t="str">
        <f>Orden!K96</f>
        <v>Derwin Villa</v>
      </c>
      <c r="T91" s="16" t="str">
        <f>Orden!L96</f>
        <v>Villanueva</v>
      </c>
      <c r="U91" s="16">
        <f>Orden!M96</f>
        <v>1</v>
      </c>
      <c r="W91" s="15"/>
      <c r="X91" s="16"/>
      <c r="Y91" s="16"/>
      <c r="Z91" s="16"/>
      <c r="AB91" s="15"/>
      <c r="AC91" s="16"/>
      <c r="AD91" s="16"/>
      <c r="AE91" s="16"/>
    </row>
    <row r="92" spans="18:31" s="14" customFormat="1" ht="13.9" customHeight="1" x14ac:dyDescent="0.25">
      <c r="R92" s="15" t="s">
        <v>154</v>
      </c>
      <c r="S92" s="16" t="str">
        <f>Orden!K97</f>
        <v>Jaime Correa</v>
      </c>
      <c r="T92" s="16" t="str">
        <f>Orden!L97</f>
        <v>Villanueva</v>
      </c>
      <c r="U92" s="16">
        <f>Orden!M97</f>
        <v>1</v>
      </c>
      <c r="W92" s="15"/>
      <c r="X92" s="16"/>
      <c r="Y92" s="16"/>
      <c r="Z92" s="16"/>
      <c r="AB92" s="15"/>
      <c r="AC92" s="16"/>
      <c r="AD92" s="16"/>
      <c r="AE92" s="16"/>
    </row>
    <row r="93" spans="18:31" s="14" customFormat="1" ht="13.9" customHeight="1" x14ac:dyDescent="0.25">
      <c r="R93" s="15" t="s">
        <v>153</v>
      </c>
      <c r="S93" s="16" t="str">
        <f>Orden!K98</f>
        <v>Junior Manuel Benítez</v>
      </c>
      <c r="T93" s="16" t="str">
        <f>Orden!L98</f>
        <v>Villanueva</v>
      </c>
      <c r="U93" s="16">
        <f>Orden!M98</f>
        <v>1</v>
      </c>
      <c r="W93" s="15"/>
      <c r="X93" s="16"/>
      <c r="Y93" s="16"/>
      <c r="Z93" s="16"/>
      <c r="AB93" s="15"/>
      <c r="AC93" s="16"/>
      <c r="AD93" s="16"/>
      <c r="AE93" s="16"/>
    </row>
    <row r="94" spans="18:31" s="14" customFormat="1" ht="13.9" customHeight="1" x14ac:dyDescent="0.25">
      <c r="R94" s="15" t="s">
        <v>152</v>
      </c>
      <c r="S94" s="16" t="str">
        <f>Orden!K99</f>
        <v>Jorge Andrés Castellar</v>
      </c>
      <c r="T94" s="16" t="str">
        <f>Orden!L99</f>
        <v>Villanueva</v>
      </c>
      <c r="U94" s="16">
        <f>Orden!M99</f>
        <v>1</v>
      </c>
      <c r="W94" s="15"/>
      <c r="X94" s="16"/>
      <c r="Y94" s="16"/>
      <c r="Z94" s="16"/>
      <c r="AB94" s="15"/>
      <c r="AC94" s="16"/>
      <c r="AD94" s="16"/>
      <c r="AE94" s="16"/>
    </row>
    <row r="95" spans="18:31" s="14" customFormat="1" ht="13.9" customHeight="1" x14ac:dyDescent="0.25">
      <c r="R95" s="15" t="s">
        <v>151</v>
      </c>
      <c r="S95" s="16" t="str">
        <f>Orden!K100</f>
        <v>Julio Medina</v>
      </c>
      <c r="T95" s="16" t="str">
        <f>Orden!L100</f>
        <v>Villanueva</v>
      </c>
      <c r="U95" s="16">
        <f>Orden!M100</f>
        <v>1</v>
      </c>
      <c r="W95" s="15"/>
      <c r="X95" s="16"/>
      <c r="Y95" s="16"/>
      <c r="Z95" s="16"/>
      <c r="AB95" s="15"/>
      <c r="AC95" s="16"/>
      <c r="AD95" s="16"/>
      <c r="AE95" s="16"/>
    </row>
    <row r="96" spans="18:31" s="14" customFormat="1" ht="13.9" customHeight="1" x14ac:dyDescent="0.25">
      <c r="R96" s="15" t="s">
        <v>150</v>
      </c>
      <c r="S96" s="16" t="str">
        <f>Orden!K101</f>
        <v>Juan Vallejo</v>
      </c>
      <c r="T96" s="16" t="str">
        <f>Orden!L101</f>
        <v>Ron Star</v>
      </c>
      <c r="U96" s="16">
        <f>Orden!M101</f>
        <v>1</v>
      </c>
      <c r="W96" s="15"/>
      <c r="X96" s="16"/>
      <c r="Y96" s="16"/>
      <c r="Z96" s="16"/>
      <c r="AB96" s="15"/>
      <c r="AC96" s="16"/>
      <c r="AD96" s="16"/>
      <c r="AE96" s="16"/>
    </row>
    <row r="97" spans="1:31" s="14" customFormat="1" ht="13.9" customHeight="1" x14ac:dyDescent="0.25">
      <c r="R97" s="15" t="s">
        <v>149</v>
      </c>
      <c r="S97" s="16" t="str">
        <f>Orden!K102</f>
        <v>Camilo Zapata</v>
      </c>
      <c r="T97" s="16" t="str">
        <f>Orden!L102</f>
        <v>Ron Star</v>
      </c>
      <c r="U97" s="16">
        <f>Orden!M102</f>
        <v>1</v>
      </c>
      <c r="W97" s="15"/>
      <c r="X97" s="16"/>
      <c r="Y97" s="16"/>
      <c r="Z97" s="16"/>
      <c r="AB97" s="15"/>
      <c r="AC97" s="16"/>
      <c r="AD97" s="16"/>
      <c r="AE97" s="16"/>
    </row>
    <row r="98" spans="1:31" s="14" customFormat="1" ht="13.9" customHeight="1" x14ac:dyDescent="0.25">
      <c r="R98" s="15" t="s">
        <v>148</v>
      </c>
      <c r="S98" s="16" t="str">
        <f>Orden!K103</f>
        <v>Juan David García</v>
      </c>
      <c r="T98" s="16" t="str">
        <f>Orden!L103</f>
        <v>Amenadim</v>
      </c>
      <c r="U98" s="16">
        <f>Orden!M103</f>
        <v>1</v>
      </c>
      <c r="W98" s="15"/>
      <c r="X98" s="16"/>
      <c r="Y98" s="16"/>
      <c r="Z98" s="16"/>
      <c r="AB98" s="15"/>
      <c r="AC98" s="16"/>
      <c r="AD98" s="16"/>
      <c r="AE98" s="16"/>
    </row>
    <row r="99" spans="1:31" s="14" customFormat="1" ht="13.9" customHeight="1" x14ac:dyDescent="0.25">
      <c r="R99" s="15" t="s">
        <v>147</v>
      </c>
      <c r="S99" s="16" t="str">
        <f>Orden!K104</f>
        <v>Donnis Garrido</v>
      </c>
      <c r="T99" s="16" t="str">
        <f>Orden!L104</f>
        <v>Amenadim</v>
      </c>
      <c r="U99" s="16">
        <f>Orden!M104</f>
        <v>1</v>
      </c>
      <c r="W99" s="15"/>
      <c r="X99" s="16"/>
      <c r="Y99" s="16"/>
      <c r="Z99" s="16"/>
      <c r="AB99" s="15"/>
      <c r="AC99" s="16"/>
      <c r="AD99" s="16"/>
      <c r="AE99" s="16"/>
    </row>
    <row r="100" spans="1:31" s="14" customFormat="1" ht="13.9" customHeight="1" x14ac:dyDescent="0.25">
      <c r="R100" s="15" t="s">
        <v>146</v>
      </c>
      <c r="S100" s="16" t="str">
        <f>Orden!K105</f>
        <v>Franklin Cuenú</v>
      </c>
      <c r="T100" s="16" t="str">
        <f>Orden!L105</f>
        <v>Amenadim</v>
      </c>
      <c r="U100" s="16">
        <f>Orden!M105</f>
        <v>1</v>
      </c>
      <c r="W100" s="15"/>
      <c r="X100" s="16"/>
      <c r="Y100" s="16"/>
      <c r="Z100" s="16"/>
      <c r="AB100" s="15"/>
      <c r="AC100" s="16"/>
      <c r="AD100" s="16"/>
      <c r="AE100" s="16"/>
    </row>
    <row r="101" spans="1:31" s="14" customFormat="1" ht="13.9" customHeight="1" x14ac:dyDescent="0.25">
      <c r="R101" s="15" t="s">
        <v>145</v>
      </c>
      <c r="S101" s="16" t="str">
        <f>Orden!K107</f>
        <v>Edisón Gavíria</v>
      </c>
      <c r="T101" s="16" t="str">
        <f>Orden!L107</f>
        <v>Hojas Anchas</v>
      </c>
      <c r="U101" s="16">
        <f>Orden!M107</f>
        <v>1</v>
      </c>
      <c r="W101" s="15"/>
      <c r="X101" s="16"/>
      <c r="Y101" s="16"/>
      <c r="Z101" s="16"/>
      <c r="AB101" s="15"/>
      <c r="AC101" s="16"/>
      <c r="AD101" s="16"/>
      <c r="AE101" s="16"/>
    </row>
    <row r="102" spans="1:31" s="14" customFormat="1" ht="13.9" customHeight="1" x14ac:dyDescent="0.25">
      <c r="R102" s="15" t="s">
        <v>144</v>
      </c>
      <c r="S102" s="16" t="str">
        <f>Orden!K108</f>
        <v>Daniel Gil</v>
      </c>
      <c r="T102" s="16" t="str">
        <f>Orden!L108</f>
        <v>Hojas Anchas</v>
      </c>
      <c r="U102" s="16">
        <f>Orden!M108</f>
        <v>1</v>
      </c>
      <c r="W102" s="15"/>
      <c r="X102" s="16"/>
      <c r="Y102" s="16"/>
      <c r="Z102" s="16"/>
      <c r="AB102" s="15"/>
      <c r="AC102" s="16"/>
      <c r="AD102" s="16"/>
      <c r="AE102" s="16"/>
    </row>
    <row r="103" spans="1:31" s="14" customFormat="1" ht="13.9" customHeight="1" x14ac:dyDescent="0.25">
      <c r="A103"/>
      <c r="B103"/>
      <c r="C103"/>
      <c r="D103"/>
      <c r="E103"/>
      <c r="F103"/>
      <c r="G103"/>
      <c r="H103"/>
      <c r="I103"/>
      <c r="J103"/>
      <c r="W103" s="15"/>
      <c r="X103" s="16"/>
      <c r="Y103" s="16"/>
      <c r="Z103" s="16"/>
      <c r="AB103" s="15"/>
      <c r="AC103" s="16"/>
      <c r="AD103" s="16"/>
      <c r="AE103" s="16"/>
    </row>
    <row r="104" spans="1:31" s="14" customFormat="1" ht="13.9" customHeight="1" x14ac:dyDescent="0.25">
      <c r="A104"/>
      <c r="B104"/>
      <c r="C104"/>
      <c r="D104"/>
      <c r="E104"/>
      <c r="F104"/>
      <c r="G104"/>
      <c r="H104"/>
      <c r="I104"/>
      <c r="J104"/>
      <c r="W104" s="15"/>
      <c r="X104" s="16"/>
      <c r="Y104" s="16"/>
      <c r="Z104" s="16"/>
      <c r="AB104" s="15"/>
      <c r="AC104" s="16"/>
      <c r="AD104" s="16"/>
      <c r="AE104" s="16"/>
    </row>
    <row r="105" spans="1:31" ht="18" x14ac:dyDescent="0.25">
      <c r="R105" s="15"/>
      <c r="S105" s="15"/>
      <c r="T105" s="15"/>
      <c r="U105" s="15"/>
      <c r="W105" s="15"/>
      <c r="X105" s="15"/>
      <c r="Y105" s="15"/>
      <c r="Z105" s="15"/>
      <c r="AB105" s="15"/>
      <c r="AC105" s="15"/>
      <c r="AD105" s="15"/>
      <c r="AE105" s="15"/>
    </row>
    <row r="106" spans="1:31" ht="18" x14ac:dyDescent="0.25">
      <c r="R106" s="15"/>
      <c r="S106" s="15"/>
      <c r="T106" s="15"/>
      <c r="U106" s="15"/>
      <c r="W106" s="15"/>
      <c r="X106" s="15"/>
      <c r="Y106" s="15"/>
      <c r="Z106" s="15"/>
      <c r="AB106" s="15"/>
      <c r="AC106" s="15"/>
      <c r="AD106" s="15"/>
      <c r="AE106" s="15"/>
    </row>
    <row r="107" spans="1:31" ht="18" x14ac:dyDescent="0.25">
      <c r="R107" s="15"/>
      <c r="S107" s="15"/>
      <c r="T107" s="15"/>
      <c r="U107" s="15"/>
      <c r="W107" s="15"/>
      <c r="X107" s="15"/>
      <c r="Y107" s="15"/>
      <c r="Z107" s="15"/>
      <c r="AB107" s="15"/>
      <c r="AC107" s="15"/>
      <c r="AD107" s="15"/>
      <c r="AE107" s="15"/>
    </row>
    <row r="108" spans="1:31" ht="18" x14ac:dyDescent="0.25">
      <c r="R108" s="15"/>
      <c r="S108" s="15"/>
      <c r="T108" s="15"/>
      <c r="U108" s="15"/>
      <c r="W108" s="15"/>
      <c r="X108" s="15"/>
      <c r="Y108" s="15"/>
      <c r="Z108" s="15"/>
      <c r="AB108" s="15"/>
      <c r="AC108" s="15"/>
      <c r="AD108" s="15"/>
      <c r="AE108" s="15"/>
    </row>
    <row r="109" spans="1:31" ht="18" x14ac:dyDescent="0.25">
      <c r="R109" s="15"/>
      <c r="S109" s="15"/>
      <c r="T109" s="15"/>
      <c r="U109" s="15"/>
      <c r="W109" s="15"/>
      <c r="X109" s="15"/>
      <c r="Y109" s="15"/>
      <c r="Z109" s="15"/>
      <c r="AB109" s="15"/>
      <c r="AC109" s="15"/>
      <c r="AD109" s="15"/>
      <c r="AE109" s="15"/>
    </row>
    <row r="110" spans="1:31" ht="18" x14ac:dyDescent="0.25">
      <c r="R110" s="15"/>
      <c r="S110" s="15"/>
      <c r="T110" s="15"/>
      <c r="U110" s="15"/>
      <c r="W110" s="15"/>
      <c r="X110" s="15"/>
      <c r="Y110" s="15"/>
      <c r="Z110" s="15"/>
      <c r="AB110" s="15"/>
      <c r="AC110" s="15"/>
      <c r="AD110" s="15"/>
      <c r="AE110" s="15"/>
    </row>
    <row r="111" spans="1:31" ht="18" x14ac:dyDescent="0.25">
      <c r="R111" s="15"/>
      <c r="S111" s="15"/>
      <c r="T111" s="15"/>
      <c r="U111" s="15"/>
      <c r="W111" s="15"/>
      <c r="X111" s="15"/>
      <c r="Y111" s="15"/>
      <c r="Z111" s="15"/>
      <c r="AB111" s="15"/>
      <c r="AC111" s="15"/>
      <c r="AD111" s="15"/>
      <c r="AE111" s="15"/>
    </row>
    <row r="112" spans="1:31" ht="18" x14ac:dyDescent="0.25">
      <c r="R112" s="15"/>
      <c r="S112" s="15"/>
      <c r="T112" s="15"/>
      <c r="U112" s="15"/>
      <c r="W112" s="15"/>
      <c r="X112" s="15"/>
      <c r="Y112" s="15"/>
      <c r="Z112" s="15"/>
      <c r="AB112" s="15"/>
      <c r="AC112" s="15"/>
      <c r="AD112" s="15"/>
      <c r="AE112" s="15"/>
    </row>
    <row r="113" spans="18:31" ht="18" x14ac:dyDescent="0.25">
      <c r="R113" s="15"/>
      <c r="S113" s="15"/>
      <c r="T113" s="15"/>
      <c r="U113" s="15"/>
      <c r="W113" s="15"/>
      <c r="X113" s="15"/>
      <c r="Y113" s="15"/>
      <c r="Z113" s="15"/>
      <c r="AB113" s="15"/>
      <c r="AC113" s="15"/>
      <c r="AD113" s="15"/>
      <c r="AE113" s="15"/>
    </row>
    <row r="114" spans="18:31" ht="18" x14ac:dyDescent="0.25">
      <c r="R114" s="15"/>
      <c r="S114" s="15"/>
      <c r="T114" s="15"/>
      <c r="U114" s="15"/>
      <c r="W114" s="15"/>
      <c r="X114" s="15"/>
      <c r="Y114" s="15"/>
      <c r="Z114" s="15"/>
      <c r="AB114" s="15"/>
      <c r="AC114" s="15"/>
      <c r="AD114" s="15"/>
      <c r="AE114" s="15"/>
    </row>
    <row r="115" spans="18:31" ht="18" x14ac:dyDescent="0.25">
      <c r="R115" s="15"/>
      <c r="S115" s="15"/>
      <c r="T115" s="15"/>
      <c r="U115" s="15"/>
      <c r="W115" s="15"/>
      <c r="X115" s="15"/>
      <c r="Y115" s="15"/>
      <c r="Z115" s="15"/>
      <c r="AB115" s="15"/>
      <c r="AC115" s="15"/>
      <c r="AD115" s="15"/>
      <c r="AE115" s="15"/>
    </row>
    <row r="116" spans="18:31" ht="18" x14ac:dyDescent="0.25">
      <c r="R116" s="15"/>
      <c r="S116" s="15"/>
      <c r="T116" s="15"/>
      <c r="U116" s="15"/>
      <c r="W116" s="15"/>
      <c r="X116" s="15"/>
      <c r="Y116" s="15"/>
      <c r="Z116" s="15"/>
      <c r="AB116" s="15"/>
      <c r="AC116" s="15"/>
      <c r="AD116" s="15"/>
      <c r="AE116" s="15"/>
    </row>
    <row r="117" spans="18:31" ht="18" x14ac:dyDescent="0.25">
      <c r="R117" s="15"/>
      <c r="S117" s="15"/>
      <c r="T117" s="15"/>
      <c r="U117" s="15"/>
      <c r="W117" s="15"/>
      <c r="X117" s="15"/>
      <c r="Y117" s="15"/>
      <c r="Z117" s="15"/>
      <c r="AB117" s="15"/>
      <c r="AC117" s="15"/>
      <c r="AD117" s="15"/>
      <c r="AE117" s="15"/>
    </row>
    <row r="118" spans="18:31" ht="18" x14ac:dyDescent="0.25">
      <c r="R118" s="15"/>
      <c r="S118" s="15"/>
      <c r="T118" s="15"/>
      <c r="U118" s="15"/>
      <c r="W118" s="15"/>
      <c r="X118" s="15"/>
      <c r="Y118" s="15"/>
      <c r="Z118" s="15"/>
      <c r="AB118" s="15"/>
      <c r="AC118" s="15"/>
      <c r="AD118" s="15"/>
      <c r="AE118" s="15"/>
    </row>
    <row r="119" spans="18:31" ht="18" x14ac:dyDescent="0.25">
      <c r="R119" s="15"/>
      <c r="S119" s="15"/>
      <c r="T119" s="15"/>
      <c r="U119" s="15"/>
      <c r="W119" s="15"/>
      <c r="X119" s="15"/>
      <c r="Y119" s="15"/>
      <c r="Z119" s="15"/>
      <c r="AB119" s="15"/>
      <c r="AC119" s="15"/>
      <c r="AD119" s="15"/>
      <c r="AE119" s="15"/>
    </row>
    <row r="120" spans="18:31" ht="18" x14ac:dyDescent="0.25">
      <c r="R120" s="15"/>
      <c r="S120" s="15"/>
      <c r="T120" s="15"/>
      <c r="U120" s="15"/>
      <c r="W120" s="15"/>
      <c r="X120" s="15"/>
      <c r="Y120" s="15"/>
      <c r="Z120" s="15"/>
      <c r="AB120" s="15"/>
      <c r="AC120" s="15"/>
      <c r="AD120" s="15"/>
      <c r="AE120" s="15"/>
    </row>
    <row r="121" spans="18:31" ht="18" x14ac:dyDescent="0.25">
      <c r="R121" s="15"/>
      <c r="S121" s="15"/>
      <c r="T121" s="15"/>
      <c r="U121" s="15"/>
      <c r="W121" s="15"/>
      <c r="X121" s="15"/>
      <c r="Y121" s="15"/>
      <c r="Z121" s="15"/>
      <c r="AB121" s="15"/>
      <c r="AC121" s="15"/>
      <c r="AD121" s="15"/>
      <c r="AE121" s="15"/>
    </row>
    <row r="122" spans="18:31" ht="18" x14ac:dyDescent="0.25">
      <c r="R122" s="15"/>
      <c r="S122" s="15"/>
      <c r="T122" s="15"/>
      <c r="U122" s="15"/>
      <c r="W122" s="15"/>
      <c r="X122" s="15"/>
      <c r="Y122" s="15"/>
      <c r="Z122" s="15"/>
      <c r="AB122" s="15"/>
      <c r="AC122" s="15"/>
      <c r="AD122" s="15"/>
      <c r="AE122" s="15"/>
    </row>
    <row r="123" spans="18:31" ht="18" x14ac:dyDescent="0.25">
      <c r="R123" s="15"/>
      <c r="S123" s="15"/>
      <c r="T123" s="15"/>
      <c r="U123" s="15"/>
      <c r="W123" s="15"/>
      <c r="X123" s="15"/>
      <c r="Y123" s="15"/>
      <c r="Z123" s="15"/>
      <c r="AB123" s="15"/>
      <c r="AC123" s="15"/>
      <c r="AD123" s="15"/>
      <c r="AE123" s="15"/>
    </row>
    <row r="124" spans="18:31" ht="18" x14ac:dyDescent="0.25">
      <c r="R124" s="15"/>
      <c r="S124" s="15"/>
      <c r="T124" s="15"/>
      <c r="U124" s="15"/>
      <c r="W124" s="15"/>
      <c r="X124" s="15"/>
      <c r="Y124" s="15"/>
      <c r="Z124" s="15"/>
      <c r="AB124" s="15"/>
      <c r="AC124" s="15"/>
      <c r="AD124" s="15"/>
      <c r="AE124" s="15"/>
    </row>
    <row r="125" spans="18:31" ht="18" x14ac:dyDescent="0.25">
      <c r="R125" s="15"/>
      <c r="S125" s="15"/>
      <c r="T125" s="15"/>
      <c r="U125" s="15"/>
      <c r="W125" s="15"/>
      <c r="X125" s="15"/>
      <c r="Y125" s="15"/>
      <c r="Z125" s="15"/>
      <c r="AB125" s="15"/>
      <c r="AC125" s="15"/>
      <c r="AD125" s="15"/>
      <c r="AE125" s="15"/>
    </row>
    <row r="126" spans="18:31" ht="18" x14ac:dyDescent="0.25">
      <c r="R126" s="15"/>
      <c r="S126" s="15"/>
      <c r="T126" s="15"/>
      <c r="U126" s="15"/>
      <c r="W126" s="15"/>
      <c r="X126" s="15"/>
      <c r="Y126" s="15"/>
      <c r="Z126" s="15"/>
      <c r="AB126" s="15"/>
      <c r="AC126" s="15"/>
      <c r="AD126" s="15"/>
      <c r="AE126" s="15"/>
    </row>
    <row r="127" spans="18:31" ht="18" x14ac:dyDescent="0.25">
      <c r="R127" s="15"/>
      <c r="S127" s="15"/>
      <c r="T127" s="15"/>
      <c r="U127" s="15"/>
      <c r="W127" s="15"/>
      <c r="X127" s="15"/>
      <c r="Y127" s="15"/>
      <c r="Z127" s="15"/>
      <c r="AB127" s="15"/>
      <c r="AC127" s="15"/>
      <c r="AD127" s="15"/>
      <c r="AE127" s="15"/>
    </row>
    <row r="128" spans="18:31" ht="18" x14ac:dyDescent="0.25">
      <c r="R128" s="15"/>
      <c r="S128" s="15"/>
      <c r="T128" s="15"/>
      <c r="U128" s="15"/>
      <c r="W128" s="15"/>
      <c r="X128" s="15"/>
      <c r="Y128" s="15"/>
      <c r="Z128" s="15"/>
      <c r="AB128" s="15"/>
      <c r="AC128" s="15"/>
      <c r="AD128" s="15"/>
      <c r="AE128" s="15"/>
    </row>
    <row r="129" spans="18:31" ht="18" x14ac:dyDescent="0.25">
      <c r="R129" s="15"/>
      <c r="S129" s="15"/>
      <c r="T129" s="15"/>
      <c r="U129" s="15"/>
      <c r="W129" s="15"/>
      <c r="X129" s="15"/>
      <c r="Y129" s="15"/>
      <c r="Z129" s="15"/>
      <c r="AB129" s="15"/>
      <c r="AC129" s="15"/>
      <c r="AD129" s="15"/>
      <c r="AE129" s="15"/>
    </row>
    <row r="130" spans="18:31" ht="18" x14ac:dyDescent="0.25">
      <c r="R130" s="15"/>
      <c r="S130" s="15"/>
      <c r="T130" s="15"/>
      <c r="U130" s="15"/>
      <c r="W130" s="15"/>
      <c r="X130" s="15"/>
      <c r="Y130" s="15"/>
      <c r="Z130" s="15"/>
      <c r="AB130" s="15"/>
      <c r="AC130" s="15"/>
      <c r="AD130" s="15"/>
      <c r="AE130" s="15"/>
    </row>
    <row r="131" spans="18:31" ht="18" x14ac:dyDescent="0.25">
      <c r="R131" s="15"/>
      <c r="S131" s="15"/>
      <c r="T131" s="15"/>
      <c r="U131" s="15"/>
      <c r="W131" s="15"/>
      <c r="X131" s="15"/>
      <c r="Y131" s="15"/>
      <c r="Z131" s="15"/>
      <c r="AB131" s="15"/>
      <c r="AC131" s="15"/>
      <c r="AD131" s="15"/>
      <c r="AE131" s="15"/>
    </row>
    <row r="132" spans="18:31" ht="18" x14ac:dyDescent="0.25">
      <c r="R132" s="15"/>
      <c r="S132" s="15"/>
      <c r="T132" s="15"/>
      <c r="U132" s="15"/>
      <c r="W132" s="15"/>
      <c r="X132" s="15"/>
      <c r="Y132" s="15"/>
      <c r="Z132" s="15"/>
      <c r="AB132" s="15"/>
      <c r="AC132" s="15"/>
      <c r="AD132" s="15"/>
      <c r="AE132" s="15"/>
    </row>
    <row r="133" spans="18:31" ht="18" x14ac:dyDescent="0.25">
      <c r="R133" s="15"/>
      <c r="S133" s="15"/>
      <c r="T133" s="15"/>
      <c r="U133" s="15"/>
      <c r="W133" s="15"/>
      <c r="X133" s="15"/>
      <c r="Y133" s="15"/>
      <c r="Z133" s="15"/>
      <c r="AB133" s="15"/>
      <c r="AC133" s="15"/>
      <c r="AD133" s="15"/>
      <c r="AE133" s="15"/>
    </row>
    <row r="134" spans="18:31" ht="18" x14ac:dyDescent="0.25">
      <c r="R134" s="15"/>
      <c r="S134" s="15"/>
      <c r="T134" s="15"/>
      <c r="U134" s="15"/>
      <c r="W134" s="15"/>
      <c r="X134" s="15"/>
      <c r="Y134" s="15"/>
      <c r="Z134" s="15"/>
      <c r="AB134" s="15"/>
      <c r="AC134" s="15"/>
      <c r="AD134" s="15"/>
      <c r="AE134" s="15"/>
    </row>
    <row r="135" spans="18:31" ht="18" x14ac:dyDescent="0.25">
      <c r="R135" s="15"/>
      <c r="S135" s="15"/>
      <c r="T135" s="15"/>
      <c r="U135" s="15"/>
      <c r="W135" s="15"/>
      <c r="X135" s="15"/>
      <c r="Y135" s="15"/>
      <c r="Z135" s="15"/>
      <c r="AB135" s="15"/>
      <c r="AC135" s="15"/>
      <c r="AD135" s="15"/>
      <c r="AE135" s="15"/>
    </row>
    <row r="136" spans="18:31" ht="18" x14ac:dyDescent="0.25">
      <c r="R136" s="15"/>
      <c r="S136" s="15"/>
      <c r="T136" s="15"/>
      <c r="U136" s="15"/>
      <c r="W136" s="15"/>
      <c r="X136" s="15"/>
      <c r="Y136" s="15"/>
      <c r="Z136" s="15"/>
      <c r="AB136" s="15"/>
      <c r="AC136" s="15"/>
      <c r="AD136" s="15"/>
      <c r="AE136" s="15"/>
    </row>
    <row r="137" spans="18:31" ht="18" x14ac:dyDescent="0.25">
      <c r="R137" s="15"/>
      <c r="S137" s="15"/>
      <c r="T137" s="15"/>
      <c r="U137" s="15"/>
      <c r="W137" s="15"/>
      <c r="X137" s="15"/>
      <c r="Y137" s="15"/>
      <c r="Z137" s="15"/>
      <c r="AB137" s="15"/>
      <c r="AC137" s="15"/>
      <c r="AD137" s="15"/>
      <c r="AE137" s="15"/>
    </row>
    <row r="138" spans="18:31" ht="18" x14ac:dyDescent="0.25">
      <c r="R138" s="15"/>
      <c r="S138" s="15"/>
      <c r="T138" s="15"/>
      <c r="U138" s="15"/>
      <c r="W138" s="15"/>
      <c r="X138" s="15"/>
      <c r="Y138" s="15"/>
      <c r="Z138" s="15"/>
      <c r="AB138" s="15"/>
      <c r="AC138" s="15"/>
      <c r="AD138" s="15"/>
      <c r="AE138" s="15"/>
    </row>
    <row r="139" spans="18:31" ht="18" x14ac:dyDescent="0.25">
      <c r="R139" s="15"/>
      <c r="S139" s="15"/>
      <c r="T139" s="15"/>
      <c r="U139" s="15"/>
      <c r="W139" s="15"/>
      <c r="X139" s="15"/>
      <c r="Y139" s="15"/>
      <c r="Z139" s="15"/>
      <c r="AB139" s="15"/>
      <c r="AC139" s="15"/>
      <c r="AD139" s="15"/>
      <c r="AE139" s="15"/>
    </row>
    <row r="140" spans="18:31" ht="18" x14ac:dyDescent="0.25">
      <c r="R140" s="15"/>
      <c r="S140" s="15"/>
      <c r="T140" s="15"/>
      <c r="U140" s="15"/>
      <c r="W140" s="15"/>
      <c r="X140" s="15"/>
      <c r="Y140" s="15"/>
      <c r="Z140" s="15"/>
      <c r="AB140" s="15"/>
      <c r="AC140" s="15"/>
      <c r="AD140" s="15"/>
      <c r="AE140" s="15"/>
    </row>
    <row r="141" spans="18:31" ht="18" x14ac:dyDescent="0.25">
      <c r="R141" s="15"/>
      <c r="S141" s="15"/>
      <c r="T141" s="15"/>
      <c r="U141" s="15"/>
      <c r="W141" s="15"/>
      <c r="X141" s="15"/>
      <c r="Y141" s="15"/>
      <c r="Z141" s="15"/>
      <c r="AB141" s="15"/>
      <c r="AC141" s="15"/>
      <c r="AD141" s="15"/>
      <c r="AE141" s="15"/>
    </row>
    <row r="142" spans="18:31" ht="18" x14ac:dyDescent="0.25">
      <c r="R142" s="15"/>
      <c r="S142" s="15"/>
      <c r="T142" s="15"/>
      <c r="U142" s="15"/>
      <c r="W142" s="15"/>
      <c r="X142" s="15"/>
      <c r="Y142" s="15"/>
      <c r="Z142" s="15"/>
      <c r="AB142" s="15"/>
      <c r="AC142" s="15"/>
      <c r="AD142" s="15"/>
      <c r="AE142" s="15"/>
    </row>
    <row r="143" spans="18:31" ht="18" x14ac:dyDescent="0.25">
      <c r="R143" s="15"/>
      <c r="S143" s="15"/>
      <c r="T143" s="15"/>
      <c r="U143" s="15"/>
      <c r="W143" s="15"/>
      <c r="X143" s="15"/>
      <c r="Y143" s="15"/>
      <c r="Z143" s="15"/>
      <c r="AB143" s="15"/>
      <c r="AC143" s="15"/>
      <c r="AD143" s="15"/>
      <c r="AE143" s="15"/>
    </row>
    <row r="144" spans="18:31" ht="18" x14ac:dyDescent="0.25">
      <c r="R144" s="15"/>
      <c r="S144" s="15"/>
      <c r="T144" s="15"/>
      <c r="U144" s="15"/>
      <c r="W144" s="15"/>
      <c r="X144" s="15"/>
      <c r="Y144" s="15"/>
      <c r="Z144" s="15"/>
      <c r="AB144" s="15"/>
      <c r="AC144" s="15"/>
      <c r="AD144" s="15"/>
      <c r="AE144" s="15"/>
    </row>
    <row r="145" spans="18:31" ht="18" x14ac:dyDescent="0.25">
      <c r="R145" s="15"/>
      <c r="S145" s="15"/>
      <c r="T145" s="15"/>
      <c r="U145" s="15"/>
      <c r="W145" s="15"/>
      <c r="X145" s="15"/>
      <c r="Y145" s="15"/>
      <c r="Z145" s="15"/>
      <c r="AB145" s="15"/>
      <c r="AC145" s="15"/>
      <c r="AD145" s="15"/>
      <c r="AE145" s="15"/>
    </row>
    <row r="146" spans="18:31" ht="18" x14ac:dyDescent="0.25">
      <c r="R146" s="15"/>
      <c r="S146" s="15"/>
      <c r="T146" s="15"/>
      <c r="U146" s="15"/>
      <c r="W146" s="15"/>
      <c r="X146" s="15"/>
      <c r="Y146" s="15"/>
      <c r="Z146" s="15"/>
      <c r="AB146" s="15"/>
      <c r="AC146" s="15"/>
      <c r="AD146" s="15"/>
      <c r="AE146" s="15"/>
    </row>
    <row r="147" spans="18:31" ht="18" x14ac:dyDescent="0.25">
      <c r="R147" s="15"/>
      <c r="S147" s="15"/>
      <c r="T147" s="15"/>
      <c r="U147" s="15"/>
      <c r="W147" s="15"/>
      <c r="X147" s="15"/>
      <c r="Y147" s="15"/>
      <c r="Z147" s="15"/>
      <c r="AB147" s="15"/>
      <c r="AC147" s="15"/>
      <c r="AD147" s="15"/>
      <c r="AE147" s="15"/>
    </row>
    <row r="148" spans="18:31" ht="18" x14ac:dyDescent="0.25">
      <c r="R148" s="15"/>
      <c r="S148" s="15"/>
      <c r="T148" s="15"/>
      <c r="U148" s="15"/>
      <c r="W148" s="15"/>
      <c r="X148" s="15"/>
      <c r="Y148" s="15"/>
      <c r="Z148" s="15"/>
      <c r="AB148" s="15"/>
      <c r="AC148" s="15"/>
      <c r="AD148" s="15"/>
      <c r="AE148" s="15"/>
    </row>
    <row r="149" spans="18:31" ht="18" x14ac:dyDescent="0.25">
      <c r="R149" s="15"/>
      <c r="S149" s="15"/>
      <c r="T149" s="15"/>
      <c r="U149" s="15"/>
      <c r="W149" s="15"/>
      <c r="X149" s="15"/>
      <c r="Y149" s="15"/>
      <c r="Z149" s="15"/>
      <c r="AB149" s="15"/>
      <c r="AC149" s="15"/>
      <c r="AD149" s="15"/>
      <c r="AE149" s="15"/>
    </row>
    <row r="150" spans="18:31" ht="18" x14ac:dyDescent="0.25">
      <c r="R150" s="15"/>
      <c r="S150" s="15"/>
      <c r="T150" s="15"/>
      <c r="U150" s="15"/>
      <c r="W150" s="15"/>
      <c r="X150" s="15"/>
      <c r="Y150" s="15"/>
      <c r="Z150" s="15"/>
      <c r="AB150" s="15"/>
      <c r="AC150" s="15"/>
      <c r="AD150" s="15"/>
      <c r="AE150" s="15"/>
    </row>
    <row r="151" spans="18:31" ht="18" x14ac:dyDescent="0.25">
      <c r="R151" s="15"/>
      <c r="S151" s="15"/>
      <c r="T151" s="15"/>
      <c r="U151" s="15"/>
      <c r="W151" s="15"/>
      <c r="X151" s="15"/>
      <c r="Y151" s="15"/>
      <c r="Z151" s="15"/>
      <c r="AB151" s="15"/>
      <c r="AC151" s="15"/>
      <c r="AD151" s="15"/>
      <c r="AE151" s="15"/>
    </row>
    <row r="152" spans="18:31" ht="18" x14ac:dyDescent="0.25">
      <c r="R152" s="15"/>
      <c r="S152" s="15"/>
      <c r="T152" s="15"/>
      <c r="U152" s="15"/>
      <c r="W152" s="15"/>
      <c r="X152" s="15"/>
      <c r="Y152" s="15"/>
      <c r="Z152" s="15"/>
      <c r="AB152" s="15"/>
      <c r="AC152" s="15"/>
      <c r="AD152" s="15"/>
      <c r="AE152" s="15"/>
    </row>
    <row r="153" spans="18:31" ht="18" x14ac:dyDescent="0.25">
      <c r="R153" s="15"/>
      <c r="S153" s="15"/>
      <c r="T153" s="15"/>
      <c r="U153" s="15"/>
      <c r="W153" s="15"/>
      <c r="X153" s="15"/>
      <c r="Y153" s="15"/>
      <c r="Z153" s="15"/>
      <c r="AB153" s="15"/>
      <c r="AC153" s="15"/>
      <c r="AD153" s="15"/>
      <c r="AE153" s="15"/>
    </row>
    <row r="154" spans="18:31" ht="18" x14ac:dyDescent="0.25">
      <c r="R154" s="15"/>
      <c r="S154" s="15"/>
      <c r="T154" s="15"/>
      <c r="U154" s="15"/>
      <c r="W154" s="15"/>
      <c r="X154" s="15"/>
      <c r="Y154" s="15"/>
      <c r="Z154" s="15"/>
      <c r="AB154" s="15"/>
      <c r="AC154" s="15"/>
      <c r="AD154" s="15"/>
      <c r="AE154" s="15"/>
    </row>
    <row r="155" spans="18:31" ht="18" x14ac:dyDescent="0.25">
      <c r="R155" s="15"/>
      <c r="S155" s="15"/>
      <c r="T155" s="15"/>
      <c r="U155" s="15"/>
      <c r="W155" s="15"/>
      <c r="X155" s="15"/>
      <c r="Y155" s="15"/>
      <c r="Z155" s="15"/>
      <c r="AB155" s="15"/>
      <c r="AC155" s="15"/>
      <c r="AD155" s="15"/>
      <c r="AE155" s="15"/>
    </row>
    <row r="156" spans="18:31" ht="18" x14ac:dyDescent="0.25">
      <c r="R156" s="15"/>
      <c r="S156" s="15"/>
      <c r="T156" s="15"/>
      <c r="U156" s="15"/>
      <c r="W156" s="15"/>
      <c r="X156" s="15"/>
      <c r="Y156" s="15"/>
      <c r="Z156" s="15"/>
      <c r="AB156" s="15"/>
      <c r="AC156" s="15"/>
      <c r="AD156" s="15"/>
      <c r="AE156" s="15"/>
    </row>
    <row r="157" spans="18:31" ht="18" x14ac:dyDescent="0.25">
      <c r="R157" s="15"/>
      <c r="S157" s="15"/>
      <c r="T157" s="15"/>
      <c r="U157" s="15"/>
      <c r="W157" s="15"/>
      <c r="X157" s="15"/>
      <c r="Y157" s="15"/>
      <c r="Z157" s="15"/>
      <c r="AB157" s="15"/>
      <c r="AC157" s="15"/>
      <c r="AD157" s="15"/>
      <c r="AE157" s="15"/>
    </row>
    <row r="158" spans="18:31" ht="18" x14ac:dyDescent="0.25">
      <c r="R158" s="15"/>
      <c r="S158" s="15"/>
      <c r="T158" s="15"/>
      <c r="U158" s="15"/>
      <c r="W158" s="15"/>
      <c r="X158" s="15"/>
      <c r="Y158" s="15"/>
      <c r="Z158" s="15"/>
      <c r="AB158" s="15"/>
      <c r="AC158" s="15"/>
      <c r="AD158" s="15"/>
      <c r="AE158" s="15"/>
    </row>
    <row r="159" spans="18:31" ht="18" x14ac:dyDescent="0.25">
      <c r="R159" s="15"/>
      <c r="S159" s="15"/>
      <c r="T159" s="15"/>
      <c r="U159" s="15"/>
      <c r="W159" s="15"/>
      <c r="X159" s="15"/>
      <c r="Y159" s="15"/>
      <c r="Z159" s="15"/>
      <c r="AB159" s="15"/>
      <c r="AC159" s="15"/>
      <c r="AD159" s="15"/>
      <c r="AE159" s="15"/>
    </row>
    <row r="160" spans="18:31" ht="18" x14ac:dyDescent="0.25">
      <c r="R160" s="15"/>
      <c r="S160" s="15"/>
      <c r="T160" s="15"/>
      <c r="U160" s="15"/>
      <c r="W160" s="15"/>
      <c r="X160" s="15"/>
      <c r="Y160" s="15"/>
      <c r="Z160" s="15"/>
      <c r="AB160" s="15"/>
      <c r="AC160" s="15"/>
      <c r="AD160" s="15"/>
      <c r="AE160" s="15"/>
    </row>
    <row r="161" spans="18:31" ht="18" x14ac:dyDescent="0.25">
      <c r="R161" s="15"/>
      <c r="S161" s="15"/>
      <c r="T161" s="15"/>
      <c r="U161" s="15"/>
      <c r="W161" s="15"/>
      <c r="X161" s="15"/>
      <c r="Y161" s="15"/>
      <c r="Z161" s="15"/>
      <c r="AB161" s="15"/>
      <c r="AC161" s="15"/>
      <c r="AD161" s="15"/>
      <c r="AE161" s="15"/>
    </row>
    <row r="162" spans="18:31" ht="18" x14ac:dyDescent="0.25">
      <c r="R162" s="15"/>
      <c r="S162" s="15"/>
      <c r="T162" s="15"/>
      <c r="U162" s="15"/>
      <c r="W162" s="15"/>
      <c r="X162" s="15"/>
      <c r="Y162" s="15"/>
      <c r="Z162" s="15"/>
      <c r="AB162" s="15"/>
      <c r="AC162" s="15"/>
      <c r="AD162" s="15"/>
      <c r="AE162" s="15"/>
    </row>
    <row r="163" spans="18:31" ht="18" x14ac:dyDescent="0.25">
      <c r="R163" s="15"/>
      <c r="S163" s="15"/>
      <c r="T163" s="15"/>
      <c r="U163" s="15"/>
      <c r="W163" s="15"/>
      <c r="X163" s="15"/>
      <c r="Y163" s="15"/>
      <c r="Z163" s="15"/>
      <c r="AB163" s="15"/>
      <c r="AC163" s="15"/>
      <c r="AD163" s="15"/>
      <c r="AE163" s="15"/>
    </row>
    <row r="164" spans="18:31" ht="18" x14ac:dyDescent="0.25">
      <c r="R164" s="15"/>
      <c r="S164" s="15"/>
      <c r="T164" s="15"/>
      <c r="U164" s="15"/>
      <c r="W164" s="15"/>
      <c r="X164" s="15"/>
      <c r="Y164" s="15"/>
      <c r="Z164" s="15"/>
      <c r="AB164" s="15"/>
      <c r="AC164" s="15"/>
      <c r="AD164" s="15"/>
      <c r="AE164" s="15"/>
    </row>
    <row r="165" spans="18:31" ht="18" x14ac:dyDescent="0.25">
      <c r="R165" s="15"/>
      <c r="S165" s="15"/>
      <c r="T165" s="15"/>
      <c r="U165" s="15"/>
      <c r="W165" s="15"/>
      <c r="X165" s="15"/>
      <c r="Y165" s="15"/>
      <c r="Z165" s="15"/>
      <c r="AB165" s="15"/>
      <c r="AC165" s="15"/>
      <c r="AD165" s="15"/>
      <c r="AE165" s="15"/>
    </row>
    <row r="166" spans="18:31" ht="18" x14ac:dyDescent="0.25">
      <c r="R166" s="15"/>
      <c r="S166" s="15"/>
      <c r="T166" s="15"/>
      <c r="U166" s="15"/>
      <c r="W166" s="15"/>
      <c r="X166" s="15"/>
      <c r="Y166" s="15"/>
      <c r="Z166" s="15"/>
      <c r="AB166" s="15"/>
      <c r="AC166" s="15"/>
      <c r="AD166" s="15"/>
      <c r="AE166" s="15"/>
    </row>
    <row r="167" spans="18:31" ht="18" x14ac:dyDescent="0.25">
      <c r="R167" s="15"/>
      <c r="S167" s="15"/>
      <c r="T167" s="15"/>
      <c r="U167" s="15"/>
      <c r="W167" s="15"/>
      <c r="X167" s="15"/>
      <c r="Y167" s="15"/>
      <c r="Z167" s="15"/>
      <c r="AB167" s="15"/>
      <c r="AC167" s="15"/>
      <c r="AD167" s="15"/>
      <c r="AE167" s="15"/>
    </row>
    <row r="168" spans="18:31" ht="18" x14ac:dyDescent="0.25">
      <c r="R168" s="15"/>
      <c r="S168" s="15"/>
      <c r="T168" s="15"/>
      <c r="U168" s="15"/>
      <c r="W168" s="15"/>
      <c r="X168" s="15"/>
      <c r="Y168" s="15"/>
      <c r="Z168" s="15"/>
      <c r="AB168" s="15"/>
      <c r="AC168" s="15"/>
      <c r="AD168" s="15"/>
      <c r="AE168" s="15"/>
    </row>
    <row r="169" spans="18:31" ht="18" x14ac:dyDescent="0.25">
      <c r="R169" s="15"/>
      <c r="S169" s="15"/>
      <c r="T169" s="15"/>
      <c r="U169" s="15"/>
      <c r="W169" s="15"/>
      <c r="X169" s="15"/>
      <c r="Y169" s="15"/>
      <c r="Z169" s="15"/>
      <c r="AB169" s="15"/>
      <c r="AC169" s="15"/>
      <c r="AD169" s="15"/>
      <c r="AE169" s="15"/>
    </row>
    <row r="170" spans="18:31" ht="18" x14ac:dyDescent="0.25">
      <c r="R170" s="15"/>
      <c r="S170" s="15"/>
      <c r="T170" s="15"/>
      <c r="U170" s="15"/>
      <c r="W170" s="15"/>
      <c r="X170" s="15"/>
      <c r="Y170" s="15"/>
      <c r="Z170" s="15"/>
      <c r="AB170" s="15"/>
      <c r="AC170" s="15"/>
      <c r="AD170" s="15"/>
      <c r="AE170" s="15"/>
    </row>
    <row r="171" spans="18:31" ht="18" x14ac:dyDescent="0.25">
      <c r="R171" s="15"/>
      <c r="S171" s="15"/>
      <c r="T171" s="15"/>
      <c r="U171" s="15"/>
      <c r="W171" s="15"/>
      <c r="X171" s="15"/>
      <c r="Y171" s="15"/>
      <c r="Z171" s="15"/>
      <c r="AB171" s="15"/>
      <c r="AC171" s="15"/>
      <c r="AD171" s="15"/>
      <c r="AE171" s="15"/>
    </row>
    <row r="172" spans="18:31" ht="18" x14ac:dyDescent="0.25">
      <c r="R172" s="15"/>
      <c r="S172" s="15"/>
      <c r="T172" s="15"/>
      <c r="U172" s="15"/>
      <c r="W172" s="15"/>
      <c r="X172" s="15"/>
      <c r="Y172" s="15"/>
      <c r="Z172" s="15"/>
      <c r="AB172" s="15"/>
      <c r="AC172" s="15"/>
      <c r="AD172" s="15"/>
      <c r="AE172" s="15"/>
    </row>
    <row r="173" spans="18:31" ht="18" x14ac:dyDescent="0.25">
      <c r="R173" s="15"/>
      <c r="S173" s="15"/>
      <c r="T173" s="15"/>
      <c r="U173" s="15"/>
      <c r="W173" s="15"/>
      <c r="X173" s="15"/>
      <c r="Y173" s="15"/>
      <c r="Z173" s="15"/>
      <c r="AB173" s="15"/>
      <c r="AC173" s="15"/>
      <c r="AD173" s="15"/>
      <c r="AE173" s="15"/>
    </row>
    <row r="174" spans="18:31" ht="18" x14ac:dyDescent="0.25">
      <c r="R174" s="15"/>
      <c r="S174" s="15"/>
      <c r="T174" s="15"/>
      <c r="U174" s="15"/>
      <c r="W174" s="15"/>
      <c r="X174" s="15"/>
      <c r="Y174" s="15"/>
      <c r="Z174" s="15"/>
      <c r="AB174" s="15"/>
      <c r="AC174" s="15"/>
      <c r="AD174" s="15"/>
      <c r="AE174" s="15"/>
    </row>
    <row r="175" spans="18:31" ht="18" x14ac:dyDescent="0.25">
      <c r="R175" s="15"/>
      <c r="S175" s="15"/>
      <c r="T175" s="15"/>
      <c r="U175" s="15"/>
      <c r="W175" s="15"/>
      <c r="X175" s="15"/>
      <c r="Y175" s="15"/>
      <c r="Z175" s="15"/>
      <c r="AB175" s="15"/>
      <c r="AC175" s="15"/>
      <c r="AD175" s="15"/>
      <c r="AE175" s="15"/>
    </row>
    <row r="176" spans="18:31" ht="18" x14ac:dyDescent="0.25">
      <c r="R176" s="15"/>
      <c r="S176" s="15"/>
      <c r="T176" s="15"/>
      <c r="U176" s="15"/>
      <c r="W176" s="15"/>
      <c r="X176" s="15"/>
      <c r="Y176" s="15"/>
      <c r="Z176" s="15"/>
      <c r="AB176" s="15"/>
      <c r="AC176" s="15"/>
      <c r="AD176" s="15"/>
      <c r="AE176" s="15"/>
    </row>
    <row r="177" spans="18:31" ht="18" x14ac:dyDescent="0.25">
      <c r="R177" s="15"/>
      <c r="S177" s="15"/>
      <c r="T177" s="15"/>
      <c r="U177" s="15"/>
      <c r="W177" s="15"/>
      <c r="X177" s="15"/>
      <c r="Y177" s="15"/>
      <c r="Z177" s="15"/>
      <c r="AB177" s="15"/>
      <c r="AC177" s="15"/>
      <c r="AD177" s="15"/>
      <c r="AE177" s="15"/>
    </row>
    <row r="178" spans="18:31" ht="18" x14ac:dyDescent="0.25">
      <c r="R178" s="15"/>
      <c r="S178" s="15"/>
      <c r="T178" s="15"/>
      <c r="U178" s="15"/>
      <c r="W178" s="15"/>
      <c r="X178" s="15"/>
      <c r="Y178" s="15"/>
      <c r="Z178" s="15"/>
      <c r="AB178" s="15"/>
      <c r="AC178" s="15"/>
      <c r="AD178" s="15"/>
      <c r="AE178" s="15"/>
    </row>
    <row r="179" spans="18:31" ht="18" x14ac:dyDescent="0.25">
      <c r="R179" s="15"/>
      <c r="S179" s="15"/>
      <c r="T179" s="15"/>
      <c r="U179" s="15"/>
      <c r="W179" s="15"/>
      <c r="X179" s="15"/>
      <c r="Y179" s="15"/>
      <c r="Z179" s="15"/>
      <c r="AB179" s="15"/>
      <c r="AC179" s="15"/>
      <c r="AD179" s="15"/>
      <c r="AE179" s="15"/>
    </row>
    <row r="180" spans="18:31" ht="18" x14ac:dyDescent="0.25">
      <c r="R180" s="15"/>
      <c r="S180" s="15"/>
      <c r="T180" s="15"/>
      <c r="U180" s="15"/>
      <c r="W180" s="15"/>
      <c r="X180" s="15"/>
      <c r="Y180" s="15"/>
      <c r="Z180" s="15"/>
      <c r="AB180" s="15"/>
      <c r="AC180" s="15"/>
      <c r="AD180" s="15"/>
      <c r="AE180" s="15"/>
    </row>
    <row r="181" spans="18:31" ht="18" x14ac:dyDescent="0.25">
      <c r="R181" s="15"/>
      <c r="S181" s="15"/>
      <c r="T181" s="15"/>
      <c r="U181" s="15"/>
      <c r="W181" s="15"/>
      <c r="X181" s="15"/>
      <c r="Y181" s="15"/>
      <c r="Z181" s="15"/>
      <c r="AB181" s="15"/>
      <c r="AC181" s="15"/>
      <c r="AD181" s="15"/>
      <c r="AE181" s="15"/>
    </row>
    <row r="182" spans="18:31" ht="18" x14ac:dyDescent="0.25">
      <c r="R182" s="15"/>
      <c r="S182" s="15"/>
      <c r="T182" s="15"/>
      <c r="U182" s="15"/>
      <c r="W182" s="15"/>
      <c r="X182" s="15"/>
      <c r="Y182" s="15"/>
      <c r="Z182" s="15"/>
      <c r="AB182" s="15"/>
      <c r="AC182" s="15"/>
      <c r="AD182" s="15"/>
      <c r="AE182" s="15"/>
    </row>
    <row r="183" spans="18:31" ht="18" x14ac:dyDescent="0.25">
      <c r="R183" s="15"/>
      <c r="S183" s="15"/>
      <c r="T183" s="15"/>
      <c r="U183" s="15"/>
      <c r="W183" s="15"/>
      <c r="X183" s="15"/>
      <c r="Y183" s="15"/>
      <c r="Z183" s="15"/>
      <c r="AB183" s="15"/>
      <c r="AC183" s="15"/>
      <c r="AD183" s="15"/>
      <c r="AE183" s="15"/>
    </row>
    <row r="184" spans="18:31" ht="18" x14ac:dyDescent="0.25">
      <c r="R184" s="15"/>
      <c r="S184" s="15"/>
      <c r="T184" s="15"/>
      <c r="U184" s="15"/>
      <c r="W184" s="15"/>
      <c r="X184" s="15"/>
      <c r="Y184" s="15"/>
      <c r="Z184" s="15"/>
      <c r="AB184" s="15"/>
      <c r="AC184" s="15"/>
      <c r="AD184" s="15"/>
      <c r="AE184" s="15"/>
    </row>
    <row r="185" spans="18:31" ht="18" x14ac:dyDescent="0.25">
      <c r="R185" s="15"/>
      <c r="S185" s="15"/>
      <c r="T185" s="15"/>
      <c r="U185" s="15"/>
      <c r="W185" s="15"/>
      <c r="X185" s="15"/>
      <c r="Y185" s="15"/>
      <c r="Z185" s="15"/>
      <c r="AB185" s="15"/>
      <c r="AC185" s="15"/>
      <c r="AD185" s="15"/>
      <c r="AE185" s="15"/>
    </row>
    <row r="186" spans="18:31" ht="18" x14ac:dyDescent="0.25">
      <c r="R186" s="15"/>
      <c r="S186" s="15"/>
      <c r="T186" s="15"/>
      <c r="U186" s="15"/>
      <c r="W186" s="15"/>
      <c r="X186" s="15"/>
      <c r="Y186" s="15"/>
      <c r="Z186" s="15"/>
      <c r="AB186" s="15"/>
      <c r="AC186" s="15"/>
      <c r="AD186" s="15"/>
      <c r="AE186" s="15"/>
    </row>
    <row r="187" spans="18:31" ht="18" x14ac:dyDescent="0.25">
      <c r="R187" s="15"/>
      <c r="S187" s="15"/>
      <c r="T187" s="15"/>
      <c r="U187" s="15"/>
      <c r="W187" s="15"/>
      <c r="X187" s="15"/>
      <c r="Y187" s="15"/>
      <c r="Z187" s="15"/>
      <c r="AB187" s="15"/>
      <c r="AC187" s="15"/>
      <c r="AD187" s="15"/>
      <c r="AE187" s="15"/>
    </row>
    <row r="188" spans="18:31" ht="18" x14ac:dyDescent="0.25">
      <c r="R188" s="15"/>
      <c r="S188" s="15"/>
      <c r="T188" s="15"/>
      <c r="U188" s="15"/>
      <c r="W188" s="15"/>
      <c r="X188" s="15"/>
      <c r="Y188" s="15"/>
      <c r="Z188" s="15"/>
      <c r="AB188" s="15"/>
      <c r="AC188" s="15"/>
      <c r="AD188" s="15"/>
      <c r="AE188" s="15"/>
    </row>
    <row r="189" spans="18:31" ht="18" x14ac:dyDescent="0.25">
      <c r="R189" s="15"/>
      <c r="S189" s="15"/>
      <c r="T189" s="15"/>
      <c r="U189" s="15"/>
      <c r="W189" s="15"/>
      <c r="X189" s="15"/>
      <c r="Y189" s="15"/>
      <c r="Z189" s="15"/>
      <c r="AB189" s="15"/>
      <c r="AC189" s="15"/>
      <c r="AD189" s="15"/>
      <c r="AE189" s="15"/>
    </row>
    <row r="190" spans="18:31" ht="18" x14ac:dyDescent="0.25">
      <c r="R190" s="15"/>
      <c r="S190" s="15"/>
      <c r="T190" s="15"/>
      <c r="U190" s="15"/>
      <c r="W190" s="15"/>
      <c r="X190" s="15"/>
      <c r="Y190" s="15"/>
      <c r="Z190" s="15"/>
      <c r="AB190" s="15"/>
      <c r="AC190" s="15"/>
      <c r="AD190" s="15"/>
      <c r="AE190" s="15"/>
    </row>
    <row r="191" spans="18:31" ht="18" x14ac:dyDescent="0.25">
      <c r="R191" s="15"/>
      <c r="S191" s="15"/>
      <c r="T191" s="15"/>
      <c r="U191" s="15"/>
      <c r="W191" s="15"/>
      <c r="X191" s="15"/>
      <c r="Y191" s="15"/>
      <c r="Z191" s="15"/>
      <c r="AB191" s="15"/>
      <c r="AC191" s="15"/>
      <c r="AD191" s="15"/>
      <c r="AE191" s="15"/>
    </row>
    <row r="192" spans="18:31" ht="18" x14ac:dyDescent="0.25">
      <c r="R192" s="15"/>
      <c r="S192" s="15"/>
      <c r="T192" s="15"/>
      <c r="U192" s="15"/>
      <c r="W192" s="15"/>
      <c r="X192" s="15"/>
      <c r="Y192" s="15"/>
      <c r="Z192" s="15"/>
      <c r="AB192" s="15"/>
      <c r="AC192" s="15"/>
      <c r="AD192" s="15"/>
      <c r="AE192" s="15"/>
    </row>
    <row r="193" spans="18:31" ht="18" x14ac:dyDescent="0.25">
      <c r="R193" s="15"/>
      <c r="S193" s="15"/>
      <c r="T193" s="15"/>
      <c r="U193" s="15"/>
      <c r="W193" s="15"/>
      <c r="X193" s="15"/>
      <c r="Y193" s="15"/>
      <c r="Z193" s="15"/>
      <c r="AB193" s="15"/>
      <c r="AC193" s="15"/>
      <c r="AD193" s="15"/>
      <c r="AE193" s="15"/>
    </row>
    <row r="194" spans="18:31" ht="18" x14ac:dyDescent="0.25">
      <c r="R194" s="15"/>
      <c r="S194" s="15"/>
      <c r="T194" s="15"/>
      <c r="U194" s="15"/>
      <c r="W194" s="15"/>
      <c r="X194" s="15"/>
      <c r="Y194" s="15"/>
      <c r="Z194" s="15"/>
      <c r="AB194" s="15"/>
      <c r="AC194" s="15"/>
      <c r="AD194" s="15"/>
      <c r="AE194" s="15"/>
    </row>
    <row r="195" spans="18:31" ht="18" x14ac:dyDescent="0.25">
      <c r="R195" s="15"/>
      <c r="S195" s="15"/>
      <c r="T195" s="15"/>
      <c r="U195" s="15"/>
      <c r="W195" s="15"/>
      <c r="X195" s="15"/>
      <c r="Y195" s="15"/>
      <c r="Z195" s="15"/>
      <c r="AB195" s="15"/>
      <c r="AC195" s="15"/>
      <c r="AD195" s="15"/>
      <c r="AE195" s="15"/>
    </row>
    <row r="196" spans="18:31" ht="18" x14ac:dyDescent="0.25">
      <c r="R196" s="15"/>
      <c r="S196" s="15"/>
      <c r="T196" s="15"/>
      <c r="U196" s="15"/>
      <c r="W196" s="15"/>
      <c r="X196" s="15"/>
      <c r="Y196" s="15"/>
      <c r="Z196" s="15"/>
      <c r="AB196" s="15"/>
      <c r="AC196" s="15"/>
      <c r="AD196" s="15"/>
      <c r="AE196" s="15"/>
    </row>
    <row r="197" spans="18:31" ht="18" x14ac:dyDescent="0.25">
      <c r="R197" s="15"/>
      <c r="S197" s="15"/>
      <c r="T197" s="15"/>
      <c r="U197" s="15"/>
      <c r="W197" s="15"/>
      <c r="X197" s="15"/>
      <c r="Y197" s="15"/>
      <c r="Z197" s="15"/>
      <c r="AB197" s="15"/>
      <c r="AC197" s="15"/>
      <c r="AD197" s="15"/>
      <c r="AE197" s="15"/>
    </row>
    <row r="198" spans="18:31" ht="18" x14ac:dyDescent="0.25">
      <c r="R198" s="15"/>
      <c r="S198" s="15"/>
      <c r="T198" s="15"/>
      <c r="U198" s="15"/>
      <c r="W198" s="15"/>
      <c r="X198" s="15"/>
      <c r="Y198" s="15"/>
      <c r="Z198" s="15"/>
      <c r="AB198" s="15"/>
      <c r="AC198" s="15"/>
      <c r="AD198" s="15"/>
      <c r="AE198" s="15"/>
    </row>
    <row r="199" spans="18:31" ht="18" x14ac:dyDescent="0.25">
      <c r="R199" s="15"/>
      <c r="S199" s="15"/>
      <c r="T199" s="15"/>
      <c r="U199" s="15"/>
      <c r="W199" s="15"/>
      <c r="X199" s="15"/>
      <c r="Y199" s="15"/>
      <c r="Z199" s="15"/>
      <c r="AB199" s="15"/>
      <c r="AC199" s="15"/>
      <c r="AD199" s="15"/>
      <c r="AE199" s="15"/>
    </row>
    <row r="200" spans="18:31" ht="18" x14ac:dyDescent="0.25">
      <c r="R200" s="15"/>
      <c r="S200" s="15"/>
      <c r="T200" s="15"/>
      <c r="U200" s="15"/>
      <c r="W200" s="15"/>
      <c r="X200" s="15"/>
      <c r="Y200" s="15"/>
      <c r="Z200" s="15"/>
      <c r="AB200" s="15"/>
      <c r="AC200" s="15"/>
      <c r="AD200" s="15"/>
      <c r="AE200" s="15"/>
    </row>
    <row r="201" spans="18:31" ht="18" x14ac:dyDescent="0.25">
      <c r="R201" s="15"/>
      <c r="S201" s="15"/>
      <c r="T201" s="15"/>
      <c r="U201" s="15"/>
      <c r="W201" s="15"/>
      <c r="X201" s="15"/>
      <c r="Y201" s="15"/>
      <c r="Z201" s="15"/>
      <c r="AB201" s="15"/>
      <c r="AC201" s="15"/>
      <c r="AD201" s="15"/>
      <c r="AE201" s="15"/>
    </row>
    <row r="202" spans="18:31" ht="18" x14ac:dyDescent="0.25">
      <c r="R202" s="15"/>
      <c r="S202" s="15"/>
      <c r="T202" s="15"/>
      <c r="U202" s="15"/>
      <c r="W202" s="15"/>
      <c r="X202" s="15"/>
      <c r="Y202" s="15"/>
      <c r="Z202" s="15"/>
      <c r="AB202" s="15"/>
      <c r="AC202" s="15"/>
      <c r="AD202" s="15"/>
      <c r="AE202" s="15"/>
    </row>
    <row r="203" spans="18:31" ht="18" x14ac:dyDescent="0.25">
      <c r="R203" s="15"/>
      <c r="S203" s="15"/>
      <c r="T203" s="15"/>
      <c r="U203" s="15"/>
      <c r="W203" s="15"/>
      <c r="X203" s="15"/>
      <c r="Y203" s="15"/>
      <c r="Z203" s="15"/>
      <c r="AB203" s="15"/>
      <c r="AC203" s="15"/>
      <c r="AD203" s="15"/>
      <c r="AE203" s="15"/>
    </row>
    <row r="204" spans="18:31" ht="18" x14ac:dyDescent="0.25">
      <c r="R204" s="15"/>
      <c r="S204" s="15"/>
      <c r="T204" s="15"/>
      <c r="U204" s="15"/>
      <c r="W204" s="15"/>
      <c r="X204" s="15"/>
      <c r="Y204" s="15"/>
      <c r="Z204" s="15"/>
      <c r="AB204" s="15"/>
      <c r="AC204" s="15"/>
      <c r="AD204" s="15"/>
      <c r="AE204" s="15"/>
    </row>
    <row r="205" spans="18:31" ht="18" x14ac:dyDescent="0.25">
      <c r="R205" s="15"/>
      <c r="S205" s="15"/>
      <c r="T205" s="15"/>
      <c r="U205" s="15"/>
      <c r="W205" s="15"/>
      <c r="X205" s="15"/>
      <c r="Y205" s="15"/>
      <c r="Z205" s="15"/>
      <c r="AB205" s="15"/>
      <c r="AC205" s="15"/>
      <c r="AD205" s="15"/>
      <c r="AE205" s="15"/>
    </row>
    <row r="206" spans="18:31" ht="18" x14ac:dyDescent="0.25">
      <c r="R206" s="15"/>
      <c r="S206" s="15"/>
      <c r="T206" s="15"/>
      <c r="U206" s="15"/>
      <c r="W206" s="15"/>
      <c r="X206" s="15"/>
      <c r="Y206" s="15"/>
      <c r="Z206" s="15"/>
      <c r="AB206" s="15"/>
      <c r="AC206" s="15"/>
      <c r="AD206" s="15"/>
      <c r="AE206" s="15"/>
    </row>
    <row r="207" spans="18:31" ht="18" x14ac:dyDescent="0.25">
      <c r="R207" s="15"/>
      <c r="S207" s="15"/>
      <c r="T207" s="15"/>
      <c r="U207" s="15"/>
      <c r="W207" s="15"/>
      <c r="X207" s="15"/>
      <c r="Y207" s="15"/>
      <c r="Z207" s="15"/>
      <c r="AB207" s="15"/>
      <c r="AC207" s="15"/>
      <c r="AD207" s="15"/>
      <c r="AE207" s="15"/>
    </row>
    <row r="208" spans="18:31" ht="18" x14ac:dyDescent="0.25">
      <c r="R208" s="15"/>
      <c r="S208" s="15"/>
      <c r="T208" s="15"/>
      <c r="U208" s="15"/>
      <c r="W208" s="15"/>
      <c r="X208" s="15"/>
      <c r="Y208" s="15"/>
      <c r="Z208" s="15"/>
      <c r="AB208" s="15"/>
      <c r="AC208" s="15"/>
      <c r="AD208" s="15"/>
      <c r="AE208" s="15"/>
    </row>
    <row r="209" spans="18:31" ht="18" x14ac:dyDescent="0.25">
      <c r="R209" s="15"/>
      <c r="S209" s="15"/>
      <c r="T209" s="15"/>
      <c r="U209" s="15"/>
      <c r="W209" s="15"/>
      <c r="X209" s="15"/>
      <c r="Y209" s="15"/>
      <c r="Z209" s="15"/>
      <c r="AB209" s="15"/>
      <c r="AC209" s="15"/>
      <c r="AD209" s="15"/>
      <c r="AE209" s="15"/>
    </row>
    <row r="210" spans="18:31" ht="18" x14ac:dyDescent="0.25">
      <c r="R210" s="15"/>
      <c r="S210" s="15"/>
      <c r="T210" s="15"/>
      <c r="U210" s="15"/>
      <c r="W210" s="15"/>
      <c r="X210" s="15"/>
      <c r="Y210" s="15"/>
      <c r="Z210" s="15"/>
      <c r="AB210" s="15"/>
      <c r="AC210" s="15"/>
      <c r="AD210" s="15"/>
      <c r="AE210" s="15"/>
    </row>
    <row r="211" spans="18:31" ht="18" x14ac:dyDescent="0.25">
      <c r="R211" s="15"/>
      <c r="S211" s="15"/>
      <c r="T211" s="15"/>
      <c r="U211" s="15"/>
      <c r="W211" s="15"/>
      <c r="X211" s="15"/>
      <c r="Y211" s="15"/>
      <c r="Z211" s="15"/>
      <c r="AB211" s="15"/>
      <c r="AC211" s="15"/>
      <c r="AD211" s="15"/>
      <c r="AE211" s="15"/>
    </row>
    <row r="212" spans="18:31" ht="18" x14ac:dyDescent="0.25">
      <c r="R212" s="15"/>
      <c r="S212" s="15"/>
      <c r="T212" s="15"/>
      <c r="U212" s="15"/>
      <c r="W212" s="15"/>
      <c r="X212" s="15"/>
      <c r="Y212" s="15"/>
      <c r="Z212" s="15"/>
      <c r="AB212" s="15"/>
      <c r="AC212" s="15"/>
      <c r="AD212" s="15"/>
      <c r="AE212" s="15"/>
    </row>
    <row r="213" spans="18:31" ht="18" x14ac:dyDescent="0.25">
      <c r="R213" s="15"/>
      <c r="S213" s="15"/>
      <c r="T213" s="15"/>
      <c r="U213" s="15"/>
      <c r="W213" s="15"/>
      <c r="X213" s="15"/>
      <c r="Y213" s="15"/>
      <c r="Z213" s="15"/>
      <c r="AB213" s="15"/>
      <c r="AC213" s="15"/>
      <c r="AD213" s="15"/>
      <c r="AE213" s="15"/>
    </row>
    <row r="214" spans="18:31" ht="18" x14ac:dyDescent="0.25">
      <c r="R214" s="15"/>
      <c r="S214" s="15"/>
      <c r="T214" s="15"/>
      <c r="U214" s="15"/>
      <c r="W214" s="15"/>
      <c r="X214" s="15"/>
      <c r="Y214" s="15"/>
      <c r="Z214" s="15"/>
      <c r="AB214" s="15"/>
      <c r="AC214" s="15"/>
      <c r="AD214" s="15"/>
      <c r="AE214" s="15"/>
    </row>
    <row r="215" spans="18:31" ht="18" x14ac:dyDescent="0.25">
      <c r="R215" s="15"/>
      <c r="S215" s="15"/>
      <c r="T215" s="15"/>
      <c r="U215" s="15"/>
      <c r="W215" s="15"/>
      <c r="X215" s="15"/>
      <c r="Y215" s="15"/>
      <c r="Z215" s="15"/>
      <c r="AB215" s="15"/>
      <c r="AC215" s="15"/>
      <c r="AD215" s="15"/>
      <c r="AE215" s="15"/>
    </row>
    <row r="216" spans="18:31" ht="18" x14ac:dyDescent="0.25">
      <c r="R216" s="15"/>
      <c r="S216" s="15"/>
      <c r="T216" s="15"/>
      <c r="U216" s="15"/>
      <c r="W216" s="15"/>
      <c r="X216" s="15"/>
      <c r="Y216" s="15"/>
      <c r="Z216" s="15"/>
      <c r="AB216" s="15"/>
      <c r="AC216" s="15"/>
      <c r="AD216" s="15"/>
      <c r="AE216" s="15"/>
    </row>
  </sheetData>
  <mergeCells count="7">
    <mergeCell ref="W1:Z1"/>
    <mergeCell ref="AB1:AE1"/>
    <mergeCell ref="A21:J21"/>
    <mergeCell ref="A32:J32"/>
    <mergeCell ref="A1:J1"/>
    <mergeCell ref="L1:P1"/>
    <mergeCell ref="R1:U1"/>
  </mergeCells>
  <phoneticPr fontId="9" type="noConversion"/>
  <pageMargins left="0.7" right="0.7" top="0.75" bottom="0.75" header="0.3" footer="0.3"/>
  <pageSetup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C26"/>
  <sheetViews>
    <sheetView zoomScale="90" zoomScaleNormal="90" zoomScaleSheetLayoutView="90" workbookViewId="0">
      <pane xSplit="7" ySplit="3" topLeftCell="BF4" activePane="bottomRight" state="frozen"/>
      <selection pane="topRight" activeCell="H1" sqref="H1"/>
      <selection pane="bottomLeft" activeCell="A3" sqref="A3"/>
      <selection pane="bottomRight" sqref="A1:C3"/>
    </sheetView>
  </sheetViews>
  <sheetFormatPr baseColWidth="10" defaultColWidth="11.42578125" defaultRowHeight="15" x14ac:dyDescent="0.25"/>
  <cols>
    <col min="1" max="1" width="4.85546875" customWidth="1"/>
    <col min="2" max="2" width="9.42578125" customWidth="1"/>
    <col min="3" max="3" width="11.5703125" style="3" customWidth="1"/>
    <col min="4" max="7" width="4.28515625" style="3" customWidth="1"/>
    <col min="8" max="8" width="3.5703125" style="3" customWidth="1"/>
    <col min="9" max="107" width="2.7109375" style="3" customWidth="1"/>
    <col min="108" max="16384" width="11.42578125" style="3"/>
  </cols>
  <sheetData>
    <row r="1" spans="1:107" ht="13.9" customHeight="1" x14ac:dyDescent="0.25">
      <c r="A1" s="171" t="str">
        <f>Equipos!B3</f>
        <v>Los Amigos</v>
      </c>
      <c r="B1" s="171"/>
      <c r="C1" s="171"/>
      <c r="H1" s="172" t="s">
        <v>5</v>
      </c>
      <c r="I1" s="173"/>
      <c r="J1" s="173"/>
      <c r="K1" s="174"/>
      <c r="L1" s="172" t="s">
        <v>6</v>
      </c>
      <c r="M1" s="173"/>
      <c r="N1" s="173"/>
      <c r="O1" s="174"/>
      <c r="P1" s="172" t="s">
        <v>7</v>
      </c>
      <c r="Q1" s="173"/>
      <c r="R1" s="173"/>
      <c r="S1" s="174"/>
      <c r="T1" s="172" t="s">
        <v>8</v>
      </c>
      <c r="U1" s="173"/>
      <c r="V1" s="173"/>
      <c r="W1" s="174"/>
      <c r="X1" s="172" t="s">
        <v>9</v>
      </c>
      <c r="Y1" s="173"/>
      <c r="Z1" s="173"/>
      <c r="AA1" s="174"/>
      <c r="AB1" s="172" t="s">
        <v>10</v>
      </c>
      <c r="AC1" s="173"/>
      <c r="AD1" s="173"/>
      <c r="AE1" s="174"/>
      <c r="AF1" s="172" t="s">
        <v>11</v>
      </c>
      <c r="AG1" s="173"/>
      <c r="AH1" s="173"/>
      <c r="AI1" s="174"/>
      <c r="AJ1" s="172" t="s">
        <v>12</v>
      </c>
      <c r="AK1" s="173"/>
      <c r="AL1" s="173"/>
      <c r="AM1" s="174"/>
      <c r="AN1" s="172" t="s">
        <v>13</v>
      </c>
      <c r="AO1" s="173"/>
      <c r="AP1" s="173"/>
      <c r="AQ1" s="174"/>
      <c r="AR1" s="172" t="s">
        <v>14</v>
      </c>
      <c r="AS1" s="173"/>
      <c r="AT1" s="173"/>
      <c r="AU1" s="174"/>
      <c r="AV1" s="172" t="s">
        <v>15</v>
      </c>
      <c r="AW1" s="173"/>
      <c r="AX1" s="173"/>
      <c r="AY1" s="174"/>
      <c r="AZ1" s="172" t="s">
        <v>16</v>
      </c>
      <c r="BA1" s="173"/>
      <c r="BB1" s="173"/>
      <c r="BC1" s="174"/>
      <c r="BD1" s="172" t="s">
        <v>17</v>
      </c>
      <c r="BE1" s="173"/>
      <c r="BF1" s="173"/>
      <c r="BG1" s="174"/>
      <c r="BH1" s="172" t="s">
        <v>18</v>
      </c>
      <c r="BI1" s="173"/>
      <c r="BJ1" s="173"/>
      <c r="BK1" s="174"/>
      <c r="BL1" s="172" t="s">
        <v>19</v>
      </c>
      <c r="BM1" s="173"/>
      <c r="BN1" s="173"/>
      <c r="BO1" s="174"/>
      <c r="BP1" s="172" t="s">
        <v>20</v>
      </c>
      <c r="BQ1" s="173"/>
      <c r="BR1" s="173"/>
      <c r="BS1" s="174"/>
      <c r="BT1" s="172" t="s">
        <v>51</v>
      </c>
      <c r="BU1" s="173"/>
      <c r="BV1" s="173"/>
      <c r="BW1" s="174"/>
      <c r="BX1" s="172" t="s">
        <v>81</v>
      </c>
      <c r="BY1" s="173"/>
      <c r="BZ1" s="173"/>
      <c r="CA1" s="174"/>
      <c r="CB1" s="172" t="s">
        <v>83</v>
      </c>
      <c r="CC1" s="173"/>
      <c r="CD1" s="173"/>
      <c r="CE1" s="174"/>
      <c r="CF1" s="172" t="s">
        <v>84</v>
      </c>
      <c r="CG1" s="173"/>
      <c r="CH1" s="173"/>
      <c r="CI1" s="174"/>
      <c r="CJ1" s="172" t="s">
        <v>85</v>
      </c>
      <c r="CK1" s="173"/>
      <c r="CL1" s="173"/>
      <c r="CM1" s="174"/>
      <c r="CN1" s="172" t="s">
        <v>93</v>
      </c>
      <c r="CO1" s="173"/>
      <c r="CP1" s="173"/>
      <c r="CQ1" s="174"/>
      <c r="CR1" s="172" t="s">
        <v>94</v>
      </c>
      <c r="CS1" s="173"/>
      <c r="CT1" s="173"/>
      <c r="CU1" s="174"/>
      <c r="CV1" s="172" t="s">
        <v>95</v>
      </c>
      <c r="CW1" s="173"/>
      <c r="CX1" s="173"/>
      <c r="CY1" s="174"/>
      <c r="CZ1" s="172" t="s">
        <v>96</v>
      </c>
      <c r="DA1" s="173"/>
      <c r="DB1" s="173"/>
      <c r="DC1" s="174"/>
    </row>
    <row r="2" spans="1:107" ht="13.9" customHeight="1" x14ac:dyDescent="0.25">
      <c r="A2" s="171"/>
      <c r="B2" s="171"/>
      <c r="C2" s="171"/>
      <c r="D2" s="143" t="s">
        <v>272</v>
      </c>
      <c r="E2" s="143"/>
      <c r="F2" s="143"/>
      <c r="G2" s="144"/>
      <c r="H2" s="140" t="str">
        <f>+_xlfn.XLOOKUP($A$1,Fixture!$D$2:$D$9,Fixture!$F$2:$F$9,_xlfn.XLOOKUP($A$1,Fixture!$F$2:$F$9,Fixture!$D$2:$D$9,"Descansa",FALSE))</f>
        <v>La Nueva Era</v>
      </c>
      <c r="I2" s="141"/>
      <c r="J2" s="141"/>
      <c r="K2" s="142"/>
      <c r="L2" s="140" t="str">
        <f>+_xlfn.XLOOKUP($A$1,Fixture!$D$10:$D$17,Fixture!$F$10:$F$17,_xlfn.XLOOKUP($A$1,Fixture!$F$10:$F$17,Fixture!$D$10:$D$17,"Descansa",FALSE))</f>
        <v>La Amistad</v>
      </c>
      <c r="M2" s="141"/>
      <c r="N2" s="141"/>
      <c r="O2" s="142"/>
      <c r="P2" s="175" t="str">
        <f>+_xlfn.XLOOKUP($A$1,Fixture!$D$18:$D$25,Fixture!$F$18:$F$25,_xlfn.XLOOKUP($A$1,Fixture!$F$18:$F$25,Fixture!$D$18:$D$25,"Descansa",FALSE))</f>
        <v>Atalanta</v>
      </c>
      <c r="Q2" s="176"/>
      <c r="R2" s="176"/>
      <c r="S2" s="177"/>
      <c r="T2" s="140" t="str">
        <f>+_xlfn.XLOOKUP($A$1,Fixture!$D$26:$D$33,Fixture!$F$26:$F$33,_xlfn.XLOOKUP($A$1,Fixture!$F$26:$F$33,Fixture!$D$26:$D$33,"Descansa",FALSE))</f>
        <v>Villanueva</v>
      </c>
      <c r="U2" s="141"/>
      <c r="V2" s="141"/>
      <c r="W2" s="142"/>
      <c r="X2" s="140" t="str">
        <f>+_xlfn.XLOOKUP($A$1,Fixture!$D$34:$D$41,Fixture!$F$34:$F$41,_xlfn.XLOOKUP($A$1,Fixture!$F$34:$F$41,Fixture!$D$34:$D$41,"Descansa",FALSE))</f>
        <v>Ron Star</v>
      </c>
      <c r="Y2" s="141"/>
      <c r="Z2" s="141"/>
      <c r="AA2" s="142"/>
      <c r="AB2" s="140" t="str">
        <f>+_xlfn.XLOOKUP($A$1,Fixture!$D$42:$D$49,Fixture!$F$42:$F$49,_xlfn.XLOOKUP($A$1,Fixture!$F$42:$F$49,Fixture!$D$42:$D$49,"Descansa",FALSE))</f>
        <v>Amenadim</v>
      </c>
      <c r="AC2" s="141"/>
      <c r="AD2" s="141"/>
      <c r="AE2" s="142"/>
      <c r="AF2" s="140" t="str">
        <f>+_xlfn.XLOOKUP($A$1,Fixture!$D$50:$D$57,Fixture!$F$50:$F$57,_xlfn.XLOOKUP($A$1,Fixture!$F$50:$F$57,Fixture!$D$50:$D$57,"Descansa",FALSE))</f>
        <v>Hojas Anchas</v>
      </c>
      <c r="AG2" s="141"/>
      <c r="AH2" s="141"/>
      <c r="AI2" s="142"/>
      <c r="AJ2" s="140" t="str">
        <f>+_xlfn.XLOOKUP($A$1,Fixture!$D$58:$D$65,Fixture!$F$58:$F$65,_xlfn.XLOOKUP($A$1,Fixture!$F$58:$F$65,Fixture!$D$58:$D$65,"Descansa",FALSE))</f>
        <v>Los Aliados</v>
      </c>
      <c r="AK2" s="141"/>
      <c r="AL2" s="141"/>
      <c r="AM2" s="142"/>
      <c r="AN2" s="140" t="str">
        <f>+_xlfn.XLOOKUP($A$1,Fixture!$D$66:$D$73,Fixture!$F$66:$F$73,_xlfn.XLOOKUP($A$1,Fixture!$F$66:$F$73,Fixture!$D$66:$D$73,"Descansa",FALSE))</f>
        <v>Boca Juniors</v>
      </c>
      <c r="AO2" s="141"/>
      <c r="AP2" s="141"/>
      <c r="AQ2" s="142"/>
      <c r="AR2" s="140" t="str">
        <f>+_xlfn.XLOOKUP($A$1,Fixture!$D$74:$D$81,Fixture!$F$74:$F$81,_xlfn.XLOOKUP($A$1,Fixture!$F$74:$F$81,Fixture!$D$74:$D$81,"Descansa",FALSE))</f>
        <v>Deportivo Fénix</v>
      </c>
      <c r="AS2" s="141"/>
      <c r="AT2" s="141"/>
      <c r="AU2" s="142"/>
      <c r="AV2" s="140" t="str">
        <f>+_xlfn.XLOOKUP($A$1,Fixture!$D$82:$D$89,Fixture!$F$82:$F$89,_xlfn.XLOOKUP($A$1,Fixture!$F$82:$F$89,Fixture!$D$82:$D$89,"Descansa",FALSE))</f>
        <v>Rayos FC</v>
      </c>
      <c r="AW2" s="141"/>
      <c r="AX2" s="141"/>
      <c r="AY2" s="142"/>
      <c r="AZ2" s="140" t="str">
        <f>+_xlfn.XLOOKUP($A$1,Fixture!$D$90:$D$97,Fixture!$F$90:$F$97,_xlfn.XLOOKUP($A$1,Fixture!$F$90:$F$97,Fixture!$D$90:$D$97,"Descansa",FALSE))</f>
        <v>La Unión FC</v>
      </c>
      <c r="BA2" s="141"/>
      <c r="BB2" s="141"/>
      <c r="BC2" s="142"/>
      <c r="BD2" s="140" t="str">
        <f>+_xlfn.XLOOKUP($A$1,Fixture!$D$98:$D$105,Fixture!$F$98:$F$105,_xlfn.XLOOKUP($A$1,Fixture!$F$98:$F$105,Fixture!$D$98:$D$105,"Descansa",FALSE))</f>
        <v>CD El Corozo</v>
      </c>
      <c r="BE2" s="141"/>
      <c r="BF2" s="141"/>
      <c r="BG2" s="142"/>
      <c r="BH2" s="140" t="str">
        <f>+_xlfn.XLOOKUP($A$1,Fixture!$D$106:$D$113,Fixture!$F$106:$F$113,_xlfn.XLOOKUP($A$1,Fixture!$F$106:$F$113,Fixture!$D$106:$D$113,"Descansa",FALSE))</f>
        <v>Konami</v>
      </c>
      <c r="BI2" s="141"/>
      <c r="BJ2" s="141"/>
      <c r="BK2" s="142"/>
      <c r="BL2" s="140" t="str">
        <f>+_xlfn.XLOOKUP($A$1,Fixture!$D$114:$D$121,Fixture!$F$114:$F$121,_xlfn.XLOOKUP($A$1,Fixture!$F$114:$F$121,Fixture!$D$114:$D$121,"Descansa",FALSE))</f>
        <v>Valentín FC</v>
      </c>
      <c r="BM2" s="141"/>
      <c r="BN2" s="141"/>
      <c r="BO2" s="142"/>
      <c r="BP2" s="140" t="str">
        <f>+_xlfn.XLOOKUP($A$1,Fixture!$D$122:$D$128,Fixture!$F$122:$F$128,_xlfn.XLOOKUP($A$1,Fixture!$F$122:$F$128,Fixture!$D$122:$D$128,"Descansa",FALSE))</f>
        <v>Valentín FC</v>
      </c>
      <c r="BQ2" s="141"/>
      <c r="BR2" s="141"/>
      <c r="BS2" s="142"/>
      <c r="BT2" s="140" t="str">
        <f>+_xlfn.XLOOKUP($A$1,Fixture!$D$129:$D$135,Fixture!$F$129:$F$135,_xlfn.XLOOKUP($A$1,Fixture!$F$129:$F$135,Fixture!$D$129:$D$135,"Descansa",FALSE))</f>
        <v>La Unión FC</v>
      </c>
      <c r="BU2" s="141"/>
      <c r="BV2" s="141"/>
      <c r="BW2" s="142"/>
      <c r="BX2" s="140" t="str">
        <f>+_xlfn.XLOOKUP($A$1,Fixture!$D$136:$D$141,Fixture!$F$136:$F$141,_xlfn.XLOOKUP($A$1,Fixture!$F$136:$F$141,Fixture!$D$136:$D$141,"Descansa",FALSE))</f>
        <v>Boca Juniors</v>
      </c>
      <c r="BY2" s="141"/>
      <c r="BZ2" s="141"/>
      <c r="CA2" s="142"/>
      <c r="CB2" s="140" t="str">
        <f>+_xlfn.XLOOKUP($A$1,Fixture!$D$142:$D$149,Fixture!$F$142:$F$149,_xlfn.XLOOKUP($A$1,Fixture!$F$142:$F$149,Fixture!$D$142:$D$149,"Descansa",FALSE))</f>
        <v>Los Aliados</v>
      </c>
      <c r="CC2" s="141"/>
      <c r="CD2" s="141"/>
      <c r="CE2" s="142"/>
      <c r="CF2" s="140" t="str">
        <f>+_xlfn.XLOOKUP($A$1,Fixture!$D$150:$D$155,Fixture!$F$150:$F$155,_xlfn.XLOOKUP($A$1,Fixture!$F$150:$F$155,Fixture!$D$150:$D$155,"Descansa",FALSE))</f>
        <v>Atalanta</v>
      </c>
      <c r="CG2" s="141"/>
      <c r="CH2" s="141"/>
      <c r="CI2" s="142"/>
      <c r="CJ2" s="140" t="str">
        <f>+_xlfn.XLOOKUP($A$1,Fixture!$D$156:$D$161,Fixture!$F$156:$F$161,_xlfn.XLOOKUP($A$1,Fixture!$F$156:$F$161,Fixture!$D$156:$D$161,"Descansa",FALSE))</f>
        <v>Ron Star</v>
      </c>
      <c r="CK2" s="141"/>
      <c r="CL2" s="141"/>
      <c r="CM2" s="142"/>
      <c r="CN2" s="140" t="str">
        <f>+_xlfn.XLOOKUP($A$1,Fixture!$D$162:$D$167,Fixture!$F$162:$F$167,_xlfn.XLOOKUP($A$1,Fixture!$F$162:$F$167,Fixture!$D$162:$D$167,"Descansa",FALSE))</f>
        <v>Hojas Anchas</v>
      </c>
      <c r="CO2" s="141"/>
      <c r="CP2" s="141"/>
      <c r="CQ2" s="142"/>
      <c r="CR2" s="140" t="str">
        <f>+_xlfn.XLOOKUP($A$1,Fixture!$D$168:$D$169,Fixture!$F$168:$F$169,_xlfn.XLOOKUP($A$1,Fixture!$F$168:$F$169,Fixture!$D$168:$D$169,"Descanssa",FALSE))</f>
        <v>Descanssa</v>
      </c>
      <c r="CS2" s="141"/>
      <c r="CT2" s="141"/>
      <c r="CU2" s="142"/>
      <c r="CV2" s="140" t="str">
        <f>+_xlfn.XLOOKUP($A$1,Fixture!$D$170:$D$171,Fixture!$F$170:$F$171,_xlfn.XLOOKUP($A$1,Fixture!$F$170:$F$171,Fixture!$D$170:$D$171,"Descansa",FALSE))</f>
        <v>Descansa</v>
      </c>
      <c r="CW2" s="141"/>
      <c r="CX2" s="141"/>
      <c r="CY2" s="142"/>
      <c r="CZ2" s="72"/>
      <c r="DA2" s="73"/>
      <c r="DB2" s="73"/>
      <c r="DC2" s="74"/>
    </row>
    <row r="3" spans="1:107" ht="14.45" customHeight="1" x14ac:dyDescent="0.25">
      <c r="A3" s="171"/>
      <c r="B3" s="171"/>
      <c r="C3" s="171"/>
      <c r="D3" s="22" t="s">
        <v>89</v>
      </c>
      <c r="E3" s="22" t="s">
        <v>90</v>
      </c>
      <c r="F3" s="22" t="s">
        <v>91</v>
      </c>
      <c r="G3" s="24" t="s">
        <v>92</v>
      </c>
      <c r="H3" s="166">
        <f>IF(Fixture!$C9=0,"",Fixture!$C9)</f>
        <v>45809</v>
      </c>
      <c r="I3" s="167"/>
      <c r="J3" s="167"/>
      <c r="K3" s="168"/>
      <c r="L3" s="166">
        <f>IF(Fixture!$C14=0,"",Fixture!$C14)</f>
        <v>45683</v>
      </c>
      <c r="M3" s="167"/>
      <c r="N3" s="167"/>
      <c r="O3" s="168"/>
      <c r="P3" s="166">
        <f>IF(Fixture!$C20=0,"",Fixture!$C20)</f>
        <v>45690</v>
      </c>
      <c r="Q3" s="167"/>
      <c r="R3" s="167"/>
      <c r="S3" s="168"/>
      <c r="T3" s="166">
        <f>IF(Fixture!$C29=0,"",Fixture!$C29)</f>
        <v>45697</v>
      </c>
      <c r="U3" s="167"/>
      <c r="V3" s="167"/>
      <c r="W3" s="168"/>
      <c r="X3" s="166">
        <f>IF(Fixture!$C38=0,"",Fixture!$C38)</f>
        <v>45704</v>
      </c>
      <c r="Y3" s="167"/>
      <c r="Z3" s="167"/>
      <c r="AA3" s="168"/>
      <c r="AB3" s="166">
        <f>IF(Fixture!$C45=0,"",Fixture!$C45)</f>
        <v>45711</v>
      </c>
      <c r="AC3" s="167"/>
      <c r="AD3" s="167"/>
      <c r="AE3" s="168"/>
      <c r="AF3" s="166">
        <f>IF(Fixture!$C54=0,"",Fixture!$C54)</f>
        <v>45718</v>
      </c>
      <c r="AG3" s="167"/>
      <c r="AH3" s="167"/>
      <c r="AI3" s="168"/>
      <c r="AJ3" s="166">
        <f>IF(Fixture!$C60=0,"",Fixture!$C60)</f>
        <v>45725</v>
      </c>
      <c r="AK3" s="167"/>
      <c r="AL3" s="167"/>
      <c r="AM3" s="168"/>
      <c r="AN3" s="166">
        <f>IF(Fixture!$C68=0,"",Fixture!$C68)</f>
        <v>45704</v>
      </c>
      <c r="AO3" s="167"/>
      <c r="AP3" s="167"/>
      <c r="AQ3" s="168"/>
      <c r="AR3" s="166">
        <f>IF(Fixture!$C75=0,"",Fixture!$C75)</f>
        <v>45746</v>
      </c>
      <c r="AS3" s="167"/>
      <c r="AT3" s="167"/>
      <c r="AU3" s="168"/>
      <c r="AV3" s="166">
        <f>IF(Fixture!$C83=0,"",Fixture!$C83)</f>
        <v>45753</v>
      </c>
      <c r="AW3" s="167"/>
      <c r="AX3" s="167"/>
      <c r="AY3" s="168"/>
      <c r="AZ3" s="166">
        <f>IF(Fixture!$C90=0,"",Fixture!$C90)</f>
        <v>45774</v>
      </c>
      <c r="BA3" s="167"/>
      <c r="BB3" s="167"/>
      <c r="BC3" s="168"/>
      <c r="BD3" s="166">
        <f>IF(Fixture!$C98=0,"",Fixture!$C98)</f>
        <v>45781</v>
      </c>
      <c r="BE3" s="167"/>
      <c r="BF3" s="167"/>
      <c r="BG3" s="168"/>
      <c r="BH3" s="163" t="e">
        <f>+VLOOKUP(BH1,Resultados!$A$3:$B$71,2,FALSE)</f>
        <v>#N/A</v>
      </c>
      <c r="BI3" s="164"/>
      <c r="BJ3" s="164"/>
      <c r="BK3" s="165"/>
      <c r="BL3" s="163" t="e">
        <f>+VLOOKUP(BL1,Resultados!$A$3:$B$71,2,FALSE)</f>
        <v>#N/A</v>
      </c>
      <c r="BM3" s="164"/>
      <c r="BN3" s="164"/>
      <c r="BO3" s="165"/>
      <c r="BP3" s="163" t="e">
        <f>+VLOOKUP(BP1,Resultados!$A$3:$B$71,2,FALSE)</f>
        <v>#N/A</v>
      </c>
      <c r="BQ3" s="164"/>
      <c r="BR3" s="164"/>
      <c r="BS3" s="165"/>
      <c r="BT3" s="163" t="e">
        <f>+VLOOKUP(BT1,Resultados!$A$3:$B$71,2,FALSE)</f>
        <v>#N/A</v>
      </c>
      <c r="BU3" s="164"/>
      <c r="BV3" s="164"/>
      <c r="BW3" s="165"/>
      <c r="BX3" s="163" t="e">
        <f>+VLOOKUP(BX1,Resultados!$A$3:$B$71,2,FALSE)</f>
        <v>#N/A</v>
      </c>
      <c r="BY3" s="164"/>
      <c r="BZ3" s="164"/>
      <c r="CA3" s="165"/>
      <c r="CB3" s="163" t="e">
        <f>+VLOOKUP(CB1,Resultados!$A$3:$B$71,2,FALSE)</f>
        <v>#N/A</v>
      </c>
      <c r="CC3" s="164"/>
      <c r="CD3" s="164"/>
      <c r="CE3" s="165"/>
      <c r="CF3" s="163" t="e">
        <f>+VLOOKUP(CF1,Resultados!$A$3:$B$71,2,FALSE)</f>
        <v>#N/A</v>
      </c>
      <c r="CG3" s="164"/>
      <c r="CH3" s="164"/>
      <c r="CI3" s="165"/>
      <c r="CJ3" s="163" t="e">
        <f>+VLOOKUP(CJ1,Resultados!$A$3:$B$71,2,FALSE)</f>
        <v>#N/A</v>
      </c>
      <c r="CK3" s="164"/>
      <c r="CL3" s="164"/>
      <c r="CM3" s="165"/>
      <c r="CN3" s="163" t="e">
        <f>+VLOOKUP(CN1,Resultados!$A$3:$B$71,2,FALSE)</f>
        <v>#N/A</v>
      </c>
      <c r="CO3" s="164"/>
      <c r="CP3" s="164"/>
      <c r="CQ3" s="165"/>
      <c r="CR3" s="163" t="e">
        <f>+VLOOKUP(CR1,Resultados!$A$3:$B$71,2,FALSE)</f>
        <v>#N/A</v>
      </c>
      <c r="CS3" s="164"/>
      <c r="CT3" s="164"/>
      <c r="CU3" s="165"/>
      <c r="CV3" s="163" t="e">
        <f>+VLOOKUP(CV1,Resultados!$A$3:$B$71,2,FALSE)</f>
        <v>#N/A</v>
      </c>
      <c r="CW3" s="164"/>
      <c r="CX3" s="164"/>
      <c r="CY3" s="165"/>
      <c r="CZ3" s="163" t="e">
        <f>+VLOOKUP(CZ1,Resultados!$A$3:$B$71,2,FALSE)</f>
        <v>#N/A</v>
      </c>
      <c r="DA3" s="164"/>
      <c r="DB3" s="164"/>
      <c r="DC3" s="165"/>
    </row>
    <row r="4" spans="1:107" ht="19.899999999999999" customHeight="1" x14ac:dyDescent="0.25">
      <c r="A4" s="169" t="s">
        <v>3</v>
      </c>
      <c r="B4" s="154" t="str">
        <f>Jugadores!A3</f>
        <v>Cristián Álzate</v>
      </c>
      <c r="C4" s="155"/>
      <c r="D4" s="24">
        <f>H4+L4+P4+T4+X4+AB4+AF4+AJ4+AN4+AR4+AV4+AZ4+BD4+BH4+BL4+BP4+BT4+BX4+CB4+CF4+CJ4+CN4+CR4+CV4+CZ4</f>
        <v>8</v>
      </c>
      <c r="E4" s="24">
        <f>I4+M4+Q4+U4+Y4+AC4+AG4+AK4+AO4+AS4+AW4+BA4+BE4+BI4+BM4+BQ4+BV4+BY4+CD4+CG4+CL4+CO4+CT4+CW4+DB4</f>
        <v>2</v>
      </c>
      <c r="F4" s="115">
        <f>J4+N4+R4+V4+Z4+AD4+AH4+AL4+AP4+AT4+AX4+BB4+BF4+BJ4+BN4+BT4+BX4+CB4+CF4+CJ4+CN4+CR4+CV4+CZ4</f>
        <v>5</v>
      </c>
      <c r="G4" s="115">
        <f>K4+O4+S4+W4+AA4+AE4+AI4+AM4+AQ4+AU4+AY4+BC4+BG4+BK4+BO4+BV4+BY4+CD4+CG4+CL4+CO4+CT4+CW4+DB4</f>
        <v>0</v>
      </c>
      <c r="H4" s="28"/>
      <c r="I4" s="26"/>
      <c r="J4" s="26"/>
      <c r="K4" s="29"/>
      <c r="L4" s="28">
        <v>1</v>
      </c>
      <c r="M4" s="26"/>
      <c r="N4" s="26"/>
      <c r="O4" s="29"/>
      <c r="P4" s="28"/>
      <c r="Q4" s="26"/>
      <c r="R4" s="26"/>
      <c r="S4" s="29"/>
      <c r="T4" s="28"/>
      <c r="U4" s="26"/>
      <c r="V4" s="26"/>
      <c r="W4" s="29"/>
      <c r="X4" s="28"/>
      <c r="Y4" s="26"/>
      <c r="Z4" s="26"/>
      <c r="AA4" s="29"/>
      <c r="AB4" s="28">
        <v>1</v>
      </c>
      <c r="AC4" s="26"/>
      <c r="AD4" s="26"/>
      <c r="AE4" s="29"/>
      <c r="AF4" s="28"/>
      <c r="AG4" s="26"/>
      <c r="AH4" s="26"/>
      <c r="AI4" s="29"/>
      <c r="AJ4" s="28"/>
      <c r="AK4" s="26"/>
      <c r="AL4" s="26"/>
      <c r="AM4" s="29"/>
      <c r="AN4" s="28"/>
      <c r="AO4" s="26"/>
      <c r="AP4" s="26"/>
      <c r="AQ4" s="29"/>
      <c r="AR4" s="28"/>
      <c r="AS4" s="26"/>
      <c r="AT4" s="26"/>
      <c r="AU4" s="29"/>
      <c r="AV4" s="28"/>
      <c r="AW4" s="26"/>
      <c r="AX4" s="26"/>
      <c r="AY4" s="29"/>
      <c r="AZ4" s="28"/>
      <c r="BA4" s="26"/>
      <c r="BB4" s="26"/>
      <c r="BC4" s="29"/>
      <c r="BD4" s="28"/>
      <c r="BE4" s="26"/>
      <c r="BF4" s="26"/>
      <c r="BG4" s="29"/>
      <c r="BH4" s="28"/>
      <c r="BI4" s="26">
        <v>1</v>
      </c>
      <c r="BJ4" s="26"/>
      <c r="BK4" s="29"/>
      <c r="BL4" s="28"/>
      <c r="BM4" s="26">
        <v>1</v>
      </c>
      <c r="BN4" s="26"/>
      <c r="BO4" s="29"/>
      <c r="BP4" s="28">
        <v>1</v>
      </c>
      <c r="BQ4" s="26"/>
      <c r="BR4" s="26"/>
      <c r="BS4" s="29"/>
      <c r="BT4" s="28"/>
      <c r="BU4" s="26"/>
      <c r="BV4" s="26"/>
      <c r="BW4" s="29"/>
      <c r="BX4" s="28">
        <v>1</v>
      </c>
      <c r="BY4" s="26"/>
      <c r="BZ4" s="26"/>
      <c r="CA4" s="29"/>
      <c r="CB4" s="28"/>
      <c r="CC4" s="26"/>
      <c r="CD4" s="26"/>
      <c r="CE4" s="29"/>
      <c r="CF4" s="28">
        <v>3</v>
      </c>
      <c r="CG4" s="26"/>
      <c r="CH4" s="26"/>
      <c r="CI4" s="29"/>
      <c r="CJ4" s="28"/>
      <c r="CK4" s="26">
        <v>1</v>
      </c>
      <c r="CL4" s="26"/>
      <c r="CM4" s="29"/>
      <c r="CN4" s="28"/>
      <c r="CO4" s="26"/>
      <c r="CP4" s="26"/>
      <c r="CQ4" s="29"/>
      <c r="CR4" s="28"/>
      <c r="CS4" s="26"/>
      <c r="CT4" s="26"/>
      <c r="CU4" s="29"/>
      <c r="CV4" s="28">
        <v>1</v>
      </c>
      <c r="CW4" s="26"/>
      <c r="CX4" s="26"/>
      <c r="CY4" s="29"/>
      <c r="CZ4" s="28"/>
      <c r="DA4" s="26"/>
      <c r="DB4" s="26"/>
      <c r="DC4" s="29"/>
    </row>
    <row r="5" spans="1:107" ht="19.899999999999999" customHeight="1" x14ac:dyDescent="0.25">
      <c r="A5" s="169"/>
      <c r="B5" s="154" t="str">
        <f>Jugadores!A4</f>
        <v>Germán Arenas</v>
      </c>
      <c r="C5" s="155"/>
      <c r="D5" s="24">
        <f t="shared" ref="D5:D18" si="0">H5+L5+P5+T5+X5+AB5+AF5+AJ5+AN5+AR5+AV5+AZ5+BD5+BH5+BL5+BP5+BT5+BX5+CB5+CF5+CJ5+CN5+CR5+CV5+CZ5</f>
        <v>14</v>
      </c>
      <c r="E5" s="24">
        <f t="shared" ref="E5:E18" si="1">I5+M5+Q5+U5+Y5+AC5+AG5+AK5+AO5+AS5+AW5+BA5+BE5+BI5+BM5+BQ5+BV5+BY5+CD5+CG5+CL5+CO5+CT5+CW5+DB5</f>
        <v>0</v>
      </c>
      <c r="F5" s="115">
        <f t="shared" ref="F5:F18" si="2">J5+N5+R5+V5+Z5+AD5+AH5+AL5+AP5+AT5+AX5+BB5+BF5+BJ5+BN5+BT5+BX5+CB5+CF5+CJ5+CN5+CR5+CV5+CZ5</f>
        <v>4</v>
      </c>
      <c r="G5" s="115">
        <f t="shared" ref="G5:G18" si="3">K5+O5+S5+W5+AA5+AE5+AI5+AM5+AQ5+AU5+AY5+BC5+BG5+BK5+BO5+BV5+BY5+CD5+CG5+CL5+CO5+CT5+CW5+DB5</f>
        <v>0</v>
      </c>
      <c r="H5" s="28"/>
      <c r="I5" s="26"/>
      <c r="J5" s="26"/>
      <c r="K5" s="29"/>
      <c r="L5" s="28">
        <v>3</v>
      </c>
      <c r="M5" s="26"/>
      <c r="N5" s="26"/>
      <c r="O5" s="29"/>
      <c r="P5" s="28">
        <v>1</v>
      </c>
      <c r="Q5" s="26"/>
      <c r="R5" s="26"/>
      <c r="S5" s="29"/>
      <c r="T5" s="28">
        <v>2</v>
      </c>
      <c r="U5" s="26"/>
      <c r="V5" s="26"/>
      <c r="W5" s="29"/>
      <c r="X5" s="28"/>
      <c r="Y5" s="26"/>
      <c r="Z5" s="26"/>
      <c r="AA5" s="29"/>
      <c r="AB5" s="28"/>
      <c r="AC5" s="26"/>
      <c r="AD5" s="26"/>
      <c r="AE5" s="29"/>
      <c r="AF5" s="28">
        <v>2</v>
      </c>
      <c r="AG5" s="26"/>
      <c r="AH5" s="26"/>
      <c r="AI5" s="29"/>
      <c r="AJ5" s="28"/>
      <c r="AK5" s="26"/>
      <c r="AL5" s="26"/>
      <c r="AM5" s="29"/>
      <c r="AN5" s="28">
        <v>1</v>
      </c>
      <c r="AO5" s="26"/>
      <c r="AP5" s="26"/>
      <c r="AQ5" s="29"/>
      <c r="AR5" s="28">
        <v>1</v>
      </c>
      <c r="AS5" s="26"/>
      <c r="AT5" s="26"/>
      <c r="AU5" s="29"/>
      <c r="AV5" s="28"/>
      <c r="AW5" s="26"/>
      <c r="AX5" s="26"/>
      <c r="AY5" s="29"/>
      <c r="AZ5" s="28"/>
      <c r="BA5" s="26"/>
      <c r="BB5" s="26"/>
      <c r="BC5" s="29"/>
      <c r="BD5" s="28"/>
      <c r="BE5" s="26"/>
      <c r="BF5" s="26"/>
      <c r="BG5" s="29"/>
      <c r="BH5" s="28"/>
      <c r="BI5" s="26"/>
      <c r="BJ5" s="26"/>
      <c r="BK5" s="29"/>
      <c r="BL5" s="28"/>
      <c r="BM5" s="26"/>
      <c r="BN5" s="26"/>
      <c r="BO5" s="29"/>
      <c r="BP5" s="28"/>
      <c r="BQ5" s="26"/>
      <c r="BR5" s="26"/>
      <c r="BS5" s="29"/>
      <c r="BT5" s="28"/>
      <c r="BU5" s="26"/>
      <c r="BV5" s="26"/>
      <c r="BW5" s="29"/>
      <c r="BX5" s="28"/>
      <c r="BY5" s="26"/>
      <c r="BZ5" s="26"/>
      <c r="CA5" s="29"/>
      <c r="CB5" s="28">
        <v>1</v>
      </c>
      <c r="CC5" s="26"/>
      <c r="CD5" s="26"/>
      <c r="CE5" s="29"/>
      <c r="CF5" s="28"/>
      <c r="CG5" s="26"/>
      <c r="CH5" s="26"/>
      <c r="CI5" s="29"/>
      <c r="CJ5" s="28"/>
      <c r="CK5" s="26"/>
      <c r="CL5" s="26"/>
      <c r="CM5" s="29"/>
      <c r="CN5" s="28">
        <v>1</v>
      </c>
      <c r="CO5" s="26"/>
      <c r="CP5" s="26"/>
      <c r="CQ5" s="29"/>
      <c r="CR5" s="28">
        <v>2</v>
      </c>
      <c r="CS5" s="26"/>
      <c r="CT5" s="26"/>
      <c r="CU5" s="29"/>
      <c r="CV5" s="28"/>
      <c r="CW5" s="26"/>
      <c r="CX5" s="26"/>
      <c r="CY5" s="29"/>
      <c r="CZ5" s="28"/>
      <c r="DA5" s="26"/>
      <c r="DB5" s="26"/>
      <c r="DC5" s="29"/>
    </row>
    <row r="6" spans="1:107" ht="19.899999999999999" customHeight="1" x14ac:dyDescent="0.25">
      <c r="A6" s="169"/>
      <c r="B6" s="154" t="str">
        <f>Jugadores!A5</f>
        <v>Juan Felipe Rincón</v>
      </c>
      <c r="C6" s="155"/>
      <c r="D6" s="24">
        <f t="shared" si="0"/>
        <v>4</v>
      </c>
      <c r="E6" s="24">
        <f t="shared" si="1"/>
        <v>1</v>
      </c>
      <c r="F6" s="115">
        <f t="shared" si="2"/>
        <v>1</v>
      </c>
      <c r="G6" s="115">
        <f t="shared" si="3"/>
        <v>0</v>
      </c>
      <c r="H6" s="28"/>
      <c r="I6" s="26"/>
      <c r="J6" s="26"/>
      <c r="K6" s="29"/>
      <c r="L6" s="28"/>
      <c r="M6" s="26">
        <v>1</v>
      </c>
      <c r="N6" s="26"/>
      <c r="O6" s="29"/>
      <c r="P6" s="28">
        <v>1</v>
      </c>
      <c r="Q6" s="26"/>
      <c r="R6" s="26"/>
      <c r="S6" s="29"/>
      <c r="T6" s="28"/>
      <c r="U6" s="26"/>
      <c r="V6" s="26"/>
      <c r="W6" s="29"/>
      <c r="X6" s="28"/>
      <c r="Y6" s="26"/>
      <c r="Z6" s="26"/>
      <c r="AA6" s="29"/>
      <c r="AB6" s="28">
        <v>1</v>
      </c>
      <c r="AC6" s="26"/>
      <c r="AD6" s="26"/>
      <c r="AE6" s="29"/>
      <c r="AF6" s="28">
        <v>1</v>
      </c>
      <c r="AG6" s="26"/>
      <c r="AH6" s="26"/>
      <c r="AI6" s="29"/>
      <c r="AJ6" s="28"/>
      <c r="AK6" s="26"/>
      <c r="AL6" s="26"/>
      <c r="AM6" s="29"/>
      <c r="AN6" s="28"/>
      <c r="AO6" s="26"/>
      <c r="AP6" s="26"/>
      <c r="AQ6" s="29"/>
      <c r="AR6" s="28"/>
      <c r="AS6" s="26"/>
      <c r="AT6" s="26"/>
      <c r="AU6" s="29"/>
      <c r="AV6" s="28"/>
      <c r="AW6" s="26"/>
      <c r="AX6" s="26"/>
      <c r="AY6" s="29"/>
      <c r="AZ6" s="28"/>
      <c r="BA6" s="26"/>
      <c r="BB6" s="26"/>
      <c r="BC6" s="29"/>
      <c r="BD6" s="28"/>
      <c r="BE6" s="26"/>
      <c r="BF6" s="26"/>
      <c r="BG6" s="29"/>
      <c r="BH6" s="28"/>
      <c r="BI6" s="26"/>
      <c r="BJ6" s="26"/>
      <c r="BK6" s="29"/>
      <c r="BL6" s="28"/>
      <c r="BM6" s="26"/>
      <c r="BN6" s="26"/>
      <c r="BO6" s="29"/>
      <c r="BP6" s="28"/>
      <c r="BQ6" s="26"/>
      <c r="BR6" s="26"/>
      <c r="BS6" s="29"/>
      <c r="BT6" s="28"/>
      <c r="BU6" s="26"/>
      <c r="BV6" s="26"/>
      <c r="BW6" s="29"/>
      <c r="BX6" s="28">
        <v>1</v>
      </c>
      <c r="BY6" s="26"/>
      <c r="BZ6" s="26"/>
      <c r="CA6" s="29"/>
      <c r="CB6" s="28"/>
      <c r="CC6" s="26"/>
      <c r="CD6" s="26"/>
      <c r="CE6" s="29"/>
      <c r="CF6" s="28"/>
      <c r="CG6" s="26"/>
      <c r="CH6" s="26"/>
      <c r="CI6" s="29"/>
      <c r="CJ6" s="28"/>
      <c r="CK6" s="26"/>
      <c r="CL6" s="26"/>
      <c r="CM6" s="29"/>
      <c r="CN6" s="28"/>
      <c r="CO6" s="26"/>
      <c r="CP6" s="26"/>
      <c r="CQ6" s="29"/>
      <c r="CR6" s="28"/>
      <c r="CS6" s="26"/>
      <c r="CT6" s="26"/>
      <c r="CU6" s="29"/>
      <c r="CV6" s="28"/>
      <c r="CW6" s="26"/>
      <c r="CX6" s="26"/>
      <c r="CY6" s="29"/>
      <c r="CZ6" s="28"/>
      <c r="DA6" s="26"/>
      <c r="DB6" s="26"/>
      <c r="DC6" s="29"/>
    </row>
    <row r="7" spans="1:107" ht="19.899999999999999" customHeight="1" x14ac:dyDescent="0.25">
      <c r="A7" s="169"/>
      <c r="B7" s="154" t="str">
        <f>Jugadores!A6</f>
        <v>Santiago Cardona</v>
      </c>
      <c r="C7" s="155"/>
      <c r="D7" s="24">
        <f t="shared" si="0"/>
        <v>3</v>
      </c>
      <c r="E7" s="24">
        <f t="shared" si="1"/>
        <v>2</v>
      </c>
      <c r="F7" s="115">
        <f t="shared" si="2"/>
        <v>2</v>
      </c>
      <c r="G7" s="115">
        <f t="shared" si="3"/>
        <v>0</v>
      </c>
      <c r="H7" s="28">
        <v>1</v>
      </c>
      <c r="I7" s="26"/>
      <c r="J7" s="26"/>
      <c r="K7" s="29"/>
      <c r="L7" s="28"/>
      <c r="M7" s="26"/>
      <c r="N7" s="26"/>
      <c r="O7" s="29"/>
      <c r="P7" s="28"/>
      <c r="Q7" s="26"/>
      <c r="R7" s="26"/>
      <c r="S7" s="29"/>
      <c r="T7" s="28"/>
      <c r="U7" s="26"/>
      <c r="V7" s="26"/>
      <c r="W7" s="29"/>
      <c r="X7" s="28"/>
      <c r="Y7" s="26"/>
      <c r="Z7" s="26"/>
      <c r="AA7" s="29"/>
      <c r="AB7" s="28"/>
      <c r="AC7" s="26">
        <v>1</v>
      </c>
      <c r="AD7" s="26"/>
      <c r="AE7" s="29"/>
      <c r="AF7" s="28"/>
      <c r="AG7" s="26"/>
      <c r="AH7" s="26"/>
      <c r="AI7" s="29"/>
      <c r="AJ7" s="28"/>
      <c r="AK7" s="26"/>
      <c r="AL7" s="26"/>
      <c r="AM7" s="29"/>
      <c r="AN7" s="28"/>
      <c r="AO7" s="26"/>
      <c r="AP7" s="26"/>
      <c r="AQ7" s="29"/>
      <c r="AR7" s="28"/>
      <c r="AS7" s="26">
        <v>1</v>
      </c>
      <c r="AT7" s="26"/>
      <c r="AU7" s="29"/>
      <c r="AV7" s="28"/>
      <c r="AW7" s="26"/>
      <c r="AX7" s="26"/>
      <c r="AY7" s="29"/>
      <c r="AZ7" s="28"/>
      <c r="BA7" s="26"/>
      <c r="BB7" s="26"/>
      <c r="BC7" s="29"/>
      <c r="BD7" s="28"/>
      <c r="BE7" s="26"/>
      <c r="BF7" s="26"/>
      <c r="BG7" s="29"/>
      <c r="BH7" s="28"/>
      <c r="BI7" s="26"/>
      <c r="BJ7" s="26"/>
      <c r="BK7" s="29"/>
      <c r="BL7" s="28"/>
      <c r="BM7" s="26"/>
      <c r="BN7" s="26"/>
      <c r="BO7" s="29"/>
      <c r="BP7" s="28"/>
      <c r="BQ7" s="26"/>
      <c r="BR7" s="26"/>
      <c r="BS7" s="29"/>
      <c r="BT7" s="28"/>
      <c r="BU7" s="26"/>
      <c r="BV7" s="26"/>
      <c r="BW7" s="29"/>
      <c r="BX7" s="28"/>
      <c r="BY7" s="26"/>
      <c r="BZ7" s="26"/>
      <c r="CA7" s="29"/>
      <c r="CB7" s="28">
        <v>2</v>
      </c>
      <c r="CC7" s="26"/>
      <c r="CD7" s="26"/>
      <c r="CE7" s="29"/>
      <c r="CF7" s="28"/>
      <c r="CG7" s="26"/>
      <c r="CH7" s="26"/>
      <c r="CI7" s="29"/>
      <c r="CJ7" s="28"/>
      <c r="CK7" s="26"/>
      <c r="CL7" s="26"/>
      <c r="CM7" s="29"/>
      <c r="CN7" s="28"/>
      <c r="CO7" s="26"/>
      <c r="CP7" s="26"/>
      <c r="CQ7" s="29"/>
      <c r="CR7" s="28"/>
      <c r="CS7" s="26"/>
      <c r="CT7" s="26"/>
      <c r="CU7" s="29"/>
      <c r="CV7" s="28"/>
      <c r="CW7" s="26"/>
      <c r="CX7" s="26"/>
      <c r="CY7" s="29"/>
      <c r="CZ7" s="28"/>
      <c r="DA7" s="26"/>
      <c r="DB7" s="26"/>
      <c r="DC7" s="29"/>
    </row>
    <row r="8" spans="1:107" ht="19.899999999999999" customHeight="1" x14ac:dyDescent="0.25">
      <c r="A8" s="169"/>
      <c r="B8" s="154" t="str">
        <f>Jugadores!A7</f>
        <v xml:space="preserve">Héctor Iván Castrillón Hernández </v>
      </c>
      <c r="C8" s="155"/>
      <c r="D8" s="24">
        <f t="shared" si="0"/>
        <v>3</v>
      </c>
      <c r="E8" s="24">
        <f t="shared" si="1"/>
        <v>0</v>
      </c>
      <c r="F8" s="115">
        <f t="shared" si="2"/>
        <v>1</v>
      </c>
      <c r="G8" s="115">
        <f t="shared" si="3"/>
        <v>0</v>
      </c>
      <c r="H8" s="28"/>
      <c r="I8" s="26"/>
      <c r="J8" s="26"/>
      <c r="K8" s="29"/>
      <c r="L8" s="28"/>
      <c r="M8" s="26"/>
      <c r="N8" s="26"/>
      <c r="O8" s="29"/>
      <c r="P8" s="28">
        <v>2</v>
      </c>
      <c r="Q8" s="26"/>
      <c r="R8" s="26"/>
      <c r="S8" s="29"/>
      <c r="T8" s="28"/>
      <c r="U8" s="26"/>
      <c r="V8" s="26"/>
      <c r="W8" s="29"/>
      <c r="X8" s="28"/>
      <c r="Y8" s="26"/>
      <c r="Z8" s="26"/>
      <c r="AA8" s="29"/>
      <c r="AB8" s="28"/>
      <c r="AC8" s="26"/>
      <c r="AD8" s="26"/>
      <c r="AE8" s="29"/>
      <c r="AF8" s="28"/>
      <c r="AG8" s="26"/>
      <c r="AH8" s="26"/>
      <c r="AI8" s="29"/>
      <c r="AJ8" s="28"/>
      <c r="AK8" s="26"/>
      <c r="AL8" s="26"/>
      <c r="AM8" s="29"/>
      <c r="AN8" s="28"/>
      <c r="AO8" s="26"/>
      <c r="AP8" s="26"/>
      <c r="AQ8" s="29"/>
      <c r="AR8" s="28"/>
      <c r="AS8" s="26"/>
      <c r="AT8" s="26"/>
      <c r="AU8" s="29"/>
      <c r="AV8" s="28"/>
      <c r="AW8" s="26"/>
      <c r="AX8" s="26"/>
      <c r="AY8" s="29"/>
      <c r="AZ8" s="28"/>
      <c r="BA8" s="26"/>
      <c r="BB8" s="26"/>
      <c r="BC8" s="29"/>
      <c r="BD8" s="28"/>
      <c r="BE8" s="26"/>
      <c r="BF8" s="26"/>
      <c r="BG8" s="29"/>
      <c r="BH8" s="28"/>
      <c r="BI8" s="26"/>
      <c r="BJ8" s="26"/>
      <c r="BK8" s="29"/>
      <c r="BL8" s="28"/>
      <c r="BM8" s="26"/>
      <c r="BN8" s="26"/>
      <c r="BO8" s="29"/>
      <c r="BP8" s="28"/>
      <c r="BQ8" s="26"/>
      <c r="BR8" s="26"/>
      <c r="BS8" s="29"/>
      <c r="BT8" s="28"/>
      <c r="BU8" s="26"/>
      <c r="BV8" s="26"/>
      <c r="BW8" s="29"/>
      <c r="BX8" s="28"/>
      <c r="BY8" s="26"/>
      <c r="BZ8" s="26"/>
      <c r="CA8" s="29"/>
      <c r="CB8" s="28"/>
      <c r="CC8" s="26"/>
      <c r="CD8" s="26"/>
      <c r="CE8" s="29"/>
      <c r="CF8" s="28"/>
      <c r="CG8" s="26"/>
      <c r="CH8" s="26"/>
      <c r="CI8" s="29"/>
      <c r="CJ8" s="28"/>
      <c r="CK8" s="26"/>
      <c r="CL8" s="26"/>
      <c r="CM8" s="29"/>
      <c r="CN8" s="28"/>
      <c r="CO8" s="26"/>
      <c r="CP8" s="26"/>
      <c r="CQ8" s="29"/>
      <c r="CR8" s="28">
        <v>1</v>
      </c>
      <c r="CS8" s="26">
        <v>1</v>
      </c>
      <c r="CT8" s="26"/>
      <c r="CU8" s="29"/>
      <c r="CV8" s="28"/>
      <c r="CW8" s="26"/>
      <c r="CX8" s="26"/>
      <c r="CY8" s="29"/>
      <c r="CZ8" s="28"/>
      <c r="DA8" s="26"/>
      <c r="DB8" s="26"/>
      <c r="DC8" s="29"/>
    </row>
    <row r="9" spans="1:107" ht="19.899999999999999" customHeight="1" x14ac:dyDescent="0.25">
      <c r="A9" s="169"/>
      <c r="B9" s="154" t="str">
        <f>Jugadores!A8</f>
        <v>Sebastián Sepulveda</v>
      </c>
      <c r="C9" s="155"/>
      <c r="D9" s="24">
        <f t="shared" si="0"/>
        <v>10</v>
      </c>
      <c r="E9" s="24">
        <f t="shared" si="1"/>
        <v>1</v>
      </c>
      <c r="F9" s="115">
        <f t="shared" si="2"/>
        <v>1</v>
      </c>
      <c r="G9" s="115">
        <f t="shared" si="3"/>
        <v>1</v>
      </c>
      <c r="H9" s="28">
        <v>1</v>
      </c>
      <c r="I9" s="26"/>
      <c r="J9" s="26"/>
      <c r="K9" s="29"/>
      <c r="L9" s="28">
        <v>1</v>
      </c>
      <c r="M9" s="26"/>
      <c r="N9" s="26"/>
      <c r="O9" s="29"/>
      <c r="P9" s="28">
        <v>1</v>
      </c>
      <c r="Q9" s="26"/>
      <c r="R9" s="26"/>
      <c r="S9" s="29"/>
      <c r="T9" s="28"/>
      <c r="U9" s="26"/>
      <c r="V9" s="26"/>
      <c r="W9" s="29"/>
      <c r="X9" s="28">
        <v>2</v>
      </c>
      <c r="Y9" s="26"/>
      <c r="Z9" s="26"/>
      <c r="AA9" s="29"/>
      <c r="AB9" s="28"/>
      <c r="AC9" s="26"/>
      <c r="AD9" s="26"/>
      <c r="AE9" s="29"/>
      <c r="AF9" s="28">
        <v>1</v>
      </c>
      <c r="AG9" s="26"/>
      <c r="AH9" s="26"/>
      <c r="AI9" s="29"/>
      <c r="AJ9" s="28"/>
      <c r="AK9" s="26"/>
      <c r="AL9" s="26"/>
      <c r="AM9" s="29"/>
      <c r="AN9" s="28"/>
      <c r="AO9" s="26"/>
      <c r="AP9" s="26"/>
      <c r="AQ9" s="29"/>
      <c r="AR9" s="28"/>
      <c r="AS9" s="26"/>
      <c r="AT9" s="26"/>
      <c r="AU9" s="29"/>
      <c r="AV9" s="28"/>
      <c r="AW9" s="26"/>
      <c r="AX9" s="26"/>
      <c r="AY9" s="29"/>
      <c r="AZ9" s="28">
        <v>1</v>
      </c>
      <c r="BA9" s="26"/>
      <c r="BB9" s="26"/>
      <c r="BC9" s="29"/>
      <c r="BD9" s="28"/>
      <c r="BE9" s="26"/>
      <c r="BF9" s="26"/>
      <c r="BG9" s="29"/>
      <c r="BH9" s="28"/>
      <c r="BI9" s="26"/>
      <c r="BJ9" s="26"/>
      <c r="BK9" s="29"/>
      <c r="BL9" s="28">
        <v>1</v>
      </c>
      <c r="BM9" s="26"/>
      <c r="BN9" s="26"/>
      <c r="BO9" s="29"/>
      <c r="BP9" s="28">
        <v>1</v>
      </c>
      <c r="BQ9" s="26"/>
      <c r="BR9" s="26"/>
      <c r="BS9" s="29"/>
      <c r="BT9" s="28">
        <v>1</v>
      </c>
      <c r="BU9" s="26">
        <v>1</v>
      </c>
      <c r="BV9" s="26"/>
      <c r="BW9" s="29"/>
      <c r="BX9" s="28"/>
      <c r="BY9" s="26">
        <v>1</v>
      </c>
      <c r="BZ9" s="26"/>
      <c r="CA9" s="29"/>
      <c r="CB9" s="28"/>
      <c r="CC9" s="26"/>
      <c r="CD9" s="26"/>
      <c r="CE9" s="29"/>
      <c r="CF9" s="28"/>
      <c r="CG9" s="26"/>
      <c r="CH9" s="26"/>
      <c r="CI9" s="29"/>
      <c r="CJ9" s="28"/>
      <c r="CK9" s="26"/>
      <c r="CL9" s="26"/>
      <c r="CM9" s="29"/>
      <c r="CN9" s="28"/>
      <c r="CO9" s="26"/>
      <c r="CP9" s="26"/>
      <c r="CQ9" s="29"/>
      <c r="CR9" s="28"/>
      <c r="CS9" s="26">
        <v>1</v>
      </c>
      <c r="CT9" s="26"/>
      <c r="CU9" s="29"/>
      <c r="CV9" s="28"/>
      <c r="CW9" s="26"/>
      <c r="CX9" s="26"/>
      <c r="CY9" s="29"/>
      <c r="CZ9" s="28"/>
      <c r="DA9" s="26"/>
      <c r="DB9" s="26"/>
      <c r="DC9" s="29"/>
    </row>
    <row r="10" spans="1:107" ht="19.899999999999999" customHeight="1" x14ac:dyDescent="0.25">
      <c r="A10" s="169"/>
      <c r="B10" s="154" t="str">
        <f>Jugadores!A9</f>
        <v>Daniel Ossa</v>
      </c>
      <c r="C10" s="155"/>
      <c r="D10" s="24">
        <f t="shared" si="0"/>
        <v>10</v>
      </c>
      <c r="E10" s="24">
        <f t="shared" si="1"/>
        <v>4</v>
      </c>
      <c r="F10" s="115">
        <f t="shared" si="2"/>
        <v>5</v>
      </c>
      <c r="G10" s="115">
        <f t="shared" si="3"/>
        <v>0</v>
      </c>
      <c r="H10" s="28">
        <v>1</v>
      </c>
      <c r="I10" s="26"/>
      <c r="J10" s="26"/>
      <c r="K10" s="29"/>
      <c r="L10" s="28"/>
      <c r="M10" s="26"/>
      <c r="N10" s="26"/>
      <c r="O10" s="29"/>
      <c r="P10" s="28">
        <v>2</v>
      </c>
      <c r="Q10" s="26"/>
      <c r="R10" s="26"/>
      <c r="S10" s="29"/>
      <c r="T10" s="28"/>
      <c r="U10" s="26">
        <v>1</v>
      </c>
      <c r="V10" s="26"/>
      <c r="W10" s="29"/>
      <c r="X10" s="28"/>
      <c r="Y10" s="26"/>
      <c r="Z10" s="26"/>
      <c r="AA10" s="29"/>
      <c r="AB10" s="28">
        <v>1</v>
      </c>
      <c r="AC10" s="26"/>
      <c r="AD10" s="26"/>
      <c r="AE10" s="29"/>
      <c r="AF10" s="28"/>
      <c r="AG10" s="26">
        <v>1</v>
      </c>
      <c r="AH10" s="26"/>
      <c r="AI10" s="29"/>
      <c r="AJ10" s="28"/>
      <c r="AK10" s="26"/>
      <c r="AL10" s="26"/>
      <c r="AM10" s="29"/>
      <c r="AN10" s="28"/>
      <c r="AO10" s="26"/>
      <c r="AP10" s="26"/>
      <c r="AQ10" s="29"/>
      <c r="AR10" s="28"/>
      <c r="AS10" s="26"/>
      <c r="AT10" s="26"/>
      <c r="AU10" s="29"/>
      <c r="AV10" s="28"/>
      <c r="AW10" s="26"/>
      <c r="AX10" s="26"/>
      <c r="AY10" s="29"/>
      <c r="AZ10" s="28">
        <v>1</v>
      </c>
      <c r="BA10" s="26">
        <v>1</v>
      </c>
      <c r="BB10" s="26"/>
      <c r="BC10" s="29"/>
      <c r="BD10" s="28"/>
      <c r="BE10" s="26"/>
      <c r="BF10" s="26"/>
      <c r="BG10" s="29"/>
      <c r="BH10" s="28"/>
      <c r="BI10" s="26"/>
      <c r="BJ10" s="26"/>
      <c r="BK10" s="29"/>
      <c r="BL10" s="28"/>
      <c r="BM10" s="26">
        <v>1</v>
      </c>
      <c r="BN10" s="26"/>
      <c r="BO10" s="29"/>
      <c r="BP10" s="28"/>
      <c r="BQ10" s="26"/>
      <c r="BR10" s="26"/>
      <c r="BS10" s="29"/>
      <c r="BT10" s="28"/>
      <c r="BU10" s="26"/>
      <c r="BV10" s="26"/>
      <c r="BW10" s="29"/>
      <c r="BX10" s="28"/>
      <c r="BY10" s="26"/>
      <c r="BZ10" s="26"/>
      <c r="CA10" s="29"/>
      <c r="CB10" s="28">
        <v>2</v>
      </c>
      <c r="CC10" s="26"/>
      <c r="CD10" s="26"/>
      <c r="CE10" s="29"/>
      <c r="CF10" s="28">
        <v>3</v>
      </c>
      <c r="CG10" s="26"/>
      <c r="CH10" s="26"/>
      <c r="CI10" s="29"/>
      <c r="CJ10" s="28"/>
      <c r="CK10" s="26"/>
      <c r="CL10" s="26"/>
      <c r="CM10" s="29"/>
      <c r="CN10" s="28"/>
      <c r="CO10" s="26"/>
      <c r="CP10" s="26"/>
      <c r="CQ10" s="29"/>
      <c r="CR10" s="28"/>
      <c r="CS10" s="26"/>
      <c r="CT10" s="26"/>
      <c r="CU10" s="29"/>
      <c r="CV10" s="28"/>
      <c r="CW10" s="26"/>
      <c r="CX10" s="26"/>
      <c r="CY10" s="29"/>
      <c r="CZ10" s="28"/>
      <c r="DA10" s="26"/>
      <c r="DB10" s="26"/>
      <c r="DC10" s="29"/>
    </row>
    <row r="11" spans="1:107" ht="19.899999999999999" customHeight="1" x14ac:dyDescent="0.25">
      <c r="A11" s="169"/>
      <c r="B11" s="154" t="str">
        <f>Jugadores!A10</f>
        <v>Diego Castrillón</v>
      </c>
      <c r="C11" s="155"/>
      <c r="D11" s="24">
        <f t="shared" si="0"/>
        <v>3</v>
      </c>
      <c r="E11" s="24">
        <f t="shared" si="1"/>
        <v>2</v>
      </c>
      <c r="F11" s="115">
        <f t="shared" si="2"/>
        <v>0</v>
      </c>
      <c r="G11" s="115">
        <f t="shared" si="3"/>
        <v>1</v>
      </c>
      <c r="H11" s="28"/>
      <c r="I11" s="26"/>
      <c r="J11" s="26"/>
      <c r="K11" s="29"/>
      <c r="L11" s="28"/>
      <c r="M11" s="26"/>
      <c r="N11" s="26"/>
      <c r="O11" s="29"/>
      <c r="P11" s="28"/>
      <c r="Q11" s="26"/>
      <c r="R11" s="26"/>
      <c r="S11" s="29"/>
      <c r="T11" s="28"/>
      <c r="U11" s="26">
        <v>1</v>
      </c>
      <c r="V11" s="26"/>
      <c r="W11" s="29"/>
      <c r="X11" s="28">
        <v>1</v>
      </c>
      <c r="Y11" s="26"/>
      <c r="Z11" s="26"/>
      <c r="AA11" s="29"/>
      <c r="AB11" s="28"/>
      <c r="AC11" s="26"/>
      <c r="AD11" s="26"/>
      <c r="AE11" s="29"/>
      <c r="AF11" s="28"/>
      <c r="AG11" s="26"/>
      <c r="AH11" s="26"/>
      <c r="AI11" s="29"/>
      <c r="AJ11" s="28"/>
      <c r="AK11" s="26"/>
      <c r="AL11" s="26"/>
      <c r="AM11" s="29"/>
      <c r="AN11" s="28">
        <v>1</v>
      </c>
      <c r="AO11" s="26"/>
      <c r="AP11" s="26"/>
      <c r="AQ11" s="29"/>
      <c r="AR11" s="28">
        <v>1</v>
      </c>
      <c r="AS11" s="26"/>
      <c r="AT11" s="26"/>
      <c r="AU11" s="29"/>
      <c r="AV11" s="28"/>
      <c r="AW11" s="26"/>
      <c r="AX11" s="26"/>
      <c r="AY11" s="29"/>
      <c r="AZ11" s="28"/>
      <c r="BA11" s="26"/>
      <c r="BB11" s="26"/>
      <c r="BC11" s="29"/>
      <c r="BD11" s="28"/>
      <c r="BE11" s="26"/>
      <c r="BF11" s="26"/>
      <c r="BG11" s="29"/>
      <c r="BH11" s="28"/>
      <c r="BI11" s="26"/>
      <c r="BJ11" s="26"/>
      <c r="BK11" s="29"/>
      <c r="BL11" s="28"/>
      <c r="BM11" s="26"/>
      <c r="BN11" s="26"/>
      <c r="BO11" s="29"/>
      <c r="BP11" s="28"/>
      <c r="BQ11" s="26"/>
      <c r="BR11" s="26"/>
      <c r="BS11" s="29"/>
      <c r="BT11" s="28"/>
      <c r="BU11" s="26"/>
      <c r="BV11" s="26"/>
      <c r="BW11" s="29"/>
      <c r="BX11" s="28"/>
      <c r="BY11" s="26"/>
      <c r="BZ11" s="26"/>
      <c r="CA11" s="29"/>
      <c r="CB11" s="28"/>
      <c r="CC11" s="26"/>
      <c r="CD11" s="26"/>
      <c r="CE11" s="29"/>
      <c r="CF11" s="28"/>
      <c r="CG11" s="26"/>
      <c r="CH11" s="26"/>
      <c r="CI11" s="29"/>
      <c r="CJ11" s="28"/>
      <c r="CK11" s="26"/>
      <c r="CL11" s="26"/>
      <c r="CM11" s="29"/>
      <c r="CN11" s="28"/>
      <c r="CO11" s="26">
        <v>1</v>
      </c>
      <c r="CP11" s="26"/>
      <c r="CQ11" s="29"/>
      <c r="CR11" s="28"/>
      <c r="CS11" s="26"/>
      <c r="CT11" s="26"/>
      <c r="CU11" s="29"/>
      <c r="CV11" s="28"/>
      <c r="CW11" s="26"/>
      <c r="CX11" s="26"/>
      <c r="CY11" s="29"/>
      <c r="CZ11" s="28"/>
      <c r="DA11" s="26"/>
      <c r="DB11" s="26"/>
      <c r="DC11" s="29"/>
    </row>
    <row r="12" spans="1:107" ht="19.899999999999999" customHeight="1" x14ac:dyDescent="0.25">
      <c r="A12" s="169"/>
      <c r="B12" s="154" t="str">
        <f>Jugadores!A11</f>
        <v>Hernán Sánchez</v>
      </c>
      <c r="C12" s="155"/>
      <c r="D12" s="24">
        <f t="shared" si="0"/>
        <v>30</v>
      </c>
      <c r="E12" s="24">
        <f t="shared" si="1"/>
        <v>2</v>
      </c>
      <c r="F12" s="115">
        <f t="shared" si="2"/>
        <v>5</v>
      </c>
      <c r="G12" s="115">
        <f t="shared" si="3"/>
        <v>0</v>
      </c>
      <c r="H12" s="28">
        <v>6</v>
      </c>
      <c r="I12" s="26"/>
      <c r="J12" s="26"/>
      <c r="K12" s="29"/>
      <c r="L12" s="28">
        <v>1</v>
      </c>
      <c r="M12" s="26"/>
      <c r="N12" s="26"/>
      <c r="O12" s="29"/>
      <c r="P12" s="28"/>
      <c r="Q12" s="26"/>
      <c r="R12" s="26"/>
      <c r="S12" s="29"/>
      <c r="T12" s="28">
        <v>1</v>
      </c>
      <c r="U12" s="26"/>
      <c r="V12" s="26"/>
      <c r="W12" s="29"/>
      <c r="X12" s="28">
        <v>1</v>
      </c>
      <c r="Y12" s="26"/>
      <c r="Z12" s="26"/>
      <c r="AA12" s="29"/>
      <c r="AB12" s="28">
        <v>3</v>
      </c>
      <c r="AC12" s="26">
        <v>1</v>
      </c>
      <c r="AD12" s="26"/>
      <c r="AE12" s="29"/>
      <c r="AF12" s="28"/>
      <c r="AG12" s="26"/>
      <c r="AH12" s="26"/>
      <c r="AI12" s="29"/>
      <c r="AJ12" s="28">
        <v>1</v>
      </c>
      <c r="AK12" s="26"/>
      <c r="AL12" s="26"/>
      <c r="AM12" s="29"/>
      <c r="AN12" s="28"/>
      <c r="AO12" s="26"/>
      <c r="AP12" s="26"/>
      <c r="AQ12" s="29"/>
      <c r="AR12" s="28">
        <v>4</v>
      </c>
      <c r="AS12" s="26"/>
      <c r="AT12" s="26"/>
      <c r="AU12" s="29"/>
      <c r="AV12" s="28"/>
      <c r="AW12" s="26"/>
      <c r="AX12" s="26"/>
      <c r="AY12" s="29"/>
      <c r="AZ12" s="28">
        <v>3</v>
      </c>
      <c r="BA12" s="26"/>
      <c r="BB12" s="26"/>
      <c r="BC12" s="29"/>
      <c r="BD12" s="28">
        <v>3</v>
      </c>
      <c r="BE12" s="26"/>
      <c r="BF12" s="26"/>
      <c r="BG12" s="29"/>
      <c r="BH12" s="28">
        <v>1</v>
      </c>
      <c r="BI12" s="26"/>
      <c r="BJ12" s="26"/>
      <c r="BK12" s="29"/>
      <c r="BL12" s="28">
        <v>1</v>
      </c>
      <c r="BM12" s="26"/>
      <c r="BN12" s="26">
        <v>1</v>
      </c>
      <c r="BO12" s="29"/>
      <c r="BP12" s="28">
        <v>1</v>
      </c>
      <c r="BQ12" s="26">
        <v>1</v>
      </c>
      <c r="BR12" s="26"/>
      <c r="BS12" s="29"/>
      <c r="BT12" s="28">
        <v>2</v>
      </c>
      <c r="BU12" s="26"/>
      <c r="BV12" s="26"/>
      <c r="BW12" s="29"/>
      <c r="BX12" s="28">
        <v>2</v>
      </c>
      <c r="BY12" s="26"/>
      <c r="BZ12" s="26"/>
      <c r="CA12" s="29"/>
      <c r="CB12" s="28"/>
      <c r="CC12" s="26"/>
      <c r="CD12" s="26"/>
      <c r="CE12" s="29"/>
      <c r="CF12" s="28"/>
      <c r="CG12" s="26"/>
      <c r="CH12" s="26"/>
      <c r="CI12" s="29"/>
      <c r="CJ12" s="28"/>
      <c r="CK12" s="26"/>
      <c r="CL12" s="26"/>
      <c r="CM12" s="29"/>
      <c r="CN12" s="28"/>
      <c r="CO12" s="26"/>
      <c r="CP12" s="26"/>
      <c r="CQ12" s="29"/>
      <c r="CR12" s="28"/>
      <c r="CS12" s="26"/>
      <c r="CT12" s="26"/>
      <c r="CU12" s="29"/>
      <c r="CV12" s="28"/>
      <c r="CW12" s="26"/>
      <c r="CX12" s="26"/>
      <c r="CY12" s="29"/>
      <c r="CZ12" s="28"/>
      <c r="DA12" s="26"/>
      <c r="DB12" s="26"/>
      <c r="DC12" s="29"/>
    </row>
    <row r="13" spans="1:107" ht="19.899999999999999" customHeight="1" x14ac:dyDescent="0.25">
      <c r="A13" s="169"/>
      <c r="B13" s="154" t="str">
        <f>Jugadores!A12</f>
        <v>Juan Felipe Castro</v>
      </c>
      <c r="C13" s="155"/>
      <c r="D13" s="24">
        <f t="shared" si="0"/>
        <v>0</v>
      </c>
      <c r="E13" s="24">
        <f t="shared" si="1"/>
        <v>0</v>
      </c>
      <c r="F13" s="115">
        <f t="shared" si="2"/>
        <v>0</v>
      </c>
      <c r="G13" s="115">
        <f t="shared" si="3"/>
        <v>1</v>
      </c>
      <c r="H13" s="28"/>
      <c r="I13" s="26"/>
      <c r="J13" s="26"/>
      <c r="K13" s="29"/>
      <c r="L13" s="28"/>
      <c r="M13" s="26"/>
      <c r="N13" s="26"/>
      <c r="O13" s="29"/>
      <c r="P13" s="28"/>
      <c r="Q13" s="26"/>
      <c r="R13" s="26"/>
      <c r="S13" s="29"/>
      <c r="T13" s="28"/>
      <c r="U13" s="26"/>
      <c r="V13" s="26"/>
      <c r="W13" s="29">
        <v>1</v>
      </c>
      <c r="X13" s="28"/>
      <c r="Y13" s="26"/>
      <c r="Z13" s="26"/>
      <c r="AA13" s="29"/>
      <c r="AB13" s="28"/>
      <c r="AC13" s="26"/>
      <c r="AD13" s="26"/>
      <c r="AE13" s="29"/>
      <c r="AF13" s="28"/>
      <c r="AG13" s="26"/>
      <c r="AH13" s="26"/>
      <c r="AI13" s="29"/>
      <c r="AJ13" s="28"/>
      <c r="AK13" s="26"/>
      <c r="AL13" s="26"/>
      <c r="AM13" s="29"/>
      <c r="AN13" s="28"/>
      <c r="AO13" s="26"/>
      <c r="AP13" s="26"/>
      <c r="AQ13" s="29"/>
      <c r="AR13" s="28"/>
      <c r="AS13" s="26"/>
      <c r="AT13" s="26"/>
      <c r="AU13" s="29"/>
      <c r="AV13" s="28"/>
      <c r="AW13" s="26"/>
      <c r="AX13" s="26"/>
      <c r="AY13" s="29"/>
      <c r="AZ13" s="28"/>
      <c r="BA13" s="26"/>
      <c r="BB13" s="26"/>
      <c r="BC13" s="29"/>
      <c r="BD13" s="28"/>
      <c r="BE13" s="26"/>
      <c r="BF13" s="26"/>
      <c r="BG13" s="29"/>
      <c r="BH13" s="28"/>
      <c r="BI13" s="26"/>
      <c r="BJ13" s="26"/>
      <c r="BK13" s="29"/>
      <c r="BL13" s="28"/>
      <c r="BM13" s="26"/>
      <c r="BN13" s="26"/>
      <c r="BO13" s="29"/>
      <c r="BP13" s="28"/>
      <c r="BQ13" s="26"/>
      <c r="BR13" s="26"/>
      <c r="BS13" s="29"/>
      <c r="BT13" s="28"/>
      <c r="BU13" s="26"/>
      <c r="BV13" s="26"/>
      <c r="BW13" s="29"/>
      <c r="BX13" s="28"/>
      <c r="BY13" s="26"/>
      <c r="BZ13" s="26"/>
      <c r="CA13" s="29"/>
      <c r="CB13" s="28"/>
      <c r="CC13" s="26"/>
      <c r="CD13" s="26"/>
      <c r="CE13" s="29"/>
      <c r="CF13" s="28"/>
      <c r="CG13" s="26"/>
      <c r="CH13" s="26"/>
      <c r="CI13" s="29"/>
      <c r="CJ13" s="28"/>
      <c r="CK13" s="26"/>
      <c r="CL13" s="26"/>
      <c r="CM13" s="29"/>
      <c r="CN13" s="28"/>
      <c r="CO13" s="26"/>
      <c r="CP13" s="26"/>
      <c r="CQ13" s="29"/>
      <c r="CR13" s="28"/>
      <c r="CS13" s="26"/>
      <c r="CT13" s="26"/>
      <c r="CU13" s="29"/>
      <c r="CV13" s="28"/>
      <c r="CW13" s="26"/>
      <c r="CX13" s="26"/>
      <c r="CY13" s="29"/>
      <c r="CZ13" s="28"/>
      <c r="DA13" s="26"/>
      <c r="DB13" s="26"/>
      <c r="DC13" s="29"/>
    </row>
    <row r="14" spans="1:107" ht="19.899999999999999" customHeight="1" x14ac:dyDescent="0.25">
      <c r="A14" s="169"/>
      <c r="B14" s="154" t="str">
        <f>Jugadores!A13</f>
        <v>Jhon Restrepo</v>
      </c>
      <c r="C14" s="155"/>
      <c r="D14" s="24">
        <f t="shared" si="0"/>
        <v>6</v>
      </c>
      <c r="E14" s="24">
        <f t="shared" si="1"/>
        <v>3</v>
      </c>
      <c r="F14" s="115">
        <f t="shared" si="2"/>
        <v>4</v>
      </c>
      <c r="G14" s="115">
        <f t="shared" si="3"/>
        <v>0</v>
      </c>
      <c r="H14" s="28"/>
      <c r="I14" s="26"/>
      <c r="J14" s="26"/>
      <c r="K14" s="29"/>
      <c r="L14" s="28"/>
      <c r="M14" s="26"/>
      <c r="N14" s="26"/>
      <c r="O14" s="29"/>
      <c r="P14" s="28"/>
      <c r="Q14" s="26"/>
      <c r="R14" s="26"/>
      <c r="S14" s="29"/>
      <c r="T14" s="28"/>
      <c r="U14" s="26"/>
      <c r="V14" s="26"/>
      <c r="W14" s="29"/>
      <c r="X14" s="28"/>
      <c r="Y14" s="26">
        <v>1</v>
      </c>
      <c r="Z14" s="26"/>
      <c r="AA14" s="29"/>
      <c r="AB14" s="28"/>
      <c r="AC14" s="26">
        <v>1</v>
      </c>
      <c r="AD14" s="26"/>
      <c r="AE14" s="29"/>
      <c r="AF14" s="28"/>
      <c r="AG14" s="26"/>
      <c r="AH14" s="26"/>
      <c r="AI14" s="29"/>
      <c r="AJ14" s="28"/>
      <c r="AK14" s="26">
        <v>1</v>
      </c>
      <c r="AL14" s="26"/>
      <c r="AM14" s="29"/>
      <c r="AN14" s="28">
        <v>2</v>
      </c>
      <c r="AO14" s="26"/>
      <c r="AP14" s="26"/>
      <c r="AQ14" s="29"/>
      <c r="AR14" s="28"/>
      <c r="AS14" s="26"/>
      <c r="AT14" s="26"/>
      <c r="AU14" s="29"/>
      <c r="AV14" s="28"/>
      <c r="AW14" s="26"/>
      <c r="AX14" s="26"/>
      <c r="AY14" s="29"/>
      <c r="AZ14" s="28"/>
      <c r="BA14" s="26"/>
      <c r="BB14" s="26"/>
      <c r="BC14" s="29"/>
      <c r="BD14" s="28"/>
      <c r="BE14" s="26"/>
      <c r="BF14" s="26"/>
      <c r="BG14" s="29"/>
      <c r="BH14" s="28"/>
      <c r="BI14" s="26"/>
      <c r="BJ14" s="26"/>
      <c r="BK14" s="29"/>
      <c r="BL14" s="28"/>
      <c r="BM14" s="26"/>
      <c r="BN14" s="26"/>
      <c r="BO14" s="29"/>
      <c r="BP14" s="28"/>
      <c r="BQ14" s="26"/>
      <c r="BR14" s="26"/>
      <c r="BS14" s="29"/>
      <c r="BT14" s="28"/>
      <c r="BU14" s="26"/>
      <c r="BV14" s="26"/>
      <c r="BW14" s="29"/>
      <c r="BX14" s="28"/>
      <c r="BY14" s="26"/>
      <c r="BZ14" s="26"/>
      <c r="CA14" s="29"/>
      <c r="CB14" s="28"/>
      <c r="CC14" s="26">
        <v>1</v>
      </c>
      <c r="CD14" s="26"/>
      <c r="CE14" s="29"/>
      <c r="CF14" s="28">
        <v>2</v>
      </c>
      <c r="CG14" s="26"/>
      <c r="CH14" s="26"/>
      <c r="CI14" s="29"/>
      <c r="CJ14" s="28">
        <v>1</v>
      </c>
      <c r="CK14" s="26">
        <v>1</v>
      </c>
      <c r="CL14" s="26"/>
      <c r="CM14" s="29"/>
      <c r="CN14" s="28">
        <v>1</v>
      </c>
      <c r="CO14" s="26"/>
      <c r="CP14" s="26"/>
      <c r="CQ14" s="29"/>
      <c r="CR14" s="28"/>
      <c r="CS14" s="26"/>
      <c r="CT14" s="26"/>
      <c r="CU14" s="29"/>
      <c r="CV14" s="28"/>
      <c r="CW14" s="26"/>
      <c r="CX14" s="26"/>
      <c r="CY14" s="29"/>
      <c r="CZ14" s="28"/>
      <c r="DA14" s="26"/>
      <c r="DB14" s="26"/>
      <c r="DC14" s="29"/>
    </row>
    <row r="15" spans="1:107" ht="19.899999999999999" customHeight="1" x14ac:dyDescent="0.25">
      <c r="A15" s="169"/>
      <c r="B15" s="154" t="str">
        <f>Jugadores!A14</f>
        <v>Juan Felipe Hincapié</v>
      </c>
      <c r="C15" s="155"/>
      <c r="D15" s="24">
        <f t="shared" si="0"/>
        <v>2</v>
      </c>
      <c r="E15" s="24">
        <f t="shared" si="1"/>
        <v>0</v>
      </c>
      <c r="F15" s="115">
        <f t="shared" si="2"/>
        <v>2</v>
      </c>
      <c r="G15" s="115">
        <f t="shared" si="3"/>
        <v>0</v>
      </c>
      <c r="H15" s="28"/>
      <c r="I15" s="26"/>
      <c r="J15" s="26"/>
      <c r="K15" s="29"/>
      <c r="L15" s="28"/>
      <c r="M15" s="26"/>
      <c r="N15" s="26"/>
      <c r="O15" s="29"/>
      <c r="P15" s="28"/>
      <c r="Q15" s="26"/>
      <c r="R15" s="26"/>
      <c r="S15" s="29"/>
      <c r="T15" s="28"/>
      <c r="U15" s="26"/>
      <c r="V15" s="26"/>
      <c r="W15" s="29"/>
      <c r="X15" s="28"/>
      <c r="Y15" s="26"/>
      <c r="Z15" s="26"/>
      <c r="AA15" s="29"/>
      <c r="AB15" s="28"/>
      <c r="AC15" s="26"/>
      <c r="AD15" s="26"/>
      <c r="AE15" s="29"/>
      <c r="AF15" s="28"/>
      <c r="AG15" s="26"/>
      <c r="AH15" s="26"/>
      <c r="AI15" s="29"/>
      <c r="AJ15" s="28"/>
      <c r="AK15" s="26"/>
      <c r="AL15" s="26"/>
      <c r="AM15" s="29"/>
      <c r="AN15" s="28"/>
      <c r="AO15" s="26"/>
      <c r="AP15" s="26"/>
      <c r="AQ15" s="29"/>
      <c r="AR15" s="28"/>
      <c r="AS15" s="26"/>
      <c r="AT15" s="26"/>
      <c r="AU15" s="29"/>
      <c r="AV15" s="28"/>
      <c r="AW15" s="26"/>
      <c r="AX15" s="26"/>
      <c r="AY15" s="29"/>
      <c r="AZ15" s="28"/>
      <c r="BA15" s="26"/>
      <c r="BB15" s="26"/>
      <c r="BC15" s="29"/>
      <c r="BD15" s="28"/>
      <c r="BE15" s="26"/>
      <c r="BF15" s="26"/>
      <c r="BG15" s="29"/>
      <c r="BH15" s="28"/>
      <c r="BI15" s="26"/>
      <c r="BJ15" s="26"/>
      <c r="BK15" s="29"/>
      <c r="BL15" s="28"/>
      <c r="BM15" s="26"/>
      <c r="BN15" s="26"/>
      <c r="BO15" s="29"/>
      <c r="BP15" s="28"/>
      <c r="BQ15" s="26"/>
      <c r="BR15" s="26"/>
      <c r="BS15" s="29"/>
      <c r="BT15" s="28"/>
      <c r="BU15" s="26"/>
      <c r="BV15" s="26"/>
      <c r="BW15" s="29"/>
      <c r="BX15" s="28"/>
      <c r="BY15" s="26"/>
      <c r="BZ15" s="26"/>
      <c r="CA15" s="29"/>
      <c r="CB15" s="28">
        <v>2</v>
      </c>
      <c r="CC15" s="26"/>
      <c r="CD15" s="26"/>
      <c r="CE15" s="29"/>
      <c r="CF15" s="28"/>
      <c r="CG15" s="26"/>
      <c r="CH15" s="26"/>
      <c r="CI15" s="29"/>
      <c r="CJ15" s="28"/>
      <c r="CK15" s="26"/>
      <c r="CL15" s="26"/>
      <c r="CM15" s="29"/>
      <c r="CN15" s="28"/>
      <c r="CO15" s="26"/>
      <c r="CP15" s="26"/>
      <c r="CQ15" s="29"/>
      <c r="CR15" s="28"/>
      <c r="CS15" s="26"/>
      <c r="CT15" s="26"/>
      <c r="CU15" s="29"/>
      <c r="CV15" s="28"/>
      <c r="CW15" s="26"/>
      <c r="CX15" s="26"/>
      <c r="CY15" s="29"/>
      <c r="CZ15" s="28"/>
      <c r="DA15" s="26"/>
      <c r="DB15" s="26"/>
      <c r="DC15" s="29"/>
    </row>
    <row r="16" spans="1:107" ht="19.899999999999999" customHeight="1" x14ac:dyDescent="0.25">
      <c r="A16" s="169"/>
      <c r="B16" s="154" t="str">
        <f>Jugadores!A15</f>
        <v>Juan Felipe Ayala</v>
      </c>
      <c r="C16" s="155"/>
      <c r="D16" s="24">
        <f t="shared" si="0"/>
        <v>2</v>
      </c>
      <c r="E16" s="24">
        <f t="shared" si="1"/>
        <v>0</v>
      </c>
      <c r="F16" s="115">
        <f t="shared" si="2"/>
        <v>1</v>
      </c>
      <c r="G16" s="115">
        <f t="shared" si="3"/>
        <v>0</v>
      </c>
      <c r="H16" s="28"/>
      <c r="I16" s="26"/>
      <c r="J16" s="26"/>
      <c r="K16" s="29"/>
      <c r="L16" s="28"/>
      <c r="M16" s="26"/>
      <c r="N16" s="26"/>
      <c r="O16" s="29"/>
      <c r="P16" s="28"/>
      <c r="Q16" s="26"/>
      <c r="R16" s="26"/>
      <c r="S16" s="29"/>
      <c r="T16" s="28"/>
      <c r="U16" s="26"/>
      <c r="V16" s="26"/>
      <c r="W16" s="29"/>
      <c r="X16" s="28"/>
      <c r="Y16" s="26"/>
      <c r="Z16" s="26"/>
      <c r="AA16" s="29"/>
      <c r="AB16" s="28"/>
      <c r="AC16" s="26"/>
      <c r="AD16" s="26"/>
      <c r="AE16" s="29"/>
      <c r="AF16" s="28"/>
      <c r="AG16" s="26"/>
      <c r="AH16" s="26"/>
      <c r="AI16" s="29"/>
      <c r="AJ16" s="28"/>
      <c r="AK16" s="26"/>
      <c r="AL16" s="26"/>
      <c r="AM16" s="29"/>
      <c r="AN16" s="28"/>
      <c r="AO16" s="26"/>
      <c r="AP16" s="26"/>
      <c r="AQ16" s="29"/>
      <c r="AR16" s="28"/>
      <c r="AS16" s="26"/>
      <c r="AT16" s="26"/>
      <c r="AU16" s="29"/>
      <c r="AV16" s="28"/>
      <c r="AW16" s="26"/>
      <c r="AX16" s="26"/>
      <c r="AY16" s="29"/>
      <c r="AZ16" s="28"/>
      <c r="BA16" s="26"/>
      <c r="BB16" s="26"/>
      <c r="BC16" s="29"/>
      <c r="BD16" s="28"/>
      <c r="BE16" s="26"/>
      <c r="BF16" s="26"/>
      <c r="BG16" s="29"/>
      <c r="BH16" s="28"/>
      <c r="BI16" s="26"/>
      <c r="BJ16" s="26"/>
      <c r="BK16" s="29"/>
      <c r="BL16" s="28"/>
      <c r="BM16" s="26"/>
      <c r="BN16" s="26"/>
      <c r="BO16" s="29"/>
      <c r="BP16" s="28">
        <v>1</v>
      </c>
      <c r="BQ16" s="26"/>
      <c r="BR16" s="26"/>
      <c r="BS16" s="29"/>
      <c r="BT16" s="28"/>
      <c r="BU16" s="26">
        <v>1</v>
      </c>
      <c r="BV16" s="26"/>
      <c r="BW16" s="29"/>
      <c r="BX16" s="28"/>
      <c r="BY16" s="26"/>
      <c r="BZ16" s="26"/>
      <c r="CA16" s="29"/>
      <c r="CB16" s="28">
        <v>1</v>
      </c>
      <c r="CC16" s="26"/>
      <c r="CD16" s="26"/>
      <c r="CE16" s="29"/>
      <c r="CF16" s="28"/>
      <c r="CG16" s="26"/>
      <c r="CH16" s="26"/>
      <c r="CI16" s="29"/>
      <c r="CJ16" s="28"/>
      <c r="CK16" s="26"/>
      <c r="CL16" s="26"/>
      <c r="CM16" s="29"/>
      <c r="CN16" s="28"/>
      <c r="CO16" s="26"/>
      <c r="CP16" s="26"/>
      <c r="CQ16" s="29"/>
      <c r="CR16" s="28"/>
      <c r="CS16" s="26"/>
      <c r="CT16" s="26"/>
      <c r="CU16" s="29"/>
      <c r="CV16" s="28"/>
      <c r="CW16" s="26"/>
      <c r="CX16" s="26"/>
      <c r="CY16" s="29"/>
      <c r="CZ16" s="28"/>
      <c r="DA16" s="26"/>
      <c r="DB16" s="26"/>
      <c r="DC16" s="29"/>
    </row>
    <row r="17" spans="1:107" ht="19.899999999999999" customHeight="1" x14ac:dyDescent="0.25">
      <c r="A17" s="169"/>
      <c r="B17" s="154" t="str">
        <f>Jugadores!A16</f>
        <v>Santiago Quiroz</v>
      </c>
      <c r="C17" s="155"/>
      <c r="D17" s="24">
        <f t="shared" si="0"/>
        <v>7</v>
      </c>
      <c r="E17" s="24">
        <f t="shared" si="1"/>
        <v>1</v>
      </c>
      <c r="F17" s="115">
        <f t="shared" si="2"/>
        <v>4</v>
      </c>
      <c r="G17" s="115">
        <f t="shared" si="3"/>
        <v>0</v>
      </c>
      <c r="H17" s="28"/>
      <c r="I17" s="26"/>
      <c r="J17" s="26"/>
      <c r="K17" s="29"/>
      <c r="L17" s="28"/>
      <c r="M17" s="26"/>
      <c r="N17" s="26"/>
      <c r="O17" s="29"/>
      <c r="P17" s="28"/>
      <c r="Q17" s="26"/>
      <c r="R17" s="26"/>
      <c r="S17" s="29"/>
      <c r="T17" s="28"/>
      <c r="U17" s="26"/>
      <c r="V17" s="26"/>
      <c r="W17" s="29"/>
      <c r="X17" s="28"/>
      <c r="Y17" s="26"/>
      <c r="Z17" s="26"/>
      <c r="AA17" s="29"/>
      <c r="AB17" s="28"/>
      <c r="AC17" s="26"/>
      <c r="AD17" s="26"/>
      <c r="AE17" s="29"/>
      <c r="AF17" s="28">
        <v>2</v>
      </c>
      <c r="AG17" s="26"/>
      <c r="AH17" s="26"/>
      <c r="AI17" s="29"/>
      <c r="AJ17" s="28"/>
      <c r="AK17" s="26"/>
      <c r="AL17" s="26"/>
      <c r="AM17" s="29"/>
      <c r="AN17" s="28"/>
      <c r="AO17" s="26"/>
      <c r="AP17" s="26"/>
      <c r="AQ17" s="29"/>
      <c r="AR17" s="28">
        <v>1</v>
      </c>
      <c r="AS17" s="26">
        <v>1</v>
      </c>
      <c r="AT17" s="26"/>
      <c r="AU17" s="29"/>
      <c r="AV17" s="28"/>
      <c r="AW17" s="26"/>
      <c r="AX17" s="26"/>
      <c r="AY17" s="29"/>
      <c r="AZ17" s="28"/>
      <c r="BA17" s="26"/>
      <c r="BB17" s="26"/>
      <c r="BC17" s="29"/>
      <c r="BD17" s="28"/>
      <c r="BE17" s="26"/>
      <c r="BF17" s="26"/>
      <c r="BG17" s="29"/>
      <c r="BH17" s="28"/>
      <c r="BI17" s="26"/>
      <c r="BJ17" s="26"/>
      <c r="BK17" s="29"/>
      <c r="BL17" s="28"/>
      <c r="BM17" s="26"/>
      <c r="BN17" s="26"/>
      <c r="BO17" s="29"/>
      <c r="BP17" s="28"/>
      <c r="BQ17" s="26"/>
      <c r="BR17" s="26"/>
      <c r="BS17" s="29"/>
      <c r="BT17" s="28"/>
      <c r="BU17" s="26"/>
      <c r="BV17" s="26"/>
      <c r="BW17" s="29"/>
      <c r="BX17" s="28"/>
      <c r="BY17" s="26"/>
      <c r="BZ17" s="26"/>
      <c r="CA17" s="29"/>
      <c r="CB17" s="28"/>
      <c r="CC17" s="26"/>
      <c r="CD17" s="26"/>
      <c r="CE17" s="29"/>
      <c r="CF17" s="28"/>
      <c r="CG17" s="26"/>
      <c r="CH17" s="26"/>
      <c r="CI17" s="29"/>
      <c r="CJ17" s="28"/>
      <c r="CK17" s="26"/>
      <c r="CL17" s="26"/>
      <c r="CM17" s="29"/>
      <c r="CN17" s="28">
        <v>2</v>
      </c>
      <c r="CO17" s="26"/>
      <c r="CP17" s="26"/>
      <c r="CQ17" s="29"/>
      <c r="CR17" s="28">
        <v>1</v>
      </c>
      <c r="CS17" s="26"/>
      <c r="CT17" s="26"/>
      <c r="CU17" s="29"/>
      <c r="CV17" s="28">
        <v>1</v>
      </c>
      <c r="CW17" s="26"/>
      <c r="CX17" s="26"/>
      <c r="CY17" s="29"/>
      <c r="CZ17" s="28"/>
      <c r="DA17" s="26"/>
      <c r="DB17" s="26"/>
      <c r="DC17" s="29"/>
    </row>
    <row r="18" spans="1:107" ht="19.899999999999999" customHeight="1" x14ac:dyDescent="0.25">
      <c r="A18" s="170"/>
      <c r="B18" s="156" t="str">
        <f>Jugadores!A17</f>
        <v>John Walter Restrepo</v>
      </c>
      <c r="C18" s="157"/>
      <c r="D18" s="24">
        <f t="shared" si="0"/>
        <v>0</v>
      </c>
      <c r="E18" s="24">
        <f t="shared" si="1"/>
        <v>1</v>
      </c>
      <c r="F18" s="115">
        <f t="shared" si="2"/>
        <v>0</v>
      </c>
      <c r="G18" s="115">
        <f t="shared" si="3"/>
        <v>0</v>
      </c>
      <c r="H18" s="28"/>
      <c r="I18" s="26"/>
      <c r="J18" s="26"/>
      <c r="K18" s="29"/>
      <c r="L18" s="28"/>
      <c r="M18" s="26"/>
      <c r="N18" s="26"/>
      <c r="O18" s="29"/>
      <c r="P18" s="28"/>
      <c r="Q18" s="26"/>
      <c r="R18" s="26"/>
      <c r="S18" s="29"/>
      <c r="T18" s="28"/>
      <c r="U18" s="26"/>
      <c r="V18" s="26"/>
      <c r="W18" s="29"/>
      <c r="X18" s="28"/>
      <c r="Y18" s="26"/>
      <c r="Z18" s="26"/>
      <c r="AA18" s="29"/>
      <c r="AB18" s="28"/>
      <c r="AC18" s="26"/>
      <c r="AD18" s="26"/>
      <c r="AE18" s="29"/>
      <c r="AF18" s="28"/>
      <c r="AG18" s="26"/>
      <c r="AH18" s="26"/>
      <c r="AI18" s="29"/>
      <c r="AJ18" s="28"/>
      <c r="AK18" s="26"/>
      <c r="AL18" s="26"/>
      <c r="AM18" s="29"/>
      <c r="AN18" s="28"/>
      <c r="AO18" s="26"/>
      <c r="AP18" s="26"/>
      <c r="AQ18" s="29"/>
      <c r="AR18" s="28"/>
      <c r="AS18" s="26"/>
      <c r="AT18" s="26"/>
      <c r="AU18" s="29"/>
      <c r="AV18" s="28"/>
      <c r="AW18" s="26"/>
      <c r="AX18" s="26"/>
      <c r="AY18" s="29"/>
      <c r="AZ18" s="28"/>
      <c r="BA18" s="26"/>
      <c r="BB18" s="26"/>
      <c r="BC18" s="29"/>
      <c r="BD18" s="28"/>
      <c r="BE18" s="26"/>
      <c r="BF18" s="26"/>
      <c r="BG18" s="29"/>
      <c r="BH18" s="28"/>
      <c r="BI18" s="26"/>
      <c r="BJ18" s="26"/>
      <c r="BK18" s="29"/>
      <c r="BL18" s="28"/>
      <c r="BM18" s="26"/>
      <c r="BN18" s="26"/>
      <c r="BO18" s="29"/>
      <c r="BP18" s="28"/>
      <c r="BQ18" s="26">
        <v>1</v>
      </c>
      <c r="BR18" s="26"/>
      <c r="BS18" s="29"/>
      <c r="BT18" s="28"/>
      <c r="BU18" s="26"/>
      <c r="BV18" s="26"/>
      <c r="BW18" s="29"/>
      <c r="BX18" s="28"/>
      <c r="BY18" s="26"/>
      <c r="BZ18" s="26"/>
      <c r="CA18" s="29"/>
      <c r="CB18" s="28"/>
      <c r="CC18" s="26"/>
      <c r="CD18" s="26"/>
      <c r="CE18" s="29"/>
      <c r="CF18" s="28"/>
      <c r="CG18" s="26"/>
      <c r="CH18" s="26"/>
      <c r="CI18" s="29"/>
      <c r="CJ18" s="28"/>
      <c r="CK18" s="26"/>
      <c r="CL18" s="26"/>
      <c r="CM18" s="29"/>
      <c r="CN18" s="28"/>
      <c r="CO18" s="26"/>
      <c r="CP18" s="26"/>
      <c r="CQ18" s="29"/>
      <c r="CR18" s="28"/>
      <c r="CS18" s="26"/>
      <c r="CT18" s="26"/>
      <c r="CU18" s="29"/>
      <c r="CV18" s="28"/>
      <c r="CW18" s="26"/>
      <c r="CX18" s="26"/>
      <c r="CY18" s="29"/>
      <c r="CZ18" s="28"/>
      <c r="DA18" s="26"/>
      <c r="DB18" s="26"/>
      <c r="DC18" s="29"/>
    </row>
    <row r="19" spans="1:107" ht="14.45" customHeight="1" x14ac:dyDescent="0.25">
      <c r="B19" s="158" t="s">
        <v>105</v>
      </c>
      <c r="C19" s="159"/>
      <c r="D19" s="160"/>
      <c r="E19" s="160"/>
      <c r="F19" s="160"/>
      <c r="G19" s="160"/>
      <c r="H19" s="28"/>
      <c r="I19" s="26"/>
      <c r="J19" s="26"/>
      <c r="K19" s="29"/>
      <c r="L19" s="28"/>
      <c r="M19" s="26"/>
      <c r="N19" s="26"/>
      <c r="O19" s="29"/>
      <c r="P19" s="28"/>
      <c r="Q19" s="26"/>
      <c r="R19" s="26"/>
      <c r="S19" s="29"/>
      <c r="T19" s="28"/>
      <c r="U19" s="26"/>
      <c r="V19" s="26"/>
      <c r="W19" s="29"/>
      <c r="X19" s="28"/>
      <c r="Y19" s="26"/>
      <c r="Z19" s="26"/>
      <c r="AA19" s="29"/>
      <c r="AB19" s="28"/>
      <c r="AC19" s="26"/>
      <c r="AD19" s="26"/>
      <c r="AE19" s="29"/>
      <c r="AF19" s="28"/>
      <c r="AG19" s="26"/>
      <c r="AH19" s="26"/>
      <c r="AI19" s="29"/>
      <c r="AJ19" s="28"/>
      <c r="AK19" s="26"/>
      <c r="AL19" s="26"/>
      <c r="AM19" s="29"/>
      <c r="AN19" s="28"/>
      <c r="AO19" s="26"/>
      <c r="AP19" s="26"/>
      <c r="AQ19" s="29"/>
      <c r="AR19" s="28"/>
      <c r="AS19" s="26"/>
      <c r="AT19" s="26"/>
      <c r="AU19" s="29"/>
      <c r="AV19" s="28"/>
      <c r="AW19" s="26"/>
      <c r="AX19" s="26"/>
      <c r="AY19" s="29"/>
      <c r="AZ19" s="28"/>
      <c r="BA19" s="26"/>
      <c r="BB19" s="26"/>
      <c r="BC19" s="29"/>
      <c r="BD19" s="28"/>
      <c r="BE19" s="26"/>
      <c r="BF19" s="26"/>
      <c r="BG19" s="29"/>
      <c r="BH19" s="28"/>
      <c r="BI19" s="26"/>
      <c r="BJ19" s="26"/>
      <c r="BK19" s="29"/>
      <c r="BL19" s="28"/>
      <c r="BM19" s="26"/>
      <c r="BN19" s="26"/>
      <c r="BO19" s="29"/>
      <c r="BP19" s="28"/>
      <c r="BQ19" s="26"/>
      <c r="BR19" s="26"/>
      <c r="BS19" s="29"/>
      <c r="BT19" s="28"/>
      <c r="BU19" s="26"/>
      <c r="BV19" s="26"/>
      <c r="BW19" s="29"/>
      <c r="BX19" s="28"/>
      <c r="BY19" s="26"/>
      <c r="BZ19" s="26"/>
      <c r="CA19" s="29"/>
      <c r="CB19" s="28"/>
      <c r="CC19" s="26"/>
      <c r="CD19" s="26"/>
      <c r="CE19" s="29"/>
      <c r="CF19" s="28"/>
      <c r="CG19" s="26"/>
      <c r="CH19" s="26"/>
      <c r="CI19" s="29"/>
      <c r="CJ19" s="28"/>
      <c r="CK19" s="26"/>
      <c r="CL19" s="26"/>
      <c r="CM19" s="29"/>
      <c r="CN19" s="28"/>
      <c r="CO19" s="26"/>
      <c r="CP19" s="26"/>
      <c r="CQ19" s="29"/>
      <c r="CR19" s="28"/>
      <c r="CS19" s="26"/>
      <c r="CT19" s="26"/>
      <c r="CU19" s="29"/>
      <c r="CV19" s="28"/>
      <c r="CW19" s="26"/>
      <c r="CX19" s="26"/>
      <c r="CY19" s="29"/>
      <c r="CZ19" s="28"/>
      <c r="DA19" s="26"/>
      <c r="DB19" s="26"/>
      <c r="DC19" s="29"/>
    </row>
    <row r="20" spans="1:107" x14ac:dyDescent="0.25">
      <c r="B20" s="158" t="s">
        <v>104</v>
      </c>
      <c r="C20" s="159"/>
      <c r="D20" s="159"/>
      <c r="E20" s="159"/>
      <c r="F20" s="159"/>
      <c r="G20" s="159"/>
      <c r="H20" s="28"/>
      <c r="I20" s="26"/>
      <c r="J20" s="26"/>
      <c r="K20" s="29"/>
      <c r="L20" s="28"/>
      <c r="M20" s="26"/>
      <c r="N20" s="26"/>
      <c r="O20" s="29"/>
      <c r="P20" s="28"/>
      <c r="Q20" s="26"/>
      <c r="R20" s="26"/>
      <c r="S20" s="29"/>
      <c r="T20" s="28"/>
      <c r="U20" s="26"/>
      <c r="V20" s="26"/>
      <c r="W20" s="29"/>
      <c r="X20" s="28"/>
      <c r="Y20" s="26"/>
      <c r="Z20" s="26"/>
      <c r="AA20" s="29"/>
      <c r="AB20" s="28"/>
      <c r="AC20" s="26"/>
      <c r="AD20" s="26"/>
      <c r="AE20" s="29"/>
      <c r="AF20" s="28"/>
      <c r="AG20" s="26"/>
      <c r="AH20" s="26"/>
      <c r="AI20" s="29"/>
      <c r="AJ20" s="28"/>
      <c r="AK20" s="26"/>
      <c r="AL20" s="26"/>
      <c r="AM20" s="29"/>
      <c r="AN20" s="28"/>
      <c r="AO20" s="26"/>
      <c r="AP20" s="26"/>
      <c r="AQ20" s="29"/>
      <c r="AR20" s="28"/>
      <c r="AS20" s="26"/>
      <c r="AT20" s="26"/>
      <c r="AU20" s="29"/>
      <c r="AV20" s="28">
        <v>3</v>
      </c>
      <c r="AW20" s="26"/>
      <c r="AX20" s="26"/>
      <c r="AY20" s="29"/>
      <c r="AZ20" s="28"/>
      <c r="BA20" s="26"/>
      <c r="BB20" s="26"/>
      <c r="BC20" s="29"/>
      <c r="BD20" s="28"/>
      <c r="BE20" s="26"/>
      <c r="BF20" s="26"/>
      <c r="BG20" s="29"/>
      <c r="BH20" s="28"/>
      <c r="BI20" s="26"/>
      <c r="BJ20" s="26"/>
      <c r="BK20" s="29"/>
      <c r="BL20" s="28"/>
      <c r="BM20" s="26"/>
      <c r="BN20" s="26"/>
      <c r="BO20" s="29"/>
      <c r="BP20" s="28"/>
      <c r="BQ20" s="26"/>
      <c r="BR20" s="26"/>
      <c r="BS20" s="29"/>
      <c r="BT20" s="28"/>
      <c r="BU20" s="26"/>
      <c r="BV20" s="26"/>
      <c r="BW20" s="29"/>
      <c r="BX20" s="28"/>
      <c r="BY20" s="26"/>
      <c r="BZ20" s="26"/>
      <c r="CA20" s="29"/>
      <c r="CB20" s="28"/>
      <c r="CC20" s="26"/>
      <c r="CD20" s="26"/>
      <c r="CE20" s="29"/>
      <c r="CF20" s="28"/>
      <c r="CG20" s="26"/>
      <c r="CH20" s="26"/>
      <c r="CI20" s="29"/>
      <c r="CJ20" s="28"/>
      <c r="CK20" s="26"/>
      <c r="CL20" s="26"/>
      <c r="CM20" s="29"/>
      <c r="CN20" s="28"/>
      <c r="CO20" s="26"/>
      <c r="CP20" s="26"/>
      <c r="CQ20" s="29"/>
      <c r="CR20" s="28"/>
      <c r="CS20" s="26"/>
      <c r="CT20" s="26"/>
      <c r="CU20" s="29"/>
      <c r="CV20" s="28"/>
      <c r="CW20" s="26"/>
      <c r="CX20" s="26"/>
      <c r="CY20" s="29"/>
      <c r="CZ20" s="28"/>
      <c r="DA20" s="26"/>
      <c r="DB20" s="26"/>
      <c r="DC20" s="29"/>
    </row>
    <row r="21" spans="1:107" ht="15.75" thickBot="1" x14ac:dyDescent="0.3">
      <c r="B21" s="161" t="s">
        <v>106</v>
      </c>
      <c r="C21" s="162"/>
      <c r="D21" s="162"/>
      <c r="E21" s="162"/>
      <c r="F21" s="162"/>
      <c r="G21" s="162"/>
      <c r="H21" s="30"/>
      <c r="I21" s="31"/>
      <c r="J21" s="31"/>
      <c r="K21" s="32"/>
      <c r="L21" s="30"/>
      <c r="M21" s="31"/>
      <c r="N21" s="31"/>
      <c r="O21" s="32"/>
      <c r="P21" s="30"/>
      <c r="Q21" s="31"/>
      <c r="R21" s="31"/>
      <c r="S21" s="32"/>
      <c r="T21" s="30"/>
      <c r="U21" s="31"/>
      <c r="V21" s="31"/>
      <c r="W21" s="32"/>
      <c r="X21" s="30"/>
      <c r="Y21" s="31"/>
      <c r="Z21" s="31"/>
      <c r="AA21" s="32"/>
      <c r="AB21" s="30"/>
      <c r="AC21" s="31"/>
      <c r="AD21" s="31"/>
      <c r="AE21" s="32"/>
      <c r="AF21" s="30"/>
      <c r="AG21" s="31"/>
      <c r="AH21" s="31"/>
      <c r="AI21" s="32"/>
      <c r="AJ21" s="30"/>
      <c r="AK21" s="31"/>
      <c r="AL21" s="31"/>
      <c r="AM21" s="32"/>
      <c r="AN21" s="30"/>
      <c r="AO21" s="31"/>
      <c r="AP21" s="31"/>
      <c r="AQ21" s="32"/>
      <c r="AR21" s="30"/>
      <c r="AS21" s="31"/>
      <c r="AT21" s="31"/>
      <c r="AU21" s="32"/>
      <c r="AV21" s="30"/>
      <c r="AW21" s="31"/>
      <c r="AX21" s="31"/>
      <c r="AY21" s="32"/>
      <c r="AZ21" s="30"/>
      <c r="BA21" s="31"/>
      <c r="BB21" s="31"/>
      <c r="BC21" s="32"/>
      <c r="BD21" s="30"/>
      <c r="BE21" s="31"/>
      <c r="BF21" s="31"/>
      <c r="BG21" s="32"/>
      <c r="BH21" s="30"/>
      <c r="BI21" s="31"/>
      <c r="BJ21" s="31"/>
      <c r="BK21" s="32"/>
      <c r="BL21" s="30"/>
      <c r="BM21" s="31"/>
      <c r="BN21" s="31"/>
      <c r="BO21" s="32"/>
      <c r="BP21" s="30"/>
      <c r="BQ21" s="31"/>
      <c r="BR21" s="31"/>
      <c r="BS21" s="32"/>
      <c r="BT21" s="30"/>
      <c r="BU21" s="31"/>
      <c r="BV21" s="31"/>
      <c r="BW21" s="32"/>
      <c r="BX21" s="30"/>
      <c r="BY21" s="31"/>
      <c r="BZ21" s="31"/>
      <c r="CA21" s="32"/>
      <c r="CB21" s="30"/>
      <c r="CC21" s="31"/>
      <c r="CD21" s="31"/>
      <c r="CE21" s="32"/>
      <c r="CF21" s="30"/>
      <c r="CG21" s="31"/>
      <c r="CH21" s="31"/>
      <c r="CI21" s="32"/>
      <c r="CJ21" s="30"/>
      <c r="CK21" s="31"/>
      <c r="CL21" s="31"/>
      <c r="CM21" s="32"/>
      <c r="CN21" s="30"/>
      <c r="CO21" s="31"/>
      <c r="CP21" s="31"/>
      <c r="CQ21" s="32"/>
      <c r="CR21" s="30"/>
      <c r="CS21" s="31"/>
      <c r="CT21" s="31"/>
      <c r="CU21" s="32"/>
      <c r="CV21" s="30"/>
      <c r="CW21" s="31"/>
      <c r="CX21" s="31"/>
      <c r="CY21" s="32"/>
      <c r="CZ21" s="30"/>
      <c r="DA21" s="31"/>
      <c r="DB21" s="31"/>
      <c r="DC21" s="32"/>
    </row>
    <row r="22" spans="1:107" x14ac:dyDescent="0.25">
      <c r="B22" s="3"/>
      <c r="C22" s="27"/>
      <c r="D22" s="23">
        <f>H22+L22+P22+T22+X22+AB22+AF22+AJ22+AN22+AR22+AV22+AZ22+BD22+BH22+BL22+BP22+BT22+BX22+CB22+CF22+CJ22+CN22+CR22+CV22+CZ22</f>
        <v>105</v>
      </c>
      <c r="E22" s="23">
        <f>I22+M22+Q22+U22+Y22+AC22+AG22+AK22+AO22+AS22+AW22+BA22+BE22+BI22+BM22+BQ22+BV22+BY22+CD22+CG22+CL22+CO22+CT22+CW22+DB22</f>
        <v>19</v>
      </c>
      <c r="F22" s="23">
        <f>J22+N22+R22+V22+Z22+AD22+AH22+AL22+AP22+AT22+AX22+BB22+BF22+BJ22+BN22+BT22+BX22+CB22+CF22+CJ22+CN22+CR22+CV22+CZ22</f>
        <v>35</v>
      </c>
      <c r="G22" s="23">
        <f>K22+O22+S22+W22+AA22+AE22+AI22+AM22+AQ22+AU22+AY22+BC22+BG22+BK22+BO22+BV22+BY22+CD22+CG22+CL22+CO22+CT22+CW22+DB22</f>
        <v>3</v>
      </c>
      <c r="H22" s="33">
        <f>SUM(H4:H21)</f>
        <v>9</v>
      </c>
      <c r="I22" s="34">
        <f>SUM(I4:I18)</f>
        <v>0</v>
      </c>
      <c r="J22" s="34">
        <f>SUM(J4:J18)</f>
        <v>0</v>
      </c>
      <c r="K22" s="35">
        <f>SUM(K4:K20)</f>
        <v>0</v>
      </c>
      <c r="L22" s="33">
        <f t="shared" ref="L22" si="4">SUM(L4:L21)</f>
        <v>6</v>
      </c>
      <c r="M22" s="34">
        <f t="shared" ref="M22:N22" si="5">SUM(M4:M18)</f>
        <v>1</v>
      </c>
      <c r="N22" s="34">
        <f t="shared" si="5"/>
        <v>0</v>
      </c>
      <c r="O22" s="35">
        <f>SUM(O4:O20)</f>
        <v>0</v>
      </c>
      <c r="P22" s="33">
        <f t="shared" ref="P22" si="6">SUM(P4:P21)</f>
        <v>7</v>
      </c>
      <c r="Q22" s="34">
        <f t="shared" ref="Q22:R22" si="7">SUM(Q4:Q18)</f>
        <v>0</v>
      </c>
      <c r="R22" s="34">
        <f t="shared" si="7"/>
        <v>0</v>
      </c>
      <c r="S22" s="35">
        <f t="shared" ref="S22" si="8">SUM(S4:S20)</f>
        <v>0</v>
      </c>
      <c r="T22" s="33">
        <f t="shared" ref="T22" si="9">SUM(T4:T21)</f>
        <v>3</v>
      </c>
      <c r="U22" s="34">
        <f t="shared" ref="U22:V22" si="10">SUM(U4:U18)</f>
        <v>2</v>
      </c>
      <c r="V22" s="34">
        <f t="shared" si="10"/>
        <v>0</v>
      </c>
      <c r="W22" s="35">
        <f t="shared" ref="W22" si="11">SUM(W4:W20)</f>
        <v>1</v>
      </c>
      <c r="X22" s="33">
        <f t="shared" ref="X22" si="12">SUM(X4:X21)</f>
        <v>4</v>
      </c>
      <c r="Y22" s="34">
        <f t="shared" ref="Y22:Z22" si="13">SUM(Y4:Y18)</f>
        <v>1</v>
      </c>
      <c r="Z22" s="34">
        <f t="shared" si="13"/>
        <v>0</v>
      </c>
      <c r="AA22" s="35">
        <f t="shared" ref="AA22" si="14">SUM(AA4:AA20)</f>
        <v>0</v>
      </c>
      <c r="AB22" s="33">
        <f t="shared" ref="AB22" si="15">SUM(AB4:AB21)</f>
        <v>6</v>
      </c>
      <c r="AC22" s="34">
        <f t="shared" ref="AC22:AD22" si="16">SUM(AC4:AC18)</f>
        <v>3</v>
      </c>
      <c r="AD22" s="34">
        <f t="shared" si="16"/>
        <v>0</v>
      </c>
      <c r="AE22" s="35">
        <f t="shared" ref="AE22" si="17">SUM(AE4:AE20)</f>
        <v>0</v>
      </c>
      <c r="AF22" s="33">
        <f t="shared" ref="AF22" si="18">SUM(AF4:AF21)</f>
        <v>6</v>
      </c>
      <c r="AG22" s="34">
        <f t="shared" ref="AG22:AH22" si="19">SUM(AG4:AG18)</f>
        <v>1</v>
      </c>
      <c r="AH22" s="34">
        <f t="shared" si="19"/>
        <v>0</v>
      </c>
      <c r="AI22" s="35">
        <f t="shared" ref="AI22" si="20">SUM(AI4:AI20)</f>
        <v>0</v>
      </c>
      <c r="AJ22" s="33">
        <f t="shared" ref="AJ22" si="21">SUM(AJ4:AJ21)</f>
        <v>1</v>
      </c>
      <c r="AK22" s="34">
        <f t="shared" ref="AK22:AL22" si="22">SUM(AK4:AK18)</f>
        <v>1</v>
      </c>
      <c r="AL22" s="34">
        <f t="shared" si="22"/>
        <v>0</v>
      </c>
      <c r="AM22" s="35">
        <f t="shared" ref="AM22" si="23">SUM(AM4:AM20)</f>
        <v>0</v>
      </c>
      <c r="AN22" s="33">
        <f t="shared" ref="AN22" si="24">SUM(AN4:AN21)</f>
        <v>4</v>
      </c>
      <c r="AO22" s="34">
        <f t="shared" ref="AO22:AP22" si="25">SUM(AO4:AO18)</f>
        <v>0</v>
      </c>
      <c r="AP22" s="34">
        <f t="shared" si="25"/>
        <v>0</v>
      </c>
      <c r="AQ22" s="35">
        <f t="shared" ref="AQ22" si="26">SUM(AQ4:AQ20)</f>
        <v>0</v>
      </c>
      <c r="AR22" s="33">
        <f t="shared" ref="AR22" si="27">SUM(AR4:AR21)</f>
        <v>7</v>
      </c>
      <c r="AS22" s="34">
        <f t="shared" ref="AS22:AT22" si="28">SUM(AS4:AS18)</f>
        <v>2</v>
      </c>
      <c r="AT22" s="34">
        <f t="shared" si="28"/>
        <v>0</v>
      </c>
      <c r="AU22" s="35">
        <f t="shared" ref="AU22" si="29">SUM(AU4:AU20)</f>
        <v>0</v>
      </c>
      <c r="AV22" s="33">
        <f t="shared" ref="AV22" si="30">SUM(AV4:AV21)</f>
        <v>3</v>
      </c>
      <c r="AW22" s="34">
        <f t="shared" ref="AW22:AX22" si="31">SUM(AW4:AW18)</f>
        <v>0</v>
      </c>
      <c r="AX22" s="34">
        <f t="shared" si="31"/>
        <v>0</v>
      </c>
      <c r="AY22" s="35">
        <f t="shared" ref="AY22" si="32">SUM(AY4:AY20)</f>
        <v>0</v>
      </c>
      <c r="AZ22" s="33">
        <f t="shared" ref="AZ22" si="33">SUM(AZ4:AZ21)</f>
        <v>5</v>
      </c>
      <c r="BA22" s="34">
        <f t="shared" ref="BA22:BB22" si="34">SUM(BA4:BA18)</f>
        <v>1</v>
      </c>
      <c r="BB22" s="34">
        <f t="shared" si="34"/>
        <v>0</v>
      </c>
      <c r="BC22" s="35">
        <f t="shared" ref="BC22" si="35">SUM(BC4:BC20)</f>
        <v>0</v>
      </c>
      <c r="BD22" s="33">
        <f t="shared" ref="BD22" si="36">SUM(BD4:BD21)</f>
        <v>3</v>
      </c>
      <c r="BE22" s="34">
        <f t="shared" ref="BE22:BF22" si="37">SUM(BE4:BE18)</f>
        <v>0</v>
      </c>
      <c r="BF22" s="34">
        <f t="shared" si="37"/>
        <v>0</v>
      </c>
      <c r="BG22" s="35">
        <f t="shared" ref="BG22" si="38">SUM(BG4:BG20)</f>
        <v>0</v>
      </c>
      <c r="BH22" s="33">
        <f t="shared" ref="BH22" si="39">SUM(BH4:BH21)</f>
        <v>1</v>
      </c>
      <c r="BI22" s="34">
        <f t="shared" ref="BI22:BJ22" si="40">SUM(BI4:BI18)</f>
        <v>1</v>
      </c>
      <c r="BJ22" s="34">
        <f t="shared" si="40"/>
        <v>0</v>
      </c>
      <c r="BK22" s="35">
        <f t="shared" ref="BK22" si="41">SUM(BK4:BK20)</f>
        <v>0</v>
      </c>
      <c r="BL22" s="33">
        <f t="shared" ref="BL22" si="42">SUM(BL4:BL21)</f>
        <v>2</v>
      </c>
      <c r="BM22" s="34">
        <f t="shared" ref="BM22:BN22" si="43">SUM(BM4:BM18)</f>
        <v>2</v>
      </c>
      <c r="BN22" s="34">
        <f t="shared" si="43"/>
        <v>1</v>
      </c>
      <c r="BO22" s="35">
        <f t="shared" ref="BO22" si="44">SUM(BO4:BO20)</f>
        <v>0</v>
      </c>
      <c r="BP22" s="33">
        <f t="shared" ref="BP22" si="45">SUM(BP4:BP21)</f>
        <v>4</v>
      </c>
      <c r="BQ22" s="34">
        <f t="shared" ref="BQ22:BR22" si="46">SUM(BQ4:BQ18)</f>
        <v>2</v>
      </c>
      <c r="BR22" s="34">
        <f t="shared" si="46"/>
        <v>0</v>
      </c>
      <c r="BS22" s="35">
        <f t="shared" ref="BS22" si="47">SUM(BS4:BS20)</f>
        <v>0</v>
      </c>
      <c r="BT22" s="33">
        <f t="shared" ref="BT22" si="48">SUM(BT4:BT21)</f>
        <v>3</v>
      </c>
      <c r="BU22" s="34">
        <f t="shared" ref="BU22:BV22" si="49">SUM(BU4:BU18)</f>
        <v>2</v>
      </c>
      <c r="BV22" s="34">
        <f t="shared" si="49"/>
        <v>0</v>
      </c>
      <c r="BW22" s="35">
        <f t="shared" ref="BW22" si="50">SUM(BW4:BW20)</f>
        <v>0</v>
      </c>
      <c r="BX22" s="33">
        <f t="shared" ref="BX22" si="51">SUM(BX4:BX21)</f>
        <v>4</v>
      </c>
      <c r="BY22" s="34">
        <f t="shared" ref="BY22:BZ22" si="52">SUM(BY4:BY18)</f>
        <v>1</v>
      </c>
      <c r="BZ22" s="34">
        <f t="shared" si="52"/>
        <v>0</v>
      </c>
      <c r="CA22" s="35">
        <f t="shared" ref="CA22" si="53">SUM(CA4:CA20)</f>
        <v>0</v>
      </c>
      <c r="CB22" s="33">
        <f t="shared" ref="CB22" si="54">SUM(CB4:CB21)</f>
        <v>8</v>
      </c>
      <c r="CC22" s="34">
        <f t="shared" ref="CC22:CD22" si="55">SUM(CC4:CC18)</f>
        <v>1</v>
      </c>
      <c r="CD22" s="34">
        <f t="shared" si="55"/>
        <v>0</v>
      </c>
      <c r="CE22" s="35">
        <f t="shared" ref="CE22" si="56">SUM(CE4:CE20)</f>
        <v>0</v>
      </c>
      <c r="CF22" s="33">
        <f t="shared" ref="CF22" si="57">SUM(CF4:CF21)</f>
        <v>8</v>
      </c>
      <c r="CG22" s="34">
        <f t="shared" ref="CG22:CH22" si="58">SUM(CG4:CG18)</f>
        <v>0</v>
      </c>
      <c r="CH22" s="34">
        <f t="shared" si="58"/>
        <v>0</v>
      </c>
      <c r="CI22" s="35">
        <f t="shared" ref="CI22" si="59">SUM(CI4:CI20)</f>
        <v>0</v>
      </c>
      <c r="CJ22" s="33">
        <f t="shared" ref="CJ22" si="60">SUM(CJ4:CJ21)</f>
        <v>1</v>
      </c>
      <c r="CK22" s="34">
        <f t="shared" ref="CK22:CL22" si="61">SUM(CK4:CK18)</f>
        <v>2</v>
      </c>
      <c r="CL22" s="34">
        <f t="shared" si="61"/>
        <v>0</v>
      </c>
      <c r="CM22" s="35">
        <f t="shared" ref="CM22" si="62">SUM(CM4:CM20)</f>
        <v>0</v>
      </c>
      <c r="CN22" s="33">
        <f t="shared" ref="CN22" si="63">SUM(CN4:CN21)</f>
        <v>4</v>
      </c>
      <c r="CO22" s="34">
        <f t="shared" ref="CO22:CP22" si="64">SUM(CO4:CO18)</f>
        <v>1</v>
      </c>
      <c r="CP22" s="34">
        <f t="shared" si="64"/>
        <v>0</v>
      </c>
      <c r="CQ22" s="35">
        <f t="shared" ref="CQ22" si="65">SUM(CQ4:CQ20)</f>
        <v>0</v>
      </c>
      <c r="CR22" s="33">
        <f t="shared" ref="CR22" si="66">SUM(CR4:CR21)</f>
        <v>4</v>
      </c>
      <c r="CS22" s="34">
        <f t="shared" ref="CS22:CT22" si="67">SUM(CS4:CS18)</f>
        <v>2</v>
      </c>
      <c r="CT22" s="34">
        <f t="shared" si="67"/>
        <v>0</v>
      </c>
      <c r="CU22" s="35">
        <f t="shared" ref="CU22" si="68">SUM(CU4:CU20)</f>
        <v>0</v>
      </c>
      <c r="CV22" s="33">
        <f t="shared" ref="CV22" si="69">SUM(CV4:CV21)</f>
        <v>2</v>
      </c>
      <c r="CW22" s="34">
        <f t="shared" ref="CW22:CX22" si="70">SUM(CW4:CW18)</f>
        <v>0</v>
      </c>
      <c r="CX22" s="34">
        <f t="shared" si="70"/>
        <v>0</v>
      </c>
      <c r="CY22" s="35">
        <f t="shared" ref="CY22" si="71">SUM(CY4:CY20)</f>
        <v>0</v>
      </c>
      <c r="CZ22" s="33">
        <f t="shared" ref="CZ22" si="72">SUM(CZ4:CZ21)</f>
        <v>0</v>
      </c>
      <c r="DA22" s="34">
        <f t="shared" ref="DA22:DB22" si="73">SUM(DA4:DA18)</f>
        <v>0</v>
      </c>
      <c r="DB22" s="34">
        <f t="shared" si="73"/>
        <v>0</v>
      </c>
      <c r="DC22" s="35">
        <f t="shared" ref="DC22" si="74">SUM(DC4:DC20)</f>
        <v>0</v>
      </c>
    </row>
    <row r="23" spans="1:107" ht="14.45" customHeight="1" x14ac:dyDescent="0.25">
      <c r="B23" s="3"/>
      <c r="C23" s="27"/>
      <c r="D23" s="148" t="s">
        <v>86</v>
      </c>
      <c r="E23" s="148" t="s">
        <v>97</v>
      </c>
      <c r="F23" s="148" t="s">
        <v>99</v>
      </c>
      <c r="G23" s="148" t="s">
        <v>98</v>
      </c>
      <c r="H23" s="145" t="s">
        <v>86</v>
      </c>
      <c r="I23" s="148" t="s">
        <v>97</v>
      </c>
      <c r="J23" s="148" t="s">
        <v>99</v>
      </c>
      <c r="K23" s="151" t="s">
        <v>98</v>
      </c>
      <c r="L23" s="145" t="s">
        <v>86</v>
      </c>
      <c r="M23" s="148" t="s">
        <v>97</v>
      </c>
      <c r="N23" s="148" t="s">
        <v>99</v>
      </c>
      <c r="O23" s="151" t="s">
        <v>98</v>
      </c>
      <c r="P23" s="145" t="s">
        <v>86</v>
      </c>
      <c r="Q23" s="148" t="s">
        <v>97</v>
      </c>
      <c r="R23" s="148" t="s">
        <v>99</v>
      </c>
      <c r="S23" s="151" t="s">
        <v>98</v>
      </c>
      <c r="T23" s="145" t="s">
        <v>86</v>
      </c>
      <c r="U23" s="148" t="s">
        <v>97</v>
      </c>
      <c r="V23" s="148" t="s">
        <v>99</v>
      </c>
      <c r="W23" s="151" t="s">
        <v>98</v>
      </c>
      <c r="X23" s="145" t="s">
        <v>86</v>
      </c>
      <c r="Y23" s="148" t="s">
        <v>97</v>
      </c>
      <c r="Z23" s="148" t="s">
        <v>99</v>
      </c>
      <c r="AA23" s="151" t="s">
        <v>98</v>
      </c>
      <c r="AB23" s="145" t="s">
        <v>86</v>
      </c>
      <c r="AC23" s="148" t="s">
        <v>97</v>
      </c>
      <c r="AD23" s="148" t="s">
        <v>99</v>
      </c>
      <c r="AE23" s="151" t="s">
        <v>98</v>
      </c>
      <c r="AF23" s="145" t="s">
        <v>86</v>
      </c>
      <c r="AG23" s="148" t="s">
        <v>97</v>
      </c>
      <c r="AH23" s="148" t="s">
        <v>99</v>
      </c>
      <c r="AI23" s="151" t="s">
        <v>98</v>
      </c>
      <c r="AJ23" s="145" t="s">
        <v>86</v>
      </c>
      <c r="AK23" s="148" t="s">
        <v>97</v>
      </c>
      <c r="AL23" s="148" t="s">
        <v>99</v>
      </c>
      <c r="AM23" s="151" t="s">
        <v>98</v>
      </c>
      <c r="AN23" s="145" t="s">
        <v>86</v>
      </c>
      <c r="AO23" s="148" t="s">
        <v>97</v>
      </c>
      <c r="AP23" s="148" t="s">
        <v>99</v>
      </c>
      <c r="AQ23" s="151" t="s">
        <v>98</v>
      </c>
      <c r="AR23" s="145" t="s">
        <v>86</v>
      </c>
      <c r="AS23" s="148" t="s">
        <v>97</v>
      </c>
      <c r="AT23" s="148" t="s">
        <v>99</v>
      </c>
      <c r="AU23" s="151" t="s">
        <v>98</v>
      </c>
      <c r="AV23" s="145" t="s">
        <v>86</v>
      </c>
      <c r="AW23" s="148" t="s">
        <v>97</v>
      </c>
      <c r="AX23" s="148" t="s">
        <v>99</v>
      </c>
      <c r="AY23" s="151" t="s">
        <v>98</v>
      </c>
      <c r="AZ23" s="145" t="s">
        <v>86</v>
      </c>
      <c r="BA23" s="148" t="s">
        <v>97</v>
      </c>
      <c r="BB23" s="148" t="s">
        <v>99</v>
      </c>
      <c r="BC23" s="151" t="s">
        <v>98</v>
      </c>
      <c r="BD23" s="145" t="s">
        <v>86</v>
      </c>
      <c r="BE23" s="148" t="s">
        <v>97</v>
      </c>
      <c r="BF23" s="148" t="s">
        <v>99</v>
      </c>
      <c r="BG23" s="151" t="s">
        <v>98</v>
      </c>
      <c r="BH23" s="145" t="s">
        <v>86</v>
      </c>
      <c r="BI23" s="148" t="s">
        <v>97</v>
      </c>
      <c r="BJ23" s="148" t="s">
        <v>99</v>
      </c>
      <c r="BK23" s="151" t="s">
        <v>98</v>
      </c>
      <c r="BL23" s="145" t="s">
        <v>86</v>
      </c>
      <c r="BM23" s="148" t="s">
        <v>97</v>
      </c>
      <c r="BN23" s="148" t="s">
        <v>99</v>
      </c>
      <c r="BO23" s="151" t="s">
        <v>98</v>
      </c>
      <c r="BP23" s="145" t="s">
        <v>86</v>
      </c>
      <c r="BQ23" s="148" t="s">
        <v>97</v>
      </c>
      <c r="BR23" s="148" t="s">
        <v>99</v>
      </c>
      <c r="BS23" s="151" t="s">
        <v>98</v>
      </c>
      <c r="BT23" s="145" t="s">
        <v>86</v>
      </c>
      <c r="BU23" s="148" t="s">
        <v>97</v>
      </c>
      <c r="BV23" s="148" t="s">
        <v>99</v>
      </c>
      <c r="BW23" s="151" t="s">
        <v>98</v>
      </c>
      <c r="BX23" s="145" t="s">
        <v>86</v>
      </c>
      <c r="BY23" s="148" t="s">
        <v>97</v>
      </c>
      <c r="BZ23" s="148" t="s">
        <v>99</v>
      </c>
      <c r="CA23" s="151" t="s">
        <v>98</v>
      </c>
      <c r="CB23" s="145" t="s">
        <v>86</v>
      </c>
      <c r="CC23" s="148" t="s">
        <v>97</v>
      </c>
      <c r="CD23" s="148" t="s">
        <v>99</v>
      </c>
      <c r="CE23" s="151" t="s">
        <v>98</v>
      </c>
      <c r="CF23" s="145" t="s">
        <v>86</v>
      </c>
      <c r="CG23" s="148" t="s">
        <v>97</v>
      </c>
      <c r="CH23" s="148" t="s">
        <v>99</v>
      </c>
      <c r="CI23" s="151" t="s">
        <v>98</v>
      </c>
      <c r="CJ23" s="145" t="s">
        <v>86</v>
      </c>
      <c r="CK23" s="148" t="s">
        <v>97</v>
      </c>
      <c r="CL23" s="148" t="s">
        <v>99</v>
      </c>
      <c r="CM23" s="151" t="s">
        <v>98</v>
      </c>
      <c r="CN23" s="145" t="s">
        <v>86</v>
      </c>
      <c r="CO23" s="148" t="s">
        <v>97</v>
      </c>
      <c r="CP23" s="148" t="s">
        <v>99</v>
      </c>
      <c r="CQ23" s="151" t="s">
        <v>98</v>
      </c>
      <c r="CR23" s="145" t="s">
        <v>86</v>
      </c>
      <c r="CS23" s="148" t="s">
        <v>97</v>
      </c>
      <c r="CT23" s="148" t="s">
        <v>99</v>
      </c>
      <c r="CU23" s="151" t="s">
        <v>98</v>
      </c>
      <c r="CV23" s="145" t="s">
        <v>86</v>
      </c>
      <c r="CW23" s="148" t="s">
        <v>97</v>
      </c>
      <c r="CX23" s="148" t="s">
        <v>99</v>
      </c>
      <c r="CY23" s="151" t="s">
        <v>98</v>
      </c>
      <c r="CZ23" s="145" t="s">
        <v>86</v>
      </c>
      <c r="DA23" s="148" t="s">
        <v>97</v>
      </c>
      <c r="DB23" s="148" t="s">
        <v>99</v>
      </c>
      <c r="DC23" s="151" t="s">
        <v>98</v>
      </c>
    </row>
    <row r="24" spans="1:107" x14ac:dyDescent="0.25">
      <c r="B24" s="3"/>
      <c r="C24" s="27"/>
      <c r="D24" s="149"/>
      <c r="E24" s="149"/>
      <c r="F24" s="149"/>
      <c r="G24" s="149"/>
      <c r="H24" s="146"/>
      <c r="I24" s="149"/>
      <c r="J24" s="149"/>
      <c r="K24" s="152"/>
      <c r="L24" s="146"/>
      <c r="M24" s="149"/>
      <c r="N24" s="149"/>
      <c r="O24" s="152"/>
      <c r="P24" s="146"/>
      <c r="Q24" s="149"/>
      <c r="R24" s="149"/>
      <c r="S24" s="152"/>
      <c r="T24" s="146"/>
      <c r="U24" s="149"/>
      <c r="V24" s="149"/>
      <c r="W24" s="152"/>
      <c r="X24" s="146"/>
      <c r="Y24" s="149"/>
      <c r="Z24" s="149"/>
      <c r="AA24" s="152"/>
      <c r="AB24" s="146"/>
      <c r="AC24" s="149"/>
      <c r="AD24" s="149"/>
      <c r="AE24" s="152"/>
      <c r="AF24" s="146"/>
      <c r="AG24" s="149"/>
      <c r="AH24" s="149"/>
      <c r="AI24" s="152"/>
      <c r="AJ24" s="146"/>
      <c r="AK24" s="149"/>
      <c r="AL24" s="149"/>
      <c r="AM24" s="152"/>
      <c r="AN24" s="146"/>
      <c r="AO24" s="149"/>
      <c r="AP24" s="149"/>
      <c r="AQ24" s="152"/>
      <c r="AR24" s="146"/>
      <c r="AS24" s="149"/>
      <c r="AT24" s="149"/>
      <c r="AU24" s="152"/>
      <c r="AV24" s="146"/>
      <c r="AW24" s="149"/>
      <c r="AX24" s="149"/>
      <c r="AY24" s="152"/>
      <c r="AZ24" s="146"/>
      <c r="BA24" s="149"/>
      <c r="BB24" s="149"/>
      <c r="BC24" s="152"/>
      <c r="BD24" s="146"/>
      <c r="BE24" s="149"/>
      <c r="BF24" s="149"/>
      <c r="BG24" s="152"/>
      <c r="BH24" s="146"/>
      <c r="BI24" s="149"/>
      <c r="BJ24" s="149"/>
      <c r="BK24" s="152"/>
      <c r="BL24" s="146"/>
      <c r="BM24" s="149"/>
      <c r="BN24" s="149"/>
      <c r="BO24" s="152"/>
      <c r="BP24" s="146"/>
      <c r="BQ24" s="149"/>
      <c r="BR24" s="149"/>
      <c r="BS24" s="152"/>
      <c r="BT24" s="146"/>
      <c r="BU24" s="149"/>
      <c r="BV24" s="149"/>
      <c r="BW24" s="152"/>
      <c r="BX24" s="146"/>
      <c r="BY24" s="149"/>
      <c r="BZ24" s="149"/>
      <c r="CA24" s="152"/>
      <c r="CB24" s="146"/>
      <c r="CC24" s="149"/>
      <c r="CD24" s="149"/>
      <c r="CE24" s="152"/>
      <c r="CF24" s="146"/>
      <c r="CG24" s="149"/>
      <c r="CH24" s="149"/>
      <c r="CI24" s="152"/>
      <c r="CJ24" s="146"/>
      <c r="CK24" s="149"/>
      <c r="CL24" s="149"/>
      <c r="CM24" s="152"/>
      <c r="CN24" s="146"/>
      <c r="CO24" s="149"/>
      <c r="CP24" s="149"/>
      <c r="CQ24" s="152"/>
      <c r="CR24" s="146"/>
      <c r="CS24" s="149"/>
      <c r="CT24" s="149"/>
      <c r="CU24" s="152"/>
      <c r="CV24" s="146"/>
      <c r="CW24" s="149"/>
      <c r="CX24" s="149"/>
      <c r="CY24" s="152"/>
      <c r="CZ24" s="146"/>
      <c r="DA24" s="149"/>
      <c r="DB24" s="149"/>
      <c r="DC24" s="152"/>
    </row>
    <row r="25" spans="1:107" x14ac:dyDescent="0.25">
      <c r="D25" s="149"/>
      <c r="E25" s="149"/>
      <c r="F25" s="149"/>
      <c r="G25" s="149"/>
      <c r="H25" s="146"/>
      <c r="I25" s="149"/>
      <c r="J25" s="149"/>
      <c r="K25" s="152"/>
      <c r="L25" s="146"/>
      <c r="M25" s="149"/>
      <c r="N25" s="149"/>
      <c r="O25" s="152"/>
      <c r="P25" s="146"/>
      <c r="Q25" s="149"/>
      <c r="R25" s="149"/>
      <c r="S25" s="152"/>
      <c r="T25" s="146"/>
      <c r="U25" s="149"/>
      <c r="V25" s="149"/>
      <c r="W25" s="152"/>
      <c r="X25" s="146"/>
      <c r="Y25" s="149"/>
      <c r="Z25" s="149"/>
      <c r="AA25" s="152"/>
      <c r="AB25" s="146"/>
      <c r="AC25" s="149"/>
      <c r="AD25" s="149"/>
      <c r="AE25" s="152"/>
      <c r="AF25" s="146"/>
      <c r="AG25" s="149"/>
      <c r="AH25" s="149"/>
      <c r="AI25" s="152"/>
      <c r="AJ25" s="146"/>
      <c r="AK25" s="149"/>
      <c r="AL25" s="149"/>
      <c r="AM25" s="152"/>
      <c r="AN25" s="146"/>
      <c r="AO25" s="149"/>
      <c r="AP25" s="149"/>
      <c r="AQ25" s="152"/>
      <c r="AR25" s="146"/>
      <c r="AS25" s="149"/>
      <c r="AT25" s="149"/>
      <c r="AU25" s="152"/>
      <c r="AV25" s="146"/>
      <c r="AW25" s="149"/>
      <c r="AX25" s="149"/>
      <c r="AY25" s="152"/>
      <c r="AZ25" s="146"/>
      <c r="BA25" s="149"/>
      <c r="BB25" s="149"/>
      <c r="BC25" s="152"/>
      <c r="BD25" s="146"/>
      <c r="BE25" s="149"/>
      <c r="BF25" s="149"/>
      <c r="BG25" s="152"/>
      <c r="BH25" s="146"/>
      <c r="BI25" s="149"/>
      <c r="BJ25" s="149"/>
      <c r="BK25" s="152"/>
      <c r="BL25" s="146"/>
      <c r="BM25" s="149"/>
      <c r="BN25" s="149"/>
      <c r="BO25" s="152"/>
      <c r="BP25" s="146"/>
      <c r="BQ25" s="149"/>
      <c r="BR25" s="149"/>
      <c r="BS25" s="152"/>
      <c r="BT25" s="146"/>
      <c r="BU25" s="149"/>
      <c r="BV25" s="149"/>
      <c r="BW25" s="152"/>
      <c r="BX25" s="146"/>
      <c r="BY25" s="149"/>
      <c r="BZ25" s="149"/>
      <c r="CA25" s="152"/>
      <c r="CB25" s="146"/>
      <c r="CC25" s="149"/>
      <c r="CD25" s="149"/>
      <c r="CE25" s="152"/>
      <c r="CF25" s="146"/>
      <c r="CG25" s="149"/>
      <c r="CH25" s="149"/>
      <c r="CI25" s="152"/>
      <c r="CJ25" s="146"/>
      <c r="CK25" s="149"/>
      <c r="CL25" s="149"/>
      <c r="CM25" s="152"/>
      <c r="CN25" s="146"/>
      <c r="CO25" s="149"/>
      <c r="CP25" s="149"/>
      <c r="CQ25" s="152"/>
      <c r="CR25" s="146"/>
      <c r="CS25" s="149"/>
      <c r="CT25" s="149"/>
      <c r="CU25" s="152"/>
      <c r="CV25" s="146"/>
      <c r="CW25" s="149"/>
      <c r="CX25" s="149"/>
      <c r="CY25" s="152"/>
      <c r="CZ25" s="146"/>
      <c r="DA25" s="149"/>
      <c r="DB25" s="149"/>
      <c r="DC25" s="152"/>
    </row>
    <row r="26" spans="1:107" ht="15.75" thickBot="1" x14ac:dyDescent="0.3">
      <c r="D26" s="149"/>
      <c r="E26" s="149"/>
      <c r="F26" s="149"/>
      <c r="G26" s="149"/>
      <c r="H26" s="147"/>
      <c r="I26" s="150"/>
      <c r="J26" s="150"/>
      <c r="K26" s="153"/>
      <c r="L26" s="147"/>
      <c r="M26" s="150"/>
      <c r="N26" s="150"/>
      <c r="O26" s="153"/>
      <c r="P26" s="147"/>
      <c r="Q26" s="150"/>
      <c r="R26" s="150"/>
      <c r="S26" s="153"/>
      <c r="T26" s="147"/>
      <c r="U26" s="150"/>
      <c r="V26" s="150"/>
      <c r="W26" s="153"/>
      <c r="X26" s="147"/>
      <c r="Y26" s="150"/>
      <c r="Z26" s="150"/>
      <c r="AA26" s="153"/>
      <c r="AB26" s="147"/>
      <c r="AC26" s="150"/>
      <c r="AD26" s="150"/>
      <c r="AE26" s="153"/>
      <c r="AF26" s="147"/>
      <c r="AG26" s="150"/>
      <c r="AH26" s="150"/>
      <c r="AI26" s="153"/>
      <c r="AJ26" s="147"/>
      <c r="AK26" s="150"/>
      <c r="AL26" s="150"/>
      <c r="AM26" s="153"/>
      <c r="AN26" s="147"/>
      <c r="AO26" s="150"/>
      <c r="AP26" s="150"/>
      <c r="AQ26" s="153"/>
      <c r="AR26" s="147"/>
      <c r="AS26" s="150"/>
      <c r="AT26" s="150"/>
      <c r="AU26" s="153"/>
      <c r="AV26" s="147"/>
      <c r="AW26" s="150"/>
      <c r="AX26" s="150"/>
      <c r="AY26" s="153"/>
      <c r="AZ26" s="147"/>
      <c r="BA26" s="150"/>
      <c r="BB26" s="150"/>
      <c r="BC26" s="153"/>
      <c r="BD26" s="147"/>
      <c r="BE26" s="150"/>
      <c r="BF26" s="150"/>
      <c r="BG26" s="153"/>
      <c r="BH26" s="147"/>
      <c r="BI26" s="150"/>
      <c r="BJ26" s="150"/>
      <c r="BK26" s="153"/>
      <c r="BL26" s="147"/>
      <c r="BM26" s="150"/>
      <c r="BN26" s="150"/>
      <c r="BO26" s="153"/>
      <c r="BP26" s="147"/>
      <c r="BQ26" s="150"/>
      <c r="BR26" s="150"/>
      <c r="BS26" s="153"/>
      <c r="BT26" s="147"/>
      <c r="BU26" s="150"/>
      <c r="BV26" s="150"/>
      <c r="BW26" s="153"/>
      <c r="BX26" s="147"/>
      <c r="BY26" s="150"/>
      <c r="BZ26" s="150"/>
      <c r="CA26" s="153"/>
      <c r="CB26" s="147"/>
      <c r="CC26" s="150"/>
      <c r="CD26" s="150"/>
      <c r="CE26" s="153"/>
      <c r="CF26" s="147"/>
      <c r="CG26" s="150"/>
      <c r="CH26" s="150"/>
      <c r="CI26" s="153"/>
      <c r="CJ26" s="147"/>
      <c r="CK26" s="150"/>
      <c r="CL26" s="150"/>
      <c r="CM26" s="153"/>
      <c r="CN26" s="147"/>
      <c r="CO26" s="150"/>
      <c r="CP26" s="150"/>
      <c r="CQ26" s="153"/>
      <c r="CR26" s="147"/>
      <c r="CS26" s="150"/>
      <c r="CT26" s="150"/>
      <c r="CU26" s="153"/>
      <c r="CV26" s="147"/>
      <c r="CW26" s="150"/>
      <c r="CX26" s="150"/>
      <c r="CY26" s="153"/>
      <c r="CZ26" s="147"/>
      <c r="DA26" s="150"/>
      <c r="DB26" s="150"/>
      <c r="DC26" s="153"/>
    </row>
  </sheetData>
  <mergeCells count="199">
    <mergeCell ref="P1:S1"/>
    <mergeCell ref="T1:W1"/>
    <mergeCell ref="X1:AA1"/>
    <mergeCell ref="BH1:BK1"/>
    <mergeCell ref="BL1:BO1"/>
    <mergeCell ref="H2:K2"/>
    <mergeCell ref="L2:O2"/>
    <mergeCell ref="P2:S2"/>
    <mergeCell ref="T2:W2"/>
    <mergeCell ref="X2:AA2"/>
    <mergeCell ref="AB2:AE2"/>
    <mergeCell ref="AF2:AI2"/>
    <mergeCell ref="AJ2:AM2"/>
    <mergeCell ref="AN2:AQ2"/>
    <mergeCell ref="AB1:AE1"/>
    <mergeCell ref="AF1:AI1"/>
    <mergeCell ref="AJ1:AM1"/>
    <mergeCell ref="AN1:AQ1"/>
    <mergeCell ref="AR1:AU1"/>
    <mergeCell ref="AV1:AY1"/>
    <mergeCell ref="CZ1:DC1"/>
    <mergeCell ref="BX1:CA1"/>
    <mergeCell ref="CB1:CE1"/>
    <mergeCell ref="CF1:CI1"/>
    <mergeCell ref="CJ1:CM1"/>
    <mergeCell ref="CN1:CQ1"/>
    <mergeCell ref="CR1:CU1"/>
    <mergeCell ref="AZ1:BC1"/>
    <mergeCell ref="BD1:BG1"/>
    <mergeCell ref="BP1:BS1"/>
    <mergeCell ref="BT1:BW1"/>
    <mergeCell ref="CV1:CY1"/>
    <mergeCell ref="A4:A18"/>
    <mergeCell ref="B4:C4"/>
    <mergeCell ref="B5:C5"/>
    <mergeCell ref="B6:C6"/>
    <mergeCell ref="B7:C7"/>
    <mergeCell ref="B8:C8"/>
    <mergeCell ref="B9:C9"/>
    <mergeCell ref="CN3:CQ3"/>
    <mergeCell ref="CR3:CU3"/>
    <mergeCell ref="BP3:BS3"/>
    <mergeCell ref="BT3:BW3"/>
    <mergeCell ref="BX3:CA3"/>
    <mergeCell ref="CB3:CE3"/>
    <mergeCell ref="CF3:CI3"/>
    <mergeCell ref="CJ3:CM3"/>
    <mergeCell ref="AR3:AU3"/>
    <mergeCell ref="AV3:AY3"/>
    <mergeCell ref="AZ3:BC3"/>
    <mergeCell ref="BD3:BG3"/>
    <mergeCell ref="BH3:BK3"/>
    <mergeCell ref="BL3:BO3"/>
    <mergeCell ref="A1:C3"/>
    <mergeCell ref="H1:K1"/>
    <mergeCell ref="L1:O1"/>
    <mergeCell ref="B10:C10"/>
    <mergeCell ref="B11:C11"/>
    <mergeCell ref="B12:C12"/>
    <mergeCell ref="B13:C13"/>
    <mergeCell ref="B14:C14"/>
    <mergeCell ref="B15:C15"/>
    <mergeCell ref="CV3:CY3"/>
    <mergeCell ref="CZ3:DC3"/>
    <mergeCell ref="H3:K3"/>
    <mergeCell ref="L3:O3"/>
    <mergeCell ref="P3:S3"/>
    <mergeCell ref="T3:W3"/>
    <mergeCell ref="X3:AA3"/>
    <mergeCell ref="AB3:AE3"/>
    <mergeCell ref="AF3:AI3"/>
    <mergeCell ref="AJ3:AM3"/>
    <mergeCell ref="AN3:AQ3"/>
    <mergeCell ref="H23:H26"/>
    <mergeCell ref="I23:I26"/>
    <mergeCell ref="J23:J26"/>
    <mergeCell ref="K23:K26"/>
    <mergeCell ref="L23:L26"/>
    <mergeCell ref="M23:M26"/>
    <mergeCell ref="B16:C16"/>
    <mergeCell ref="B18:C18"/>
    <mergeCell ref="B19:G19"/>
    <mergeCell ref="B20:G20"/>
    <mergeCell ref="B21:G21"/>
    <mergeCell ref="D23:D26"/>
    <mergeCell ref="E23:E26"/>
    <mergeCell ref="F23:F26"/>
    <mergeCell ref="G23:G26"/>
    <mergeCell ref="B17:C17"/>
    <mergeCell ref="T23:T26"/>
    <mergeCell ref="U23:U26"/>
    <mergeCell ref="V23:V26"/>
    <mergeCell ref="W23:W26"/>
    <mergeCell ref="X23:X26"/>
    <mergeCell ref="Y23:Y26"/>
    <mergeCell ref="N23:N26"/>
    <mergeCell ref="O23:O26"/>
    <mergeCell ref="P23:P26"/>
    <mergeCell ref="Q23:Q26"/>
    <mergeCell ref="R23:R26"/>
    <mergeCell ref="S23:S26"/>
    <mergeCell ref="AF23:AF26"/>
    <mergeCell ref="AG23:AG26"/>
    <mergeCell ref="AH23:AH26"/>
    <mergeCell ref="AI23:AI26"/>
    <mergeCell ref="AJ23:AJ26"/>
    <mergeCell ref="AK23:AK26"/>
    <mergeCell ref="Z23:Z26"/>
    <mergeCell ref="AA23:AA26"/>
    <mergeCell ref="AB23:AB26"/>
    <mergeCell ref="AC23:AC26"/>
    <mergeCell ref="AD23:AD26"/>
    <mergeCell ref="AE23:AE26"/>
    <mergeCell ref="AR23:AR26"/>
    <mergeCell ref="AS23:AS26"/>
    <mergeCell ref="AT23:AT26"/>
    <mergeCell ref="AU23:AU26"/>
    <mergeCell ref="AV23:AV26"/>
    <mergeCell ref="AW23:AW26"/>
    <mergeCell ref="AL23:AL26"/>
    <mergeCell ref="AM23:AM26"/>
    <mergeCell ref="AN23:AN26"/>
    <mergeCell ref="AO23:AO26"/>
    <mergeCell ref="AP23:AP26"/>
    <mergeCell ref="AQ23:AQ26"/>
    <mergeCell ref="BD23:BD26"/>
    <mergeCell ref="BE23:BE26"/>
    <mergeCell ref="BF23:BF26"/>
    <mergeCell ref="BG23:BG26"/>
    <mergeCell ref="BH23:BH26"/>
    <mergeCell ref="BI23:BI26"/>
    <mergeCell ref="AX23:AX26"/>
    <mergeCell ref="AY23:AY26"/>
    <mergeCell ref="AZ23:AZ26"/>
    <mergeCell ref="BA23:BA26"/>
    <mergeCell ref="BB23:BB26"/>
    <mergeCell ref="BC23:BC26"/>
    <mergeCell ref="BP23:BP26"/>
    <mergeCell ref="BQ23:BQ26"/>
    <mergeCell ref="BR23:BR26"/>
    <mergeCell ref="BS23:BS26"/>
    <mergeCell ref="BT23:BT26"/>
    <mergeCell ref="BU23:BU26"/>
    <mergeCell ref="BJ23:BJ26"/>
    <mergeCell ref="BK23:BK26"/>
    <mergeCell ref="BL23:BL26"/>
    <mergeCell ref="BM23:BM26"/>
    <mergeCell ref="BN23:BN26"/>
    <mergeCell ref="BO23:BO26"/>
    <mergeCell ref="CB23:CB26"/>
    <mergeCell ref="CC23:CC26"/>
    <mergeCell ref="CD23:CD26"/>
    <mergeCell ref="CE23:CE26"/>
    <mergeCell ref="CF23:CF26"/>
    <mergeCell ref="CG23:CG26"/>
    <mergeCell ref="BV23:BV26"/>
    <mergeCell ref="BW23:BW26"/>
    <mergeCell ref="BX23:BX26"/>
    <mergeCell ref="BY23:BY26"/>
    <mergeCell ref="BZ23:BZ26"/>
    <mergeCell ref="CA23:CA26"/>
    <mergeCell ref="CN23:CN26"/>
    <mergeCell ref="CO23:CO26"/>
    <mergeCell ref="CP23:CP26"/>
    <mergeCell ref="CQ23:CQ26"/>
    <mergeCell ref="CR23:CR26"/>
    <mergeCell ref="CS23:CS26"/>
    <mergeCell ref="CH23:CH26"/>
    <mergeCell ref="CI23:CI26"/>
    <mergeCell ref="CJ23:CJ26"/>
    <mergeCell ref="CK23:CK26"/>
    <mergeCell ref="CL23:CL26"/>
    <mergeCell ref="CM23:CM26"/>
    <mergeCell ref="CZ23:CZ26"/>
    <mergeCell ref="DA23:DA26"/>
    <mergeCell ref="DB23:DB26"/>
    <mergeCell ref="DC23:DC26"/>
    <mergeCell ref="CT23:CT26"/>
    <mergeCell ref="CU23:CU26"/>
    <mergeCell ref="CV23:CV26"/>
    <mergeCell ref="CW23:CW26"/>
    <mergeCell ref="CX23:CX26"/>
    <mergeCell ref="CY23:CY26"/>
    <mergeCell ref="CN2:CQ2"/>
    <mergeCell ref="CR2:CU2"/>
    <mergeCell ref="CV2:CY2"/>
    <mergeCell ref="D2:G2"/>
    <mergeCell ref="BH2:BK2"/>
    <mergeCell ref="BL2:BO2"/>
    <mergeCell ref="BP2:BS2"/>
    <mergeCell ref="BT2:BW2"/>
    <mergeCell ref="BX2:CA2"/>
    <mergeCell ref="CB2:CE2"/>
    <mergeCell ref="CF2:CI2"/>
    <mergeCell ref="CJ2:CM2"/>
    <mergeCell ref="AR2:AU2"/>
    <mergeCell ref="AV2:AY2"/>
    <mergeCell ref="AZ2:BC2"/>
    <mergeCell ref="BD2:BG2"/>
  </mergeCells>
  <hyperlinks>
    <hyperlink ref="A1:C3" location="Equipos!A1" display="Equipos!A1" xr:uid="{00000000-0004-0000-0E00-000000000000}"/>
    <hyperlink ref="A4:A18" location="Jugadores!A1" display="Jugador" xr:uid="{A2AF4C45-2201-4E97-B75A-E942BDF31DBB}"/>
  </hyperlinks>
  <pageMargins left="0.7" right="0.7" top="0.75" bottom="0.75" header="0.3" footer="0.3"/>
  <pageSetup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C26"/>
  <sheetViews>
    <sheetView zoomScale="90" zoomScaleNormal="90" zoomScaleSheetLayoutView="90" workbookViewId="0">
      <pane xSplit="7" ySplit="3" topLeftCell="AX4" activePane="bottomRight" state="frozen"/>
      <selection pane="topRight" activeCell="H1" sqref="H1"/>
      <selection pane="bottomLeft" activeCell="A3" sqref="A3"/>
      <selection pane="bottomRight" sqref="A1:C3"/>
    </sheetView>
  </sheetViews>
  <sheetFormatPr baseColWidth="10" defaultColWidth="11.42578125" defaultRowHeight="15" x14ac:dyDescent="0.25"/>
  <cols>
    <col min="1" max="1" width="4.85546875" customWidth="1"/>
    <col min="2" max="2" width="9.42578125" customWidth="1"/>
    <col min="3" max="3" width="11.5703125" style="3" customWidth="1"/>
    <col min="4" max="7" width="4.28515625" style="3" customWidth="1"/>
    <col min="8" max="8" width="3.28515625" style="3" customWidth="1"/>
    <col min="9" max="107" width="2.7109375" style="3" customWidth="1"/>
    <col min="108" max="16384" width="11.42578125" style="3"/>
  </cols>
  <sheetData>
    <row r="1" spans="1:107" ht="13.9" customHeight="1" x14ac:dyDescent="0.25">
      <c r="A1" s="180" t="str">
        <f>Equipos!B4</f>
        <v>La Nueva Era</v>
      </c>
      <c r="B1" s="180"/>
      <c r="C1" s="180"/>
      <c r="H1" s="172" t="s">
        <v>5</v>
      </c>
      <c r="I1" s="173"/>
      <c r="J1" s="173"/>
      <c r="K1" s="174"/>
      <c r="L1" s="172" t="s">
        <v>6</v>
      </c>
      <c r="M1" s="173"/>
      <c r="N1" s="173"/>
      <c r="O1" s="174"/>
      <c r="P1" s="172" t="s">
        <v>7</v>
      </c>
      <c r="Q1" s="173"/>
      <c r="R1" s="173"/>
      <c r="S1" s="174"/>
      <c r="T1" s="172" t="s">
        <v>8</v>
      </c>
      <c r="U1" s="173"/>
      <c r="V1" s="173"/>
      <c r="W1" s="174"/>
      <c r="X1" s="172" t="s">
        <v>9</v>
      </c>
      <c r="Y1" s="173"/>
      <c r="Z1" s="173"/>
      <c r="AA1" s="174"/>
      <c r="AB1" s="172" t="s">
        <v>10</v>
      </c>
      <c r="AC1" s="173"/>
      <c r="AD1" s="173"/>
      <c r="AE1" s="174"/>
      <c r="AF1" s="172" t="s">
        <v>11</v>
      </c>
      <c r="AG1" s="173"/>
      <c r="AH1" s="173"/>
      <c r="AI1" s="174"/>
      <c r="AJ1" s="172" t="s">
        <v>12</v>
      </c>
      <c r="AK1" s="173"/>
      <c r="AL1" s="173"/>
      <c r="AM1" s="174"/>
      <c r="AN1" s="172" t="s">
        <v>13</v>
      </c>
      <c r="AO1" s="173"/>
      <c r="AP1" s="173"/>
      <c r="AQ1" s="174"/>
      <c r="AR1" s="172" t="s">
        <v>14</v>
      </c>
      <c r="AS1" s="173"/>
      <c r="AT1" s="173"/>
      <c r="AU1" s="174"/>
      <c r="AV1" s="172" t="s">
        <v>15</v>
      </c>
      <c r="AW1" s="173"/>
      <c r="AX1" s="173"/>
      <c r="AY1" s="174"/>
      <c r="AZ1" s="172" t="s">
        <v>16</v>
      </c>
      <c r="BA1" s="173"/>
      <c r="BB1" s="173"/>
      <c r="BC1" s="174"/>
      <c r="BD1" s="172" t="s">
        <v>17</v>
      </c>
      <c r="BE1" s="173"/>
      <c r="BF1" s="173"/>
      <c r="BG1" s="174"/>
      <c r="BH1" s="172" t="s">
        <v>18</v>
      </c>
      <c r="BI1" s="173"/>
      <c r="BJ1" s="173"/>
      <c r="BK1" s="174"/>
      <c r="BL1" s="172" t="s">
        <v>19</v>
      </c>
      <c r="BM1" s="173"/>
      <c r="BN1" s="173"/>
      <c r="BO1" s="174"/>
      <c r="BP1" s="172" t="s">
        <v>20</v>
      </c>
      <c r="BQ1" s="173"/>
      <c r="BR1" s="173"/>
      <c r="BS1" s="174"/>
      <c r="BT1" s="172" t="s">
        <v>51</v>
      </c>
      <c r="BU1" s="173"/>
      <c r="BV1" s="173"/>
      <c r="BW1" s="174"/>
      <c r="BX1" s="172" t="s">
        <v>81</v>
      </c>
      <c r="BY1" s="173"/>
      <c r="BZ1" s="173"/>
      <c r="CA1" s="174"/>
      <c r="CB1" s="172" t="s">
        <v>83</v>
      </c>
      <c r="CC1" s="173"/>
      <c r="CD1" s="173"/>
      <c r="CE1" s="174"/>
      <c r="CF1" s="172" t="s">
        <v>84</v>
      </c>
      <c r="CG1" s="173"/>
      <c r="CH1" s="173"/>
      <c r="CI1" s="174"/>
      <c r="CJ1" s="172" t="s">
        <v>85</v>
      </c>
      <c r="CK1" s="173"/>
      <c r="CL1" s="173"/>
      <c r="CM1" s="174"/>
      <c r="CN1" s="172" t="s">
        <v>93</v>
      </c>
      <c r="CO1" s="173"/>
      <c r="CP1" s="173"/>
      <c r="CQ1" s="174"/>
      <c r="CR1" s="172" t="s">
        <v>94</v>
      </c>
      <c r="CS1" s="173"/>
      <c r="CT1" s="173"/>
      <c r="CU1" s="174"/>
      <c r="CV1" s="172" t="s">
        <v>95</v>
      </c>
      <c r="CW1" s="173"/>
      <c r="CX1" s="173"/>
      <c r="CY1" s="174"/>
      <c r="CZ1" s="172" t="s">
        <v>96</v>
      </c>
      <c r="DA1" s="173"/>
      <c r="DB1" s="173"/>
      <c r="DC1" s="174"/>
    </row>
    <row r="2" spans="1:107" ht="13.9" customHeight="1" x14ac:dyDescent="0.25">
      <c r="A2" s="180"/>
      <c r="B2" s="180"/>
      <c r="C2" s="180"/>
      <c r="D2" s="143" t="s">
        <v>272</v>
      </c>
      <c r="E2" s="143"/>
      <c r="F2" s="143"/>
      <c r="G2" s="144"/>
      <c r="H2" s="140" t="str">
        <f>+_xlfn.XLOOKUP($A$1,Fixture!$D$2:$D$9,Fixture!$F$2:$F$9,_xlfn.XLOOKUP($A$1,Fixture!$F$2:$F$9,Fixture!$D$2:$D$9,"Descansa",FALSE))</f>
        <v>Los Amigos</v>
      </c>
      <c r="I2" s="141"/>
      <c r="J2" s="141"/>
      <c r="K2" s="142"/>
      <c r="L2" s="140" t="str">
        <f>+_xlfn.XLOOKUP($A$1,Fixture!$D$10:$D$17,Fixture!$F$10:$F$17,_xlfn.XLOOKUP($A$1,Fixture!$F$10:$F$17,Fixture!$D$10:$D$17,"Descansa",FALSE))</f>
        <v>Valentín FC</v>
      </c>
      <c r="M2" s="141"/>
      <c r="N2" s="141"/>
      <c r="O2" s="142"/>
      <c r="P2" s="175" t="str">
        <f>+_xlfn.XLOOKUP($A$1,Fixture!$D$18:$D$25,Fixture!$F$18:$F$25,_xlfn.XLOOKUP($A$1,Fixture!$F$18:$F$25,Fixture!$D$18:$D$25,"Descansa",FALSE))</f>
        <v>CD El Corozo</v>
      </c>
      <c r="Q2" s="176"/>
      <c r="R2" s="176"/>
      <c r="S2" s="177"/>
      <c r="T2" s="140" t="str">
        <f>+_xlfn.XLOOKUP($A$1,Fixture!$D$26:$D$33,Fixture!$F$26:$F$33,_xlfn.XLOOKUP($A$1,Fixture!$F$26:$F$33,Fixture!$D$26:$D$33,"Descansa",FALSE))</f>
        <v>Konami</v>
      </c>
      <c r="U2" s="141"/>
      <c r="V2" s="141"/>
      <c r="W2" s="142"/>
      <c r="X2" s="140" t="str">
        <f>+_xlfn.XLOOKUP($A$1,Fixture!$D$34:$D$41,Fixture!$F$34:$F$41,_xlfn.XLOOKUP($A$1,Fixture!$F$34:$F$41,Fixture!$D$34:$D$41,"Descansa",FALSE))</f>
        <v>Villanueva</v>
      </c>
      <c r="Y2" s="141"/>
      <c r="Z2" s="141"/>
      <c r="AA2" s="142"/>
      <c r="AB2" s="140" t="str">
        <f>+_xlfn.XLOOKUP($A$1,Fixture!$D$42:$D$49,Fixture!$F$42:$F$49,_xlfn.XLOOKUP($A$1,Fixture!$F$42:$F$49,Fixture!$D$42:$D$49,"Descansa",FALSE))</f>
        <v>Ron Star</v>
      </c>
      <c r="AC2" s="141"/>
      <c r="AD2" s="141"/>
      <c r="AE2" s="142"/>
      <c r="AF2" s="140" t="str">
        <f>+_xlfn.XLOOKUP($A$1,Fixture!$D$50:$D$57,Fixture!$F$50:$F$57,_xlfn.XLOOKUP($A$1,Fixture!$F$50:$F$57,Fixture!$D$50:$D$57,"Descansa",FALSE))</f>
        <v>Amenadim</v>
      </c>
      <c r="AG2" s="141"/>
      <c r="AH2" s="141"/>
      <c r="AI2" s="142"/>
      <c r="AJ2" s="140" t="str">
        <f>+_xlfn.XLOOKUP($A$1,Fixture!$D$58:$D$65,Fixture!$F$58:$F$65,_xlfn.XLOOKUP($A$1,Fixture!$F$58:$F$65,Fixture!$D$58:$D$65,"Descansa",FALSE))</f>
        <v>Hojas Anchas</v>
      </c>
      <c r="AK2" s="141"/>
      <c r="AL2" s="141"/>
      <c r="AM2" s="142"/>
      <c r="AN2" s="140" t="str">
        <f>+_xlfn.XLOOKUP($A$1,Fixture!$D$66:$D$73,Fixture!$F$66:$F$73,_xlfn.XLOOKUP($A$1,Fixture!$F$66:$F$73,Fixture!$D$66:$D$73,"Descansa",FALSE))</f>
        <v>Los Aliados</v>
      </c>
      <c r="AO2" s="141"/>
      <c r="AP2" s="141"/>
      <c r="AQ2" s="142"/>
      <c r="AR2" s="140" t="str">
        <f>+_xlfn.XLOOKUP($A$1,Fixture!$D$74:$D$81,Fixture!$F$74:$F$81,_xlfn.XLOOKUP($A$1,Fixture!$F$74:$F$81,Fixture!$D$74:$D$81,"Descansa",FALSE))</f>
        <v>Boca Juniors</v>
      </c>
      <c r="AS2" s="141"/>
      <c r="AT2" s="141"/>
      <c r="AU2" s="142"/>
      <c r="AV2" s="140" t="str">
        <f>+_xlfn.XLOOKUP($A$1,Fixture!$D$82:$D$89,Fixture!$F$82:$F$89,_xlfn.XLOOKUP($A$1,Fixture!$F$82:$F$89,Fixture!$D$82:$D$89,"Descansa",FALSE))</f>
        <v>Deportivo Fénix</v>
      </c>
      <c r="AW2" s="141"/>
      <c r="AX2" s="141"/>
      <c r="AY2" s="142"/>
      <c r="AZ2" s="140" t="str">
        <f>+_xlfn.XLOOKUP($A$1,Fixture!$D$90:$D$97,Fixture!$F$90:$F$97,_xlfn.XLOOKUP($A$1,Fixture!$F$90:$F$97,Fixture!$D$90:$D$97,"Descansa",FALSE))</f>
        <v>Rayos FC</v>
      </c>
      <c r="BA2" s="141"/>
      <c r="BB2" s="141"/>
      <c r="BC2" s="142"/>
      <c r="BD2" s="140" t="str">
        <f>+_xlfn.XLOOKUP($A$1,Fixture!$D$98:$D$105,Fixture!$F$98:$F$105,_xlfn.XLOOKUP($A$1,Fixture!$F$98:$F$105,Fixture!$D$98:$D$105,"Descansa",FALSE))</f>
        <v>La Unión FC</v>
      </c>
      <c r="BE2" s="141"/>
      <c r="BF2" s="141"/>
      <c r="BG2" s="142"/>
      <c r="BH2" s="140" t="str">
        <f>+_xlfn.XLOOKUP($A$1,Fixture!$D$106:$D$113,Fixture!$F$106:$F$113,_xlfn.XLOOKUP($A$1,Fixture!$F$106:$F$113,Fixture!$D$106:$D$113,"Descansa",FALSE))</f>
        <v>La Amistad</v>
      </c>
      <c r="BI2" s="141"/>
      <c r="BJ2" s="141"/>
      <c r="BK2" s="142"/>
      <c r="BL2" s="140" t="str">
        <f>+_xlfn.XLOOKUP($A$1,Fixture!$D$114:$D$121,Fixture!$F$114:$F$121,_xlfn.XLOOKUP($A$1,Fixture!$F$114:$F$121,Fixture!$D$114:$D$121,"Descansa",FALSE))</f>
        <v>Atalanta</v>
      </c>
      <c r="BM2" s="141"/>
      <c r="BN2" s="141"/>
      <c r="BO2" s="142"/>
      <c r="BP2" s="140" t="str">
        <f>+_xlfn.XLOOKUP($A$1,Fixture!$D$122:$D$128,Fixture!$F$122:$F$128,_xlfn.XLOOKUP($A$1,Fixture!$F$122:$F$128,Fixture!$D$122:$D$128,"Descansa",FALSE))</f>
        <v>La Amistad</v>
      </c>
      <c r="BQ2" s="141"/>
      <c r="BR2" s="141"/>
      <c r="BS2" s="142"/>
      <c r="BT2" s="140" t="str">
        <f>+_xlfn.XLOOKUP($A$1,Fixture!$D$129:$D$135,Fixture!$F$129:$F$135,_xlfn.XLOOKUP($A$1,Fixture!$F$129:$F$135,Fixture!$D$129:$D$135,"Descansa",FALSE))</f>
        <v>Deportivo Fénix</v>
      </c>
      <c r="BU2" s="141"/>
      <c r="BV2" s="141"/>
      <c r="BW2" s="142"/>
      <c r="BX2" s="140" t="str">
        <f>+_xlfn.XLOOKUP($A$1,Fixture!$D$136:$D$141,Fixture!$F$136:$F$141,_xlfn.XLOOKUP($A$1,Fixture!$F$136:$F$141,Fixture!$D$136:$D$141,"Descansa",FALSE))</f>
        <v>Konami</v>
      </c>
      <c r="BY2" s="141"/>
      <c r="BZ2" s="141"/>
      <c r="CA2" s="142"/>
      <c r="CB2" s="140" t="str">
        <f>+_xlfn.XLOOKUP($A$1,Fixture!$D$142:$D$149,Fixture!$F$142:$F$149,_xlfn.XLOOKUP($A$1,Fixture!$F$142:$F$149,Fixture!$D$142:$D$149,"Descansa",FALSE))</f>
        <v>Villanueva</v>
      </c>
      <c r="CC2" s="141"/>
      <c r="CD2" s="141"/>
      <c r="CE2" s="142"/>
      <c r="CF2" s="140" t="str">
        <f>+_xlfn.XLOOKUP($A$1,Fixture!$D$150:$D$155,Fixture!$F$150:$F$155,_xlfn.XLOOKUP($A$1,Fixture!$F$150:$F$155,Fixture!$D$150:$D$155,"Descansa",FALSE))</f>
        <v>Descansa</v>
      </c>
      <c r="CG2" s="141"/>
      <c r="CH2" s="141"/>
      <c r="CI2" s="142"/>
      <c r="CJ2" s="140" t="str">
        <f>+_xlfn.XLOOKUP($A$1,Fixture!$D$156:$D$161,Fixture!$F$156:$F$161,_xlfn.XLOOKUP($A$1,Fixture!$F$156:$F$161,Fixture!$D$156:$D$161,"Descansa",FALSE))</f>
        <v>CD El Corozo</v>
      </c>
      <c r="CK2" s="141"/>
      <c r="CL2" s="141"/>
      <c r="CM2" s="142"/>
      <c r="CN2" s="140" t="str">
        <f>+_xlfn.XLOOKUP($A$1,Fixture!$D$162:$D$167,Fixture!$F$162:$F$167,_xlfn.XLOOKUP($A$1,Fixture!$F$162:$F$167,Fixture!$D$162:$D$167,"Descansa",FALSE))</f>
        <v>Descansa</v>
      </c>
      <c r="CO2" s="141"/>
      <c r="CP2" s="141"/>
      <c r="CQ2" s="142"/>
      <c r="CR2" s="140" t="str">
        <f>+_xlfn.XLOOKUP($A$1,Fixture!$D$168:$D$169,Fixture!$F$168:$F$169,_xlfn.XLOOKUP($A$1,Fixture!$F$168:$F$169,Fixture!$D$168:$D$169,"Descanssa",FALSE))</f>
        <v>Descanssa</v>
      </c>
      <c r="CS2" s="141"/>
      <c r="CT2" s="141"/>
      <c r="CU2" s="142"/>
      <c r="CV2" s="140" t="str">
        <f>+_xlfn.XLOOKUP($A$1,Fixture!$D$170:$D$171,Fixture!$F$170:$F$171,_xlfn.XLOOKUP($A$1,Fixture!$F$170:$F$171,Fixture!$D$170:$D$171,"Descansa",FALSE))</f>
        <v>Descansa</v>
      </c>
      <c r="CW2" s="141"/>
      <c r="CX2" s="141"/>
      <c r="CY2" s="142"/>
      <c r="CZ2" s="72"/>
      <c r="DA2" s="73"/>
      <c r="DB2" s="73"/>
      <c r="DC2" s="74"/>
    </row>
    <row r="3" spans="1:107" ht="14.45" customHeight="1" x14ac:dyDescent="0.25">
      <c r="A3" s="180"/>
      <c r="B3" s="180"/>
      <c r="C3" s="180"/>
      <c r="D3" s="22" t="s">
        <v>89</v>
      </c>
      <c r="E3" s="22" t="s">
        <v>90</v>
      </c>
      <c r="F3" s="22" t="s">
        <v>91</v>
      </c>
      <c r="G3" s="24" t="s">
        <v>92</v>
      </c>
      <c r="H3" s="166">
        <f>IF(Fixture!$C4=0,"",Fixture!$C4)</f>
        <v>45676</v>
      </c>
      <c r="I3" s="167"/>
      <c r="J3" s="167"/>
      <c r="K3" s="168"/>
      <c r="L3" s="166">
        <f>IF(Fixture!$C12=0,"",Fixture!$C12)</f>
        <v>45683</v>
      </c>
      <c r="M3" s="167"/>
      <c r="N3" s="167"/>
      <c r="O3" s="168"/>
      <c r="P3" s="166">
        <f>IF(Fixture!$C23=0,"",Fixture!$C23)</f>
        <v>45690</v>
      </c>
      <c r="Q3" s="167"/>
      <c r="R3" s="167"/>
      <c r="S3" s="168"/>
      <c r="T3" s="166">
        <f>IF(Fixture!$C27=0,"",Fixture!$C27)</f>
        <v>45697</v>
      </c>
      <c r="U3" s="167"/>
      <c r="V3" s="167"/>
      <c r="W3" s="168"/>
      <c r="X3" s="166">
        <f>IF(Fixture!$C35=0,"",Fixture!$C35)</f>
        <v>45704</v>
      </c>
      <c r="Y3" s="167"/>
      <c r="Z3" s="167"/>
      <c r="AA3" s="168"/>
      <c r="AB3" s="166">
        <f>IF(Fixture!$C42=0,"",Fixture!$C42)</f>
        <v>45711</v>
      </c>
      <c r="AC3" s="167"/>
      <c r="AD3" s="167"/>
      <c r="AE3" s="168"/>
      <c r="AF3" s="166">
        <f>IF(Fixture!$C50=0,"",Fixture!$C50)</f>
        <v>45718</v>
      </c>
      <c r="AG3" s="167"/>
      <c r="AH3" s="167"/>
      <c r="AI3" s="168"/>
      <c r="AJ3" s="166">
        <f>IF(Fixture!$C65=0,"",Fixture!$C65)</f>
        <v>45725</v>
      </c>
      <c r="AK3" s="167"/>
      <c r="AL3" s="167"/>
      <c r="AM3" s="168"/>
      <c r="AN3" s="166">
        <f>IF(Fixture!$C66=0,"",Fixture!$C66)</f>
        <v>45704</v>
      </c>
      <c r="AO3" s="167"/>
      <c r="AP3" s="167"/>
      <c r="AQ3" s="168"/>
      <c r="AR3" s="166">
        <f>IF(Fixture!$C74=0,"",Fixture!$C74)</f>
        <v>45746</v>
      </c>
      <c r="AS3" s="167"/>
      <c r="AT3" s="167"/>
      <c r="AU3" s="168"/>
      <c r="AV3" s="166">
        <f>IF(Fixture!$C83=0,"",Fixture!$C83)</f>
        <v>45753</v>
      </c>
      <c r="AW3" s="167"/>
      <c r="AX3" s="167"/>
      <c r="AY3" s="168"/>
      <c r="AZ3" s="166">
        <f>IF(Fixture!$C91=0,"",Fixture!$C91)</f>
        <v>45774</v>
      </c>
      <c r="BA3" s="167"/>
      <c r="BB3" s="167"/>
      <c r="BC3" s="168"/>
      <c r="BD3" s="166">
        <f>IF(Fixture!$C100=0,"",Fixture!$C100)</f>
        <v>45781</v>
      </c>
      <c r="BE3" s="167"/>
      <c r="BF3" s="167"/>
      <c r="BG3" s="168"/>
      <c r="BH3" s="163" t="e">
        <f>+VLOOKUP(BH1,Resultados!$A$3:$B$71,2,FALSE)</f>
        <v>#N/A</v>
      </c>
      <c r="BI3" s="164"/>
      <c r="BJ3" s="164"/>
      <c r="BK3" s="165"/>
      <c r="BL3" s="163" t="e">
        <f>+VLOOKUP(BL1,Resultados!$A$3:$B$71,2,FALSE)</f>
        <v>#N/A</v>
      </c>
      <c r="BM3" s="164"/>
      <c r="BN3" s="164"/>
      <c r="BO3" s="165"/>
      <c r="BP3" s="163" t="e">
        <f>+VLOOKUP(BP1,Resultados!$A$3:$B$71,2,FALSE)</f>
        <v>#N/A</v>
      </c>
      <c r="BQ3" s="164"/>
      <c r="BR3" s="164"/>
      <c r="BS3" s="165"/>
      <c r="BT3" s="163" t="e">
        <f>+VLOOKUP(BT1,Resultados!$A$3:$B$71,2,FALSE)</f>
        <v>#N/A</v>
      </c>
      <c r="BU3" s="164"/>
      <c r="BV3" s="164"/>
      <c r="BW3" s="165"/>
      <c r="BX3" s="163" t="e">
        <f>+VLOOKUP(BX1,Resultados!$A$3:$B$71,2,FALSE)</f>
        <v>#N/A</v>
      </c>
      <c r="BY3" s="164"/>
      <c r="BZ3" s="164"/>
      <c r="CA3" s="165"/>
      <c r="CB3" s="163" t="e">
        <f>+VLOOKUP(CB1,Resultados!$A$3:$B$71,2,FALSE)</f>
        <v>#N/A</v>
      </c>
      <c r="CC3" s="164"/>
      <c r="CD3" s="164"/>
      <c r="CE3" s="165"/>
      <c r="CF3" s="163" t="e">
        <f>+VLOOKUP(CF1,Resultados!$A$3:$B$71,2,FALSE)</f>
        <v>#N/A</v>
      </c>
      <c r="CG3" s="164"/>
      <c r="CH3" s="164"/>
      <c r="CI3" s="165"/>
      <c r="CJ3" s="163" t="e">
        <f>+VLOOKUP(CJ1,Resultados!$A$3:$B$71,2,FALSE)</f>
        <v>#N/A</v>
      </c>
      <c r="CK3" s="164"/>
      <c r="CL3" s="164"/>
      <c r="CM3" s="165"/>
      <c r="CN3" s="163" t="e">
        <f>+VLOOKUP(CN1,Resultados!$A$3:$B$71,2,FALSE)</f>
        <v>#N/A</v>
      </c>
      <c r="CO3" s="164"/>
      <c r="CP3" s="164"/>
      <c r="CQ3" s="165"/>
      <c r="CR3" s="163" t="e">
        <f>+VLOOKUP(CR1,Resultados!$A$3:$B$71,2,FALSE)</f>
        <v>#N/A</v>
      </c>
      <c r="CS3" s="164"/>
      <c r="CT3" s="164"/>
      <c r="CU3" s="165"/>
      <c r="CV3" s="163" t="e">
        <f>+VLOOKUP(CV1,Resultados!$A$3:$B$71,2,FALSE)</f>
        <v>#N/A</v>
      </c>
      <c r="CW3" s="164"/>
      <c r="CX3" s="164"/>
      <c r="CY3" s="165"/>
      <c r="CZ3" s="163" t="e">
        <f>+VLOOKUP(CZ1,Resultados!$A$3:$B$71,2,FALSE)</f>
        <v>#N/A</v>
      </c>
      <c r="DA3" s="164"/>
      <c r="DB3" s="164"/>
      <c r="DC3" s="165"/>
    </row>
    <row r="4" spans="1:107" ht="19.899999999999999" customHeight="1" x14ac:dyDescent="0.25">
      <c r="A4" s="178" t="s">
        <v>3</v>
      </c>
      <c r="B4" s="154" t="str">
        <f>Jugadores!B3</f>
        <v>Jaidiver Montoya</v>
      </c>
      <c r="C4" s="155"/>
      <c r="D4" s="24">
        <f>H4+L4+P4+T4+X4+AB4+AF4+AJ4+AN4+AR4+AV4+AZ4+BD4+BH4+BL4+BP4+BT4+BX4+CB4+CF4+CJ4+CN4+CR4+CV4+CZ4</f>
        <v>7</v>
      </c>
      <c r="E4" s="24">
        <f>I4+M4+Q4+U4+Y4+AC4+AG4+AK4+AO4+AS4+AW4+BA4+BE4+BI4+BM4+BQ4+BU4+BY4+CC4+CG4+CK4+CO4+CS4+CW4+DA4</f>
        <v>1</v>
      </c>
      <c r="F4" s="115">
        <f>J4+N4+R4+V4+Z4+AD4+AH4+AL4+AP4+AT4+AX4+BB4+BF4+BJ4+BN4+BR4+BV4+BZ4+CD4+CH4+CL4+CP4+CT4+CX4</f>
        <v>0</v>
      </c>
      <c r="G4" s="115">
        <f>K4+O4+S4+W4+AA4+AE4+AI4+AM4+AQ4+AU4+AY4+BC4+BG4+BK4+BO4+BS4+BW4+CA4+CE4+CI4+CM4+CQ4+CU4+CY4</f>
        <v>0</v>
      </c>
      <c r="H4" s="28"/>
      <c r="I4" s="26"/>
      <c r="J4" s="26"/>
      <c r="K4" s="29"/>
      <c r="L4" s="28"/>
      <c r="M4" s="26"/>
      <c r="N4" s="26"/>
      <c r="O4" s="29"/>
      <c r="P4" s="28"/>
      <c r="Q4" s="26">
        <v>1</v>
      </c>
      <c r="R4" s="26"/>
      <c r="S4" s="29"/>
      <c r="T4" s="28">
        <v>1</v>
      </c>
      <c r="U4" s="26"/>
      <c r="V4" s="26"/>
      <c r="W4" s="29"/>
      <c r="X4" s="28"/>
      <c r="Y4" s="26"/>
      <c r="Z4" s="26"/>
      <c r="AA4" s="29"/>
      <c r="AB4" s="28">
        <v>2</v>
      </c>
      <c r="AC4" s="26"/>
      <c r="AD4" s="26"/>
      <c r="AE4" s="29"/>
      <c r="AF4" s="28"/>
      <c r="AG4" s="26"/>
      <c r="AH4" s="26"/>
      <c r="AI4" s="29"/>
      <c r="AJ4" s="28"/>
      <c r="AK4" s="26"/>
      <c r="AL4" s="26"/>
      <c r="AM4" s="29"/>
      <c r="AN4" s="28"/>
      <c r="AO4" s="26"/>
      <c r="AP4" s="26"/>
      <c r="AQ4" s="29"/>
      <c r="AR4" s="28">
        <v>1</v>
      </c>
      <c r="AS4" s="26"/>
      <c r="AT4" s="26"/>
      <c r="AU4" s="29"/>
      <c r="AV4" s="28"/>
      <c r="AW4" s="26"/>
      <c r="AX4" s="26"/>
      <c r="AY4" s="29"/>
      <c r="AZ4" s="28"/>
      <c r="BA4" s="26"/>
      <c r="BB4" s="26"/>
      <c r="BC4" s="29"/>
      <c r="BD4" s="28"/>
      <c r="BE4" s="26"/>
      <c r="BF4" s="26"/>
      <c r="BG4" s="29"/>
      <c r="BH4" s="28"/>
      <c r="BI4" s="26"/>
      <c r="BJ4" s="26"/>
      <c r="BK4" s="29"/>
      <c r="BL4" s="28">
        <v>2</v>
      </c>
      <c r="BM4" s="26"/>
      <c r="BN4" s="26"/>
      <c r="BO4" s="29"/>
      <c r="BP4" s="28"/>
      <c r="BQ4" s="26"/>
      <c r="BR4" s="26"/>
      <c r="BS4" s="29"/>
      <c r="BT4" s="28"/>
      <c r="BU4" s="26"/>
      <c r="BV4" s="26"/>
      <c r="BW4" s="29"/>
      <c r="BX4" s="28">
        <v>1</v>
      </c>
      <c r="BY4" s="26"/>
      <c r="BZ4" s="26"/>
      <c r="CA4" s="29"/>
      <c r="CB4" s="28"/>
      <c r="CC4" s="26"/>
      <c r="CD4" s="26"/>
      <c r="CE4" s="29"/>
      <c r="CF4" s="28"/>
      <c r="CG4" s="26"/>
      <c r="CH4" s="26"/>
      <c r="CI4" s="29"/>
      <c r="CJ4" s="28"/>
      <c r="CK4" s="26"/>
      <c r="CL4" s="26"/>
      <c r="CM4" s="29"/>
      <c r="CN4" s="28"/>
      <c r="CO4" s="26"/>
      <c r="CP4" s="26"/>
      <c r="CQ4" s="29"/>
      <c r="CR4" s="28"/>
      <c r="CS4" s="26"/>
      <c r="CT4" s="26"/>
      <c r="CU4" s="29"/>
      <c r="CV4" s="28"/>
      <c r="CW4" s="26"/>
      <c r="CX4" s="26"/>
      <c r="CY4" s="29"/>
      <c r="CZ4" s="28"/>
      <c r="DA4" s="26"/>
      <c r="DB4" s="26"/>
      <c r="DC4" s="29"/>
    </row>
    <row r="5" spans="1:107" ht="19.899999999999999" customHeight="1" x14ac:dyDescent="0.25">
      <c r="A5" s="178"/>
      <c r="B5" s="154" t="str">
        <f>Jugadores!B4</f>
        <v xml:space="preserve">Nafer Narváez </v>
      </c>
      <c r="C5" s="155"/>
      <c r="D5" s="24">
        <f t="shared" ref="D5:D18" si="0">H5+L5+P5+T5+X5+AB5+AF5+AJ5+AN5+AR5+AV5+AZ5+BD5+BH5+BL5+BP5+BT5+BX5+CB5+CF5+CJ5+CN5+CR5+CV5+CZ5</f>
        <v>0</v>
      </c>
      <c r="E5" s="24">
        <f t="shared" ref="E5:E18" si="1">I5+M5+Q5+U5+Y5+AC5+AG5+AK5+AO5+AS5+AW5+BA5+BE5+BI5+BM5+BQ5+BU5+BY5+CC5+CG5+CK5+CO5+CS5+CW5+DA5</f>
        <v>0</v>
      </c>
      <c r="F5" s="115">
        <f t="shared" ref="F5:F18" si="2">J5+N5+R5+V5+Z5+AD5+AH5+AL5+AP5+AT5+AX5+BB5+BF5+BJ5+BN5+BR5+BV5+BZ5+CD5+CH5+CL5+CP5+CT5+CX5</f>
        <v>0</v>
      </c>
      <c r="G5" s="115">
        <f t="shared" ref="G5:G18" si="3">K5+O5+S5+W5+AA5+AE5+AI5+AM5+AQ5+AU5+AY5+BC5+BG5+BK5+BO5+BS5+BW5+CA5+CE5+CI5+CM5+CQ5+CU5+CY5</f>
        <v>0</v>
      </c>
      <c r="H5" s="28"/>
      <c r="I5" s="26"/>
      <c r="J5" s="26"/>
      <c r="K5" s="29"/>
      <c r="L5" s="28"/>
      <c r="M5" s="26"/>
      <c r="N5" s="26"/>
      <c r="O5" s="29"/>
      <c r="P5" s="28"/>
      <c r="Q5" s="26"/>
      <c r="R5" s="26"/>
      <c r="S5" s="29"/>
      <c r="T5" s="28"/>
      <c r="U5" s="26"/>
      <c r="V5" s="26"/>
      <c r="W5" s="29"/>
      <c r="X5" s="28"/>
      <c r="Y5" s="26"/>
      <c r="Z5" s="26"/>
      <c r="AA5" s="29"/>
      <c r="AB5" s="28"/>
      <c r="AC5" s="26"/>
      <c r="AD5" s="26"/>
      <c r="AE5" s="29"/>
      <c r="AF5" s="28"/>
      <c r="AG5" s="26"/>
      <c r="AH5" s="26"/>
      <c r="AI5" s="29"/>
      <c r="AJ5" s="28"/>
      <c r="AK5" s="26"/>
      <c r="AL5" s="26"/>
      <c r="AM5" s="29"/>
      <c r="AN5" s="28"/>
      <c r="AO5" s="26"/>
      <c r="AP5" s="26"/>
      <c r="AQ5" s="29"/>
      <c r="AR5" s="28"/>
      <c r="AS5" s="26"/>
      <c r="AT5" s="26"/>
      <c r="AU5" s="29"/>
      <c r="AV5" s="28"/>
      <c r="AW5" s="26"/>
      <c r="AX5" s="26"/>
      <c r="AY5" s="29"/>
      <c r="AZ5" s="28"/>
      <c r="BA5" s="26"/>
      <c r="BB5" s="26"/>
      <c r="BC5" s="29"/>
      <c r="BD5" s="28"/>
      <c r="BE5" s="26"/>
      <c r="BF5" s="26"/>
      <c r="BG5" s="29"/>
      <c r="BH5" s="28"/>
      <c r="BI5" s="26"/>
      <c r="BJ5" s="26"/>
      <c r="BK5" s="29"/>
      <c r="BL5" s="28"/>
      <c r="BM5" s="26"/>
      <c r="BN5" s="26"/>
      <c r="BO5" s="29"/>
      <c r="BP5" s="28"/>
      <c r="BQ5" s="26"/>
      <c r="BR5" s="26"/>
      <c r="BS5" s="29"/>
      <c r="BT5" s="28"/>
      <c r="BU5" s="26"/>
      <c r="BV5" s="26"/>
      <c r="BW5" s="29"/>
      <c r="BX5" s="28"/>
      <c r="BY5" s="26"/>
      <c r="BZ5" s="26"/>
      <c r="CA5" s="29"/>
      <c r="CB5" s="28"/>
      <c r="CC5" s="26"/>
      <c r="CD5" s="26"/>
      <c r="CE5" s="29"/>
      <c r="CF5" s="28"/>
      <c r="CG5" s="26"/>
      <c r="CH5" s="26"/>
      <c r="CI5" s="29"/>
      <c r="CJ5" s="28"/>
      <c r="CK5" s="26"/>
      <c r="CL5" s="26"/>
      <c r="CM5" s="29"/>
      <c r="CN5" s="28"/>
      <c r="CO5" s="26"/>
      <c r="CP5" s="26"/>
      <c r="CQ5" s="29"/>
      <c r="CR5" s="28"/>
      <c r="CS5" s="26"/>
      <c r="CT5" s="26"/>
      <c r="CU5" s="29"/>
      <c r="CV5" s="28"/>
      <c r="CW5" s="26"/>
      <c r="CX5" s="26"/>
      <c r="CY5" s="29"/>
      <c r="CZ5" s="28"/>
      <c r="DA5" s="26"/>
      <c r="DB5" s="26"/>
      <c r="DC5" s="29"/>
    </row>
    <row r="6" spans="1:107" ht="19.899999999999999" customHeight="1" x14ac:dyDescent="0.25">
      <c r="A6" s="178"/>
      <c r="B6" s="154" t="str">
        <f>Jugadores!B5</f>
        <v xml:space="preserve">Jhonatan Carvajal </v>
      </c>
      <c r="C6" s="155"/>
      <c r="D6" s="24">
        <f t="shared" si="0"/>
        <v>6</v>
      </c>
      <c r="E6" s="24">
        <f t="shared" si="1"/>
        <v>0</v>
      </c>
      <c r="F6" s="115">
        <f t="shared" si="2"/>
        <v>0</v>
      </c>
      <c r="G6" s="115">
        <f t="shared" si="3"/>
        <v>0</v>
      </c>
      <c r="H6" s="28"/>
      <c r="I6" s="26"/>
      <c r="J6" s="26"/>
      <c r="K6" s="29"/>
      <c r="L6" s="28"/>
      <c r="M6" s="26"/>
      <c r="N6" s="26"/>
      <c r="O6" s="29"/>
      <c r="P6" s="28"/>
      <c r="Q6" s="26"/>
      <c r="R6" s="26"/>
      <c r="S6" s="29"/>
      <c r="T6" s="28"/>
      <c r="U6" s="26"/>
      <c r="V6" s="26"/>
      <c r="W6" s="29"/>
      <c r="X6" s="28"/>
      <c r="Y6" s="26"/>
      <c r="Z6" s="26"/>
      <c r="AA6" s="29"/>
      <c r="AB6" s="28"/>
      <c r="AC6" s="26"/>
      <c r="AD6" s="26"/>
      <c r="AE6" s="29"/>
      <c r="AF6" s="28">
        <v>1</v>
      </c>
      <c r="AG6" s="26"/>
      <c r="AH6" s="26"/>
      <c r="AI6" s="29"/>
      <c r="AJ6" s="28"/>
      <c r="AK6" s="26"/>
      <c r="AL6" s="26"/>
      <c r="AM6" s="29"/>
      <c r="AN6" s="28">
        <v>2</v>
      </c>
      <c r="AO6" s="26"/>
      <c r="AP6" s="26"/>
      <c r="AQ6" s="29"/>
      <c r="AR6" s="28"/>
      <c r="AS6" s="26"/>
      <c r="AT6" s="26"/>
      <c r="AU6" s="29"/>
      <c r="AV6" s="28"/>
      <c r="AW6" s="26"/>
      <c r="AX6" s="26"/>
      <c r="AY6" s="29"/>
      <c r="AZ6" s="28"/>
      <c r="BA6" s="26"/>
      <c r="BB6" s="26"/>
      <c r="BC6" s="29"/>
      <c r="BD6" s="28">
        <v>2</v>
      </c>
      <c r="BE6" s="26"/>
      <c r="BF6" s="26"/>
      <c r="BG6" s="29"/>
      <c r="BH6" s="28"/>
      <c r="BI6" s="26"/>
      <c r="BJ6" s="26"/>
      <c r="BK6" s="29"/>
      <c r="BL6" s="28"/>
      <c r="BM6" s="26"/>
      <c r="BN6" s="26"/>
      <c r="BO6" s="29"/>
      <c r="BP6" s="28"/>
      <c r="BQ6" s="26"/>
      <c r="BR6" s="26"/>
      <c r="BS6" s="29"/>
      <c r="BT6" s="28">
        <v>1</v>
      </c>
      <c r="BU6" s="26"/>
      <c r="BV6" s="26"/>
      <c r="BW6" s="29"/>
      <c r="BX6" s="28"/>
      <c r="BY6" s="26"/>
      <c r="BZ6" s="26"/>
      <c r="CA6" s="29"/>
      <c r="CB6" s="28"/>
      <c r="CC6" s="26"/>
      <c r="CD6" s="26"/>
      <c r="CE6" s="29"/>
      <c r="CF6" s="28"/>
      <c r="CG6" s="26"/>
      <c r="CH6" s="26"/>
      <c r="CI6" s="29"/>
      <c r="CJ6" s="28"/>
      <c r="CK6" s="26"/>
      <c r="CL6" s="26"/>
      <c r="CM6" s="29"/>
      <c r="CN6" s="28"/>
      <c r="CO6" s="26"/>
      <c r="CP6" s="26"/>
      <c r="CQ6" s="29"/>
      <c r="CR6" s="28"/>
      <c r="CS6" s="26"/>
      <c r="CT6" s="26"/>
      <c r="CU6" s="29"/>
      <c r="CV6" s="28"/>
      <c r="CW6" s="26"/>
      <c r="CX6" s="26"/>
      <c r="CY6" s="29"/>
      <c r="CZ6" s="28"/>
      <c r="DA6" s="26"/>
      <c r="DB6" s="26"/>
      <c r="DC6" s="29"/>
    </row>
    <row r="7" spans="1:107" ht="19.899999999999999" customHeight="1" x14ac:dyDescent="0.25">
      <c r="A7" s="178"/>
      <c r="B7" s="154" t="str">
        <f>Jugadores!B6</f>
        <v>Gonzalo Carvajal</v>
      </c>
      <c r="C7" s="155"/>
      <c r="D7" s="24">
        <f>H7+L7+P7+T7+X7+AB7+AF7+AJ7+AN7+AR7+AV7+AZ7+BD7+BH7+BL7+BP7+BT7+BX7+CB7+CF7+CJ7+CN7+CR7+CV7+CZ7</f>
        <v>6</v>
      </c>
      <c r="E7" s="24">
        <f t="shared" si="1"/>
        <v>2</v>
      </c>
      <c r="F7" s="115">
        <f t="shared" si="2"/>
        <v>0</v>
      </c>
      <c r="G7" s="115">
        <f t="shared" si="3"/>
        <v>0</v>
      </c>
      <c r="H7" s="28"/>
      <c r="I7" s="26"/>
      <c r="J7" s="26"/>
      <c r="K7" s="29"/>
      <c r="L7" s="28"/>
      <c r="M7" s="26"/>
      <c r="N7" s="26"/>
      <c r="O7" s="29"/>
      <c r="P7" s="28"/>
      <c r="Q7" s="26"/>
      <c r="R7" s="26"/>
      <c r="S7" s="29"/>
      <c r="T7" s="28"/>
      <c r="U7" s="26"/>
      <c r="V7" s="26"/>
      <c r="W7" s="29"/>
      <c r="X7" s="28"/>
      <c r="Y7" s="26"/>
      <c r="Z7" s="26"/>
      <c r="AA7" s="29"/>
      <c r="AB7" s="28"/>
      <c r="AC7" s="26"/>
      <c r="AD7" s="26"/>
      <c r="AE7" s="29"/>
      <c r="AF7" s="28">
        <v>1</v>
      </c>
      <c r="AG7" s="26"/>
      <c r="AH7" s="26"/>
      <c r="AI7" s="29"/>
      <c r="AJ7" s="28">
        <v>1</v>
      </c>
      <c r="AK7" s="26"/>
      <c r="AL7" s="26"/>
      <c r="AM7" s="29"/>
      <c r="AN7" s="28"/>
      <c r="AO7" s="26">
        <v>1</v>
      </c>
      <c r="AP7" s="26"/>
      <c r="AQ7" s="29"/>
      <c r="AR7" s="28">
        <v>2</v>
      </c>
      <c r="AS7" s="26"/>
      <c r="AT7" s="26"/>
      <c r="AU7" s="29"/>
      <c r="AV7" s="28">
        <v>1</v>
      </c>
      <c r="AW7" s="26"/>
      <c r="AX7" s="26"/>
      <c r="AY7" s="29"/>
      <c r="AZ7" s="28"/>
      <c r="BA7" s="26"/>
      <c r="BB7" s="26"/>
      <c r="BC7" s="29"/>
      <c r="BD7" s="28"/>
      <c r="BE7" s="26"/>
      <c r="BF7" s="26"/>
      <c r="BG7" s="29"/>
      <c r="BH7" s="28">
        <v>1</v>
      </c>
      <c r="BI7" s="26"/>
      <c r="BJ7" s="26"/>
      <c r="BK7" s="29"/>
      <c r="BL7" s="28"/>
      <c r="BM7" s="26"/>
      <c r="BN7" s="26"/>
      <c r="BO7" s="29"/>
      <c r="BP7" s="28"/>
      <c r="BQ7" s="26"/>
      <c r="BR7" s="26"/>
      <c r="BS7" s="29"/>
      <c r="BT7" s="28"/>
      <c r="BU7" s="26"/>
      <c r="BV7" s="26"/>
      <c r="BW7" s="29"/>
      <c r="BX7" s="28"/>
      <c r="BY7" s="26">
        <v>1</v>
      </c>
      <c r="BZ7" s="26"/>
      <c r="CA7" s="29"/>
      <c r="CB7" s="28"/>
      <c r="CC7" s="26"/>
      <c r="CD7" s="26"/>
      <c r="CE7" s="29"/>
      <c r="CF7" s="28"/>
      <c r="CG7" s="26"/>
      <c r="CH7" s="26"/>
      <c r="CI7" s="29"/>
      <c r="CJ7" s="28"/>
      <c r="CK7" s="26"/>
      <c r="CL7" s="26"/>
      <c r="CM7" s="29"/>
      <c r="CN7" s="28"/>
      <c r="CO7" s="26"/>
      <c r="CP7" s="26"/>
      <c r="CQ7" s="29"/>
      <c r="CR7" s="28"/>
      <c r="CS7" s="26"/>
      <c r="CT7" s="26"/>
      <c r="CU7" s="29"/>
      <c r="CV7" s="28"/>
      <c r="CW7" s="26"/>
      <c r="CX7" s="26"/>
      <c r="CY7" s="29"/>
      <c r="CZ7" s="28"/>
      <c r="DA7" s="26"/>
      <c r="DB7" s="26"/>
      <c r="DC7" s="29"/>
    </row>
    <row r="8" spans="1:107" ht="19.899999999999999" customHeight="1" x14ac:dyDescent="0.25">
      <c r="A8" s="178"/>
      <c r="B8" s="154" t="str">
        <f>Jugadores!B7</f>
        <v xml:space="preserve">Alejandro Ospina </v>
      </c>
      <c r="C8" s="155"/>
      <c r="D8" s="24">
        <f t="shared" si="0"/>
        <v>1</v>
      </c>
      <c r="E8" s="24">
        <f t="shared" si="1"/>
        <v>0</v>
      </c>
      <c r="F8" s="115">
        <f t="shared" si="2"/>
        <v>0</v>
      </c>
      <c r="G8" s="115">
        <f t="shared" si="3"/>
        <v>0</v>
      </c>
      <c r="H8" s="28">
        <v>1</v>
      </c>
      <c r="I8" s="26"/>
      <c r="J8" s="26"/>
      <c r="K8" s="29"/>
      <c r="L8" s="28"/>
      <c r="M8" s="26"/>
      <c r="N8" s="26"/>
      <c r="O8" s="29"/>
      <c r="P8" s="28"/>
      <c r="Q8" s="26"/>
      <c r="R8" s="26"/>
      <c r="S8" s="29"/>
      <c r="T8" s="28"/>
      <c r="U8" s="26"/>
      <c r="V8" s="26"/>
      <c r="W8" s="29"/>
      <c r="X8" s="28"/>
      <c r="Y8" s="26"/>
      <c r="Z8" s="26"/>
      <c r="AA8" s="29"/>
      <c r="AB8" s="28"/>
      <c r="AC8" s="26"/>
      <c r="AD8" s="26"/>
      <c r="AE8" s="29"/>
      <c r="AF8" s="28"/>
      <c r="AG8" s="26"/>
      <c r="AH8" s="26"/>
      <c r="AI8" s="29"/>
      <c r="AJ8" s="28"/>
      <c r="AK8" s="26"/>
      <c r="AL8" s="26"/>
      <c r="AM8" s="29"/>
      <c r="AN8" s="28"/>
      <c r="AO8" s="26"/>
      <c r="AP8" s="26"/>
      <c r="AQ8" s="29"/>
      <c r="AR8" s="28"/>
      <c r="AS8" s="26"/>
      <c r="AT8" s="26"/>
      <c r="AU8" s="29"/>
      <c r="AV8" s="28"/>
      <c r="AW8" s="26"/>
      <c r="AX8" s="26"/>
      <c r="AY8" s="29"/>
      <c r="AZ8" s="28"/>
      <c r="BA8" s="26"/>
      <c r="BB8" s="26"/>
      <c r="BC8" s="29"/>
      <c r="BD8" s="28"/>
      <c r="BE8" s="26"/>
      <c r="BF8" s="26"/>
      <c r="BG8" s="29"/>
      <c r="BH8" s="28"/>
      <c r="BI8" s="26"/>
      <c r="BJ8" s="26"/>
      <c r="BK8" s="29"/>
      <c r="BL8" s="28"/>
      <c r="BM8" s="26"/>
      <c r="BN8" s="26"/>
      <c r="BO8" s="29"/>
      <c r="BP8" s="28"/>
      <c r="BQ8" s="26"/>
      <c r="BR8" s="26"/>
      <c r="BS8" s="29"/>
      <c r="BT8" s="28"/>
      <c r="BU8" s="26"/>
      <c r="BV8" s="26"/>
      <c r="BW8" s="29"/>
      <c r="BX8" s="28"/>
      <c r="BY8" s="26"/>
      <c r="BZ8" s="26"/>
      <c r="CA8" s="29"/>
      <c r="CB8" s="28"/>
      <c r="CC8" s="26"/>
      <c r="CD8" s="26"/>
      <c r="CE8" s="29"/>
      <c r="CF8" s="28"/>
      <c r="CG8" s="26"/>
      <c r="CH8" s="26"/>
      <c r="CI8" s="29"/>
      <c r="CJ8" s="28"/>
      <c r="CK8" s="26"/>
      <c r="CL8" s="26"/>
      <c r="CM8" s="29"/>
      <c r="CN8" s="28"/>
      <c r="CO8" s="26"/>
      <c r="CP8" s="26"/>
      <c r="CQ8" s="29"/>
      <c r="CR8" s="28"/>
      <c r="CS8" s="26"/>
      <c r="CT8" s="26"/>
      <c r="CU8" s="29"/>
      <c r="CV8" s="28"/>
      <c r="CW8" s="26"/>
      <c r="CX8" s="26"/>
      <c r="CY8" s="29"/>
      <c r="CZ8" s="28"/>
      <c r="DA8" s="26"/>
      <c r="DB8" s="26"/>
      <c r="DC8" s="29"/>
    </row>
    <row r="9" spans="1:107" ht="19.899999999999999" customHeight="1" x14ac:dyDescent="0.25">
      <c r="A9" s="178"/>
      <c r="B9" s="154" t="str">
        <f>Jugadores!B8</f>
        <v xml:space="preserve">Wiliam López </v>
      </c>
      <c r="C9" s="155"/>
      <c r="D9" s="24">
        <f t="shared" si="0"/>
        <v>0</v>
      </c>
      <c r="E9" s="24">
        <f t="shared" si="1"/>
        <v>0</v>
      </c>
      <c r="F9" s="115">
        <f t="shared" si="2"/>
        <v>0</v>
      </c>
      <c r="G9" s="115">
        <f t="shared" si="3"/>
        <v>0</v>
      </c>
      <c r="H9" s="28"/>
      <c r="I9" s="26"/>
      <c r="J9" s="26"/>
      <c r="K9" s="29"/>
      <c r="L9" s="28"/>
      <c r="M9" s="26"/>
      <c r="N9" s="26"/>
      <c r="O9" s="29"/>
      <c r="P9" s="28"/>
      <c r="Q9" s="26"/>
      <c r="R9" s="26"/>
      <c r="S9" s="29"/>
      <c r="T9" s="28"/>
      <c r="U9" s="26"/>
      <c r="V9" s="26"/>
      <c r="W9" s="29"/>
      <c r="X9" s="28"/>
      <c r="Y9" s="26"/>
      <c r="Z9" s="26"/>
      <c r="AA9" s="29"/>
      <c r="AB9" s="28"/>
      <c r="AC9" s="26"/>
      <c r="AD9" s="26"/>
      <c r="AE9" s="29"/>
      <c r="AF9" s="28"/>
      <c r="AG9" s="26"/>
      <c r="AH9" s="26"/>
      <c r="AI9" s="29"/>
      <c r="AJ9" s="28"/>
      <c r="AK9" s="26"/>
      <c r="AL9" s="26"/>
      <c r="AM9" s="29"/>
      <c r="AN9" s="28"/>
      <c r="AO9" s="26"/>
      <c r="AP9" s="26"/>
      <c r="AQ9" s="29"/>
      <c r="AR9" s="28"/>
      <c r="AS9" s="26"/>
      <c r="AT9" s="26"/>
      <c r="AU9" s="29"/>
      <c r="AV9" s="28"/>
      <c r="AW9" s="26"/>
      <c r="AX9" s="26"/>
      <c r="AY9" s="29"/>
      <c r="AZ9" s="28"/>
      <c r="BA9" s="26"/>
      <c r="BB9" s="26"/>
      <c r="BC9" s="29"/>
      <c r="BD9" s="28"/>
      <c r="BE9" s="26"/>
      <c r="BF9" s="26"/>
      <c r="BG9" s="29"/>
      <c r="BH9" s="28"/>
      <c r="BI9" s="26"/>
      <c r="BJ9" s="26"/>
      <c r="BK9" s="29"/>
      <c r="BL9" s="28"/>
      <c r="BM9" s="26"/>
      <c r="BN9" s="26"/>
      <c r="BO9" s="29"/>
      <c r="BP9" s="28"/>
      <c r="BQ9" s="26"/>
      <c r="BR9" s="26"/>
      <c r="BS9" s="29"/>
      <c r="BT9" s="28"/>
      <c r="BU9" s="26"/>
      <c r="BV9" s="26"/>
      <c r="BW9" s="29"/>
      <c r="BX9" s="28"/>
      <c r="BY9" s="26"/>
      <c r="BZ9" s="26"/>
      <c r="CA9" s="29"/>
      <c r="CB9" s="28"/>
      <c r="CC9" s="26"/>
      <c r="CD9" s="26"/>
      <c r="CE9" s="29"/>
      <c r="CF9" s="28"/>
      <c r="CG9" s="26"/>
      <c r="CH9" s="26"/>
      <c r="CI9" s="29"/>
      <c r="CJ9" s="28"/>
      <c r="CK9" s="26"/>
      <c r="CL9" s="26"/>
      <c r="CM9" s="29"/>
      <c r="CN9" s="28"/>
      <c r="CO9" s="26"/>
      <c r="CP9" s="26"/>
      <c r="CQ9" s="29"/>
      <c r="CR9" s="28"/>
      <c r="CS9" s="26"/>
      <c r="CT9" s="26"/>
      <c r="CU9" s="29"/>
      <c r="CV9" s="28"/>
      <c r="CW9" s="26"/>
      <c r="CX9" s="26"/>
      <c r="CY9" s="29"/>
      <c r="CZ9" s="28"/>
      <c r="DA9" s="26"/>
      <c r="DB9" s="26"/>
      <c r="DC9" s="29"/>
    </row>
    <row r="10" spans="1:107" ht="19.899999999999999" customHeight="1" x14ac:dyDescent="0.25">
      <c r="A10" s="178"/>
      <c r="B10" s="154" t="str">
        <f>Jugadores!B9</f>
        <v xml:space="preserve">Luis Lima </v>
      </c>
      <c r="C10" s="155"/>
      <c r="D10" s="24">
        <f t="shared" si="0"/>
        <v>1</v>
      </c>
      <c r="E10" s="24">
        <f t="shared" si="1"/>
        <v>0</v>
      </c>
      <c r="F10" s="115">
        <f t="shared" si="2"/>
        <v>0</v>
      </c>
      <c r="G10" s="115">
        <f t="shared" si="3"/>
        <v>0</v>
      </c>
      <c r="H10" s="28"/>
      <c r="I10" s="26"/>
      <c r="J10" s="26"/>
      <c r="K10" s="29"/>
      <c r="L10" s="28"/>
      <c r="M10" s="26"/>
      <c r="N10" s="26"/>
      <c r="O10" s="29"/>
      <c r="P10" s="28"/>
      <c r="Q10" s="26"/>
      <c r="R10" s="26"/>
      <c r="S10" s="29"/>
      <c r="T10" s="28"/>
      <c r="U10" s="26"/>
      <c r="V10" s="26"/>
      <c r="W10" s="29"/>
      <c r="X10" s="28"/>
      <c r="Y10" s="26"/>
      <c r="Z10" s="26"/>
      <c r="AA10" s="29"/>
      <c r="AB10" s="28"/>
      <c r="AC10" s="26"/>
      <c r="AD10" s="26"/>
      <c r="AE10" s="29"/>
      <c r="AF10" s="28"/>
      <c r="AG10" s="26"/>
      <c r="AH10" s="26"/>
      <c r="AI10" s="29"/>
      <c r="AJ10" s="28">
        <v>1</v>
      </c>
      <c r="AK10" s="26"/>
      <c r="AL10" s="26"/>
      <c r="AM10" s="29"/>
      <c r="AN10" s="28"/>
      <c r="AO10" s="26"/>
      <c r="AP10" s="26"/>
      <c r="AQ10" s="29"/>
      <c r="AR10" s="28"/>
      <c r="AS10" s="26"/>
      <c r="AT10" s="26"/>
      <c r="AU10" s="29"/>
      <c r="AV10" s="28"/>
      <c r="AW10" s="26"/>
      <c r="AX10" s="26"/>
      <c r="AY10" s="29"/>
      <c r="AZ10" s="28"/>
      <c r="BA10" s="26"/>
      <c r="BB10" s="26"/>
      <c r="BC10" s="29"/>
      <c r="BD10" s="28"/>
      <c r="BE10" s="26"/>
      <c r="BF10" s="26"/>
      <c r="BG10" s="29"/>
      <c r="BH10" s="28"/>
      <c r="BI10" s="26"/>
      <c r="BJ10" s="26"/>
      <c r="BK10" s="29"/>
      <c r="BL10" s="28"/>
      <c r="BM10" s="26"/>
      <c r="BN10" s="26"/>
      <c r="BO10" s="29"/>
      <c r="BP10" s="28"/>
      <c r="BQ10" s="26"/>
      <c r="BR10" s="26"/>
      <c r="BS10" s="29"/>
      <c r="BT10" s="28"/>
      <c r="BU10" s="26"/>
      <c r="BV10" s="26"/>
      <c r="BW10" s="29"/>
      <c r="BX10" s="28"/>
      <c r="BY10" s="26"/>
      <c r="BZ10" s="26"/>
      <c r="CA10" s="29"/>
      <c r="CB10" s="28"/>
      <c r="CC10" s="26"/>
      <c r="CD10" s="26"/>
      <c r="CE10" s="29"/>
      <c r="CF10" s="28"/>
      <c r="CG10" s="26"/>
      <c r="CH10" s="26"/>
      <c r="CI10" s="29"/>
      <c r="CJ10" s="28"/>
      <c r="CK10" s="26"/>
      <c r="CL10" s="26"/>
      <c r="CM10" s="29"/>
      <c r="CN10" s="28"/>
      <c r="CO10" s="26"/>
      <c r="CP10" s="26"/>
      <c r="CQ10" s="29"/>
      <c r="CR10" s="28"/>
      <c r="CS10" s="26"/>
      <c r="CT10" s="26"/>
      <c r="CU10" s="29"/>
      <c r="CV10" s="28"/>
      <c r="CW10" s="26"/>
      <c r="CX10" s="26"/>
      <c r="CY10" s="29"/>
      <c r="CZ10" s="28"/>
      <c r="DA10" s="26"/>
      <c r="DB10" s="26"/>
      <c r="DC10" s="29"/>
    </row>
    <row r="11" spans="1:107" ht="19.899999999999999" customHeight="1" x14ac:dyDescent="0.25">
      <c r="A11" s="178"/>
      <c r="B11" s="154" t="str">
        <f>Jugadores!B10</f>
        <v>Juan José Jaramillo</v>
      </c>
      <c r="C11" s="155"/>
      <c r="D11" s="24">
        <f t="shared" si="0"/>
        <v>4</v>
      </c>
      <c r="E11" s="24">
        <f t="shared" si="1"/>
        <v>1</v>
      </c>
      <c r="F11" s="115">
        <f t="shared" si="2"/>
        <v>0</v>
      </c>
      <c r="G11" s="115">
        <f t="shared" si="3"/>
        <v>0</v>
      </c>
      <c r="H11" s="28">
        <v>1</v>
      </c>
      <c r="I11" s="26"/>
      <c r="J11" s="26"/>
      <c r="K11" s="29"/>
      <c r="L11" s="28"/>
      <c r="M11" s="26"/>
      <c r="N11" s="26"/>
      <c r="O11" s="29"/>
      <c r="P11" s="28"/>
      <c r="Q11" s="26"/>
      <c r="R11" s="26"/>
      <c r="S11" s="29"/>
      <c r="T11" s="28"/>
      <c r="U11" s="26"/>
      <c r="V11" s="26"/>
      <c r="W11" s="29"/>
      <c r="X11" s="28"/>
      <c r="Y11" s="26">
        <v>1</v>
      </c>
      <c r="Z11" s="26"/>
      <c r="AA11" s="29"/>
      <c r="AB11" s="28"/>
      <c r="AC11" s="26"/>
      <c r="AD11" s="26"/>
      <c r="AE11" s="29"/>
      <c r="AF11" s="28"/>
      <c r="AG11" s="26"/>
      <c r="AH11" s="26"/>
      <c r="AI11" s="29"/>
      <c r="AJ11" s="28"/>
      <c r="AK11" s="26"/>
      <c r="AL11" s="26"/>
      <c r="AM11" s="29"/>
      <c r="AN11" s="28"/>
      <c r="AO11" s="26"/>
      <c r="AP11" s="26"/>
      <c r="AQ11" s="29"/>
      <c r="AR11" s="28"/>
      <c r="AS11" s="26"/>
      <c r="AT11" s="26"/>
      <c r="AU11" s="29"/>
      <c r="AV11" s="28"/>
      <c r="AW11" s="26"/>
      <c r="AX11" s="26"/>
      <c r="AY11" s="29"/>
      <c r="AZ11" s="28"/>
      <c r="BA11" s="26"/>
      <c r="BB11" s="26"/>
      <c r="BC11" s="29"/>
      <c r="BD11" s="28"/>
      <c r="BE11" s="26"/>
      <c r="BF11" s="26"/>
      <c r="BG11" s="29"/>
      <c r="BH11" s="28">
        <v>1</v>
      </c>
      <c r="BI11" s="26"/>
      <c r="BJ11" s="26"/>
      <c r="BK11" s="29"/>
      <c r="BL11" s="28">
        <v>2</v>
      </c>
      <c r="BM11" s="26"/>
      <c r="BN11" s="26"/>
      <c r="BO11" s="29"/>
      <c r="BP11" s="28"/>
      <c r="BQ11" s="26"/>
      <c r="BR11" s="26"/>
      <c r="BS11" s="29"/>
      <c r="BT11" s="28"/>
      <c r="BU11" s="26"/>
      <c r="BV11" s="26"/>
      <c r="BW11" s="29"/>
      <c r="BX11" s="28"/>
      <c r="BY11" s="26"/>
      <c r="BZ11" s="26"/>
      <c r="CA11" s="29"/>
      <c r="CB11" s="28"/>
      <c r="CC11" s="26"/>
      <c r="CD11" s="26"/>
      <c r="CE11" s="29"/>
      <c r="CF11" s="28"/>
      <c r="CG11" s="26"/>
      <c r="CH11" s="26"/>
      <c r="CI11" s="29"/>
      <c r="CJ11" s="28"/>
      <c r="CK11" s="26"/>
      <c r="CL11" s="26"/>
      <c r="CM11" s="29"/>
      <c r="CN11" s="28"/>
      <c r="CO11" s="26"/>
      <c r="CP11" s="26"/>
      <c r="CQ11" s="29"/>
      <c r="CR11" s="28"/>
      <c r="CS11" s="26"/>
      <c r="CT11" s="26"/>
      <c r="CU11" s="29"/>
      <c r="CV11" s="28"/>
      <c r="CW11" s="26"/>
      <c r="CX11" s="26"/>
      <c r="CY11" s="29"/>
      <c r="CZ11" s="28"/>
      <c r="DA11" s="26"/>
      <c r="DB11" s="26"/>
      <c r="DC11" s="29"/>
    </row>
    <row r="12" spans="1:107" ht="19.899999999999999" customHeight="1" x14ac:dyDescent="0.25">
      <c r="A12" s="178"/>
      <c r="B12" s="154" t="str">
        <f>Jugadores!B11</f>
        <v xml:space="preserve">Yeiner Muñeton </v>
      </c>
      <c r="C12" s="155"/>
      <c r="D12" s="24">
        <f t="shared" si="0"/>
        <v>1</v>
      </c>
      <c r="E12" s="24">
        <f t="shared" si="1"/>
        <v>0</v>
      </c>
      <c r="F12" s="115">
        <f t="shared" si="2"/>
        <v>0</v>
      </c>
      <c r="G12" s="115">
        <f t="shared" si="3"/>
        <v>0</v>
      </c>
      <c r="H12" s="28"/>
      <c r="I12" s="26"/>
      <c r="J12" s="26"/>
      <c r="K12" s="29"/>
      <c r="L12" s="28"/>
      <c r="M12" s="26"/>
      <c r="N12" s="26"/>
      <c r="O12" s="29"/>
      <c r="P12" s="28"/>
      <c r="Q12" s="26"/>
      <c r="R12" s="26"/>
      <c r="S12" s="29"/>
      <c r="T12" s="28"/>
      <c r="U12" s="26"/>
      <c r="V12" s="26"/>
      <c r="W12" s="29"/>
      <c r="X12" s="28"/>
      <c r="Y12" s="26"/>
      <c r="Z12" s="26"/>
      <c r="AA12" s="29"/>
      <c r="AB12" s="28"/>
      <c r="AC12" s="26"/>
      <c r="AD12" s="26"/>
      <c r="AE12" s="29"/>
      <c r="AF12" s="28"/>
      <c r="AG12" s="26"/>
      <c r="AH12" s="26"/>
      <c r="AI12" s="29"/>
      <c r="AJ12" s="28"/>
      <c r="AK12" s="26"/>
      <c r="AL12" s="26"/>
      <c r="AM12" s="29"/>
      <c r="AN12" s="28"/>
      <c r="AO12" s="26"/>
      <c r="AP12" s="26"/>
      <c r="AQ12" s="29"/>
      <c r="AR12" s="28"/>
      <c r="AS12" s="26"/>
      <c r="AT12" s="26"/>
      <c r="AU12" s="29"/>
      <c r="AV12" s="28"/>
      <c r="AW12" s="26"/>
      <c r="AX12" s="26"/>
      <c r="AY12" s="29"/>
      <c r="AZ12" s="28"/>
      <c r="BA12" s="26"/>
      <c r="BB12" s="26"/>
      <c r="BC12" s="29"/>
      <c r="BD12" s="28"/>
      <c r="BE12" s="26"/>
      <c r="BF12" s="26"/>
      <c r="BG12" s="29"/>
      <c r="BH12" s="28"/>
      <c r="BI12" s="26"/>
      <c r="BJ12" s="26"/>
      <c r="BK12" s="29"/>
      <c r="BL12" s="28">
        <v>1</v>
      </c>
      <c r="BM12" s="26"/>
      <c r="BN12" s="26"/>
      <c r="BO12" s="29"/>
      <c r="BP12" s="28"/>
      <c r="BQ12" s="26"/>
      <c r="BR12" s="26"/>
      <c r="BS12" s="29"/>
      <c r="BT12" s="28"/>
      <c r="BU12" s="26"/>
      <c r="BV12" s="26"/>
      <c r="BW12" s="29"/>
      <c r="BX12" s="28"/>
      <c r="BY12" s="26"/>
      <c r="BZ12" s="26"/>
      <c r="CA12" s="29"/>
      <c r="CB12" s="28"/>
      <c r="CC12" s="26"/>
      <c r="CD12" s="26"/>
      <c r="CE12" s="29"/>
      <c r="CF12" s="28"/>
      <c r="CG12" s="26"/>
      <c r="CH12" s="26"/>
      <c r="CI12" s="29"/>
      <c r="CJ12" s="28"/>
      <c r="CK12" s="26"/>
      <c r="CL12" s="26"/>
      <c r="CM12" s="29"/>
      <c r="CN12" s="28"/>
      <c r="CO12" s="26"/>
      <c r="CP12" s="26"/>
      <c r="CQ12" s="29"/>
      <c r="CR12" s="28"/>
      <c r="CS12" s="26"/>
      <c r="CT12" s="26"/>
      <c r="CU12" s="29"/>
      <c r="CV12" s="28"/>
      <c r="CW12" s="26"/>
      <c r="CX12" s="26"/>
      <c r="CY12" s="29"/>
      <c r="CZ12" s="28"/>
      <c r="DA12" s="26"/>
      <c r="DB12" s="26"/>
      <c r="DC12" s="29"/>
    </row>
    <row r="13" spans="1:107" ht="19.899999999999999" customHeight="1" x14ac:dyDescent="0.25">
      <c r="A13" s="178"/>
      <c r="B13" s="154" t="str">
        <f>Jugadores!B12</f>
        <v>Stiven Ríos</v>
      </c>
      <c r="C13" s="155"/>
      <c r="D13" s="24">
        <f t="shared" si="0"/>
        <v>0</v>
      </c>
      <c r="E13" s="24">
        <f t="shared" si="1"/>
        <v>0</v>
      </c>
      <c r="F13" s="115">
        <f t="shared" si="2"/>
        <v>0</v>
      </c>
      <c r="G13" s="115">
        <f t="shared" si="3"/>
        <v>0</v>
      </c>
      <c r="H13" s="28"/>
      <c r="I13" s="26"/>
      <c r="J13" s="26"/>
      <c r="K13" s="29"/>
      <c r="L13" s="28"/>
      <c r="M13" s="26"/>
      <c r="N13" s="26"/>
      <c r="O13" s="29"/>
      <c r="P13" s="28"/>
      <c r="Q13" s="26"/>
      <c r="R13" s="26"/>
      <c r="S13" s="29"/>
      <c r="T13" s="28"/>
      <c r="U13" s="26"/>
      <c r="V13" s="26"/>
      <c r="W13" s="29"/>
      <c r="X13" s="28"/>
      <c r="Y13" s="26"/>
      <c r="Z13" s="26"/>
      <c r="AA13" s="29"/>
      <c r="AB13" s="28"/>
      <c r="AC13" s="26"/>
      <c r="AD13" s="26"/>
      <c r="AE13" s="29"/>
      <c r="AF13" s="28"/>
      <c r="AG13" s="26"/>
      <c r="AH13" s="26"/>
      <c r="AI13" s="29"/>
      <c r="AJ13" s="28"/>
      <c r="AK13" s="26"/>
      <c r="AL13" s="26"/>
      <c r="AM13" s="29"/>
      <c r="AN13" s="28"/>
      <c r="AO13" s="26"/>
      <c r="AP13" s="26"/>
      <c r="AQ13" s="29"/>
      <c r="AR13" s="28"/>
      <c r="AS13" s="26"/>
      <c r="AT13" s="26"/>
      <c r="AU13" s="29"/>
      <c r="AV13" s="28"/>
      <c r="AW13" s="26"/>
      <c r="AX13" s="26"/>
      <c r="AY13" s="29"/>
      <c r="AZ13" s="28"/>
      <c r="BA13" s="26"/>
      <c r="BB13" s="26"/>
      <c r="BC13" s="29"/>
      <c r="BD13" s="28"/>
      <c r="BE13" s="26"/>
      <c r="BF13" s="26"/>
      <c r="BG13" s="29"/>
      <c r="BH13" s="28"/>
      <c r="BI13" s="26"/>
      <c r="BJ13" s="26"/>
      <c r="BK13" s="29"/>
      <c r="BL13" s="28"/>
      <c r="BM13" s="26"/>
      <c r="BN13" s="26"/>
      <c r="BO13" s="29"/>
      <c r="BP13" s="28"/>
      <c r="BQ13" s="26"/>
      <c r="BR13" s="26"/>
      <c r="BS13" s="29"/>
      <c r="BT13" s="28"/>
      <c r="BU13" s="26"/>
      <c r="BV13" s="26"/>
      <c r="BW13" s="29"/>
      <c r="BX13" s="28"/>
      <c r="BY13" s="26"/>
      <c r="BZ13" s="26"/>
      <c r="CA13" s="29"/>
      <c r="CB13" s="28"/>
      <c r="CC13" s="26"/>
      <c r="CD13" s="26"/>
      <c r="CE13" s="29"/>
      <c r="CF13" s="28"/>
      <c r="CG13" s="26"/>
      <c r="CH13" s="26"/>
      <c r="CI13" s="29"/>
      <c r="CJ13" s="28"/>
      <c r="CK13" s="26"/>
      <c r="CL13" s="26"/>
      <c r="CM13" s="29"/>
      <c r="CN13" s="28"/>
      <c r="CO13" s="26"/>
      <c r="CP13" s="26"/>
      <c r="CQ13" s="29"/>
      <c r="CR13" s="28"/>
      <c r="CS13" s="26"/>
      <c r="CT13" s="26"/>
      <c r="CU13" s="29"/>
      <c r="CV13" s="28"/>
      <c r="CW13" s="26"/>
      <c r="CX13" s="26"/>
      <c r="CY13" s="29"/>
      <c r="CZ13" s="28"/>
      <c r="DA13" s="26"/>
      <c r="DB13" s="26"/>
      <c r="DC13" s="29"/>
    </row>
    <row r="14" spans="1:107" ht="19.899999999999999" customHeight="1" x14ac:dyDescent="0.25">
      <c r="A14" s="178"/>
      <c r="B14" s="154" t="str">
        <f>Jugadores!B13</f>
        <v>Isaac Amarís</v>
      </c>
      <c r="C14" s="155"/>
      <c r="D14" s="24">
        <f t="shared" si="0"/>
        <v>0</v>
      </c>
      <c r="E14" s="24">
        <f t="shared" si="1"/>
        <v>0</v>
      </c>
      <c r="F14" s="115">
        <f t="shared" si="2"/>
        <v>0</v>
      </c>
      <c r="G14" s="115">
        <f t="shared" si="3"/>
        <v>0</v>
      </c>
      <c r="H14" s="28"/>
      <c r="I14" s="26"/>
      <c r="J14" s="26"/>
      <c r="K14" s="29"/>
      <c r="L14" s="28"/>
      <c r="M14" s="26"/>
      <c r="N14" s="26"/>
      <c r="O14" s="29"/>
      <c r="P14" s="28"/>
      <c r="Q14" s="26"/>
      <c r="R14" s="26"/>
      <c r="S14" s="29"/>
      <c r="T14" s="28"/>
      <c r="U14" s="26"/>
      <c r="V14" s="26"/>
      <c r="W14" s="29"/>
      <c r="X14" s="28"/>
      <c r="Y14" s="26"/>
      <c r="Z14" s="26"/>
      <c r="AA14" s="29"/>
      <c r="AB14" s="28"/>
      <c r="AC14" s="26"/>
      <c r="AD14" s="26"/>
      <c r="AE14" s="29"/>
      <c r="AF14" s="28"/>
      <c r="AG14" s="26"/>
      <c r="AH14" s="26"/>
      <c r="AI14" s="29"/>
      <c r="AJ14" s="28"/>
      <c r="AK14" s="26"/>
      <c r="AL14" s="26"/>
      <c r="AM14" s="29"/>
      <c r="AN14" s="28"/>
      <c r="AO14" s="26"/>
      <c r="AP14" s="26"/>
      <c r="AQ14" s="29"/>
      <c r="AR14" s="28"/>
      <c r="AS14" s="26"/>
      <c r="AT14" s="26"/>
      <c r="AU14" s="29"/>
      <c r="AV14" s="28"/>
      <c r="AW14" s="26"/>
      <c r="AX14" s="26"/>
      <c r="AY14" s="29"/>
      <c r="AZ14" s="28"/>
      <c r="BA14" s="26"/>
      <c r="BB14" s="26"/>
      <c r="BC14" s="29"/>
      <c r="BD14" s="28"/>
      <c r="BE14" s="26"/>
      <c r="BF14" s="26"/>
      <c r="BG14" s="29"/>
      <c r="BH14" s="28"/>
      <c r="BI14" s="26"/>
      <c r="BJ14" s="26"/>
      <c r="BK14" s="29"/>
      <c r="BL14" s="28"/>
      <c r="BM14" s="26"/>
      <c r="BN14" s="26"/>
      <c r="BO14" s="29"/>
      <c r="BP14" s="28"/>
      <c r="BQ14" s="26"/>
      <c r="BR14" s="26"/>
      <c r="BS14" s="29"/>
      <c r="BT14" s="28"/>
      <c r="BU14" s="26"/>
      <c r="BV14" s="26"/>
      <c r="BW14" s="29"/>
      <c r="BX14" s="28"/>
      <c r="BY14" s="26"/>
      <c r="BZ14" s="26"/>
      <c r="CA14" s="29"/>
      <c r="CB14" s="28"/>
      <c r="CC14" s="26"/>
      <c r="CD14" s="26"/>
      <c r="CE14" s="29"/>
      <c r="CF14" s="28"/>
      <c r="CG14" s="26"/>
      <c r="CH14" s="26"/>
      <c r="CI14" s="29"/>
      <c r="CJ14" s="28"/>
      <c r="CK14" s="26"/>
      <c r="CL14" s="26"/>
      <c r="CM14" s="29"/>
      <c r="CN14" s="28"/>
      <c r="CO14" s="26"/>
      <c r="CP14" s="26"/>
      <c r="CQ14" s="29"/>
      <c r="CR14" s="28"/>
      <c r="CS14" s="26"/>
      <c r="CT14" s="26"/>
      <c r="CU14" s="29"/>
      <c r="CV14" s="28"/>
      <c r="CW14" s="26"/>
      <c r="CX14" s="26"/>
      <c r="CY14" s="29"/>
      <c r="CZ14" s="28"/>
      <c r="DA14" s="26"/>
      <c r="DB14" s="26"/>
      <c r="DC14" s="29"/>
    </row>
    <row r="15" spans="1:107" ht="19.899999999999999" customHeight="1" x14ac:dyDescent="0.25">
      <c r="A15" s="178"/>
      <c r="B15" s="154" t="str">
        <f>Jugadores!B14</f>
        <v>Juan José Gaviría</v>
      </c>
      <c r="C15" s="155"/>
      <c r="D15" s="24">
        <f t="shared" si="0"/>
        <v>2</v>
      </c>
      <c r="E15" s="24">
        <f t="shared" si="1"/>
        <v>1</v>
      </c>
      <c r="F15" s="115">
        <f t="shared" si="2"/>
        <v>0</v>
      </c>
      <c r="G15" s="115">
        <f t="shared" si="3"/>
        <v>0</v>
      </c>
      <c r="H15" s="28"/>
      <c r="I15" s="26"/>
      <c r="J15" s="26"/>
      <c r="K15" s="29"/>
      <c r="L15" s="28"/>
      <c r="M15" s="26"/>
      <c r="N15" s="26"/>
      <c r="O15" s="29"/>
      <c r="P15" s="28"/>
      <c r="Q15" s="26"/>
      <c r="R15" s="26"/>
      <c r="S15" s="29"/>
      <c r="T15" s="28"/>
      <c r="U15" s="26"/>
      <c r="V15" s="26"/>
      <c r="W15" s="29"/>
      <c r="X15" s="28"/>
      <c r="Y15" s="26"/>
      <c r="Z15" s="26"/>
      <c r="AA15" s="29"/>
      <c r="AB15" s="28"/>
      <c r="AC15" s="26"/>
      <c r="AD15" s="26"/>
      <c r="AE15" s="29"/>
      <c r="AF15" s="28"/>
      <c r="AG15" s="26">
        <v>1</v>
      </c>
      <c r="AH15" s="26"/>
      <c r="AI15" s="29"/>
      <c r="AJ15" s="28">
        <v>1</v>
      </c>
      <c r="AK15" s="26"/>
      <c r="AL15" s="26"/>
      <c r="AM15" s="29"/>
      <c r="AN15" s="28"/>
      <c r="AO15" s="26"/>
      <c r="AP15" s="26"/>
      <c r="AQ15" s="29"/>
      <c r="AR15" s="28"/>
      <c r="AS15" s="26"/>
      <c r="AT15" s="26"/>
      <c r="AU15" s="29"/>
      <c r="AV15" s="28">
        <v>1</v>
      </c>
      <c r="AW15" s="26"/>
      <c r="AX15" s="26"/>
      <c r="AY15" s="29"/>
      <c r="AZ15" s="28"/>
      <c r="BA15" s="26"/>
      <c r="BB15" s="26"/>
      <c r="BC15" s="29"/>
      <c r="BD15" s="28"/>
      <c r="BE15" s="26"/>
      <c r="BF15" s="26"/>
      <c r="BG15" s="29"/>
      <c r="BH15" s="28"/>
      <c r="BI15" s="26"/>
      <c r="BJ15" s="26"/>
      <c r="BK15" s="29"/>
      <c r="BL15" s="28"/>
      <c r="BM15" s="26"/>
      <c r="BN15" s="26"/>
      <c r="BO15" s="29"/>
      <c r="BP15" s="28"/>
      <c r="BQ15" s="26"/>
      <c r="BR15" s="26"/>
      <c r="BS15" s="29"/>
      <c r="BT15" s="28"/>
      <c r="BU15" s="26"/>
      <c r="BV15" s="26"/>
      <c r="BW15" s="29"/>
      <c r="BX15" s="28"/>
      <c r="BY15" s="26"/>
      <c r="BZ15" s="26"/>
      <c r="CA15" s="29"/>
      <c r="CB15" s="28"/>
      <c r="CC15" s="26"/>
      <c r="CD15" s="26"/>
      <c r="CE15" s="29"/>
      <c r="CF15" s="28"/>
      <c r="CG15" s="26"/>
      <c r="CH15" s="26"/>
      <c r="CI15" s="29"/>
      <c r="CJ15" s="28"/>
      <c r="CK15" s="26"/>
      <c r="CL15" s="26"/>
      <c r="CM15" s="29"/>
      <c r="CN15" s="28"/>
      <c r="CO15" s="26"/>
      <c r="CP15" s="26"/>
      <c r="CQ15" s="29"/>
      <c r="CR15" s="28"/>
      <c r="CS15" s="26"/>
      <c r="CT15" s="26"/>
      <c r="CU15" s="29"/>
      <c r="CV15" s="28"/>
      <c r="CW15" s="26"/>
      <c r="CX15" s="26"/>
      <c r="CY15" s="29"/>
      <c r="CZ15" s="28"/>
      <c r="DA15" s="26"/>
      <c r="DB15" s="26"/>
      <c r="DC15" s="29"/>
    </row>
    <row r="16" spans="1:107" ht="19.899999999999999" customHeight="1" x14ac:dyDescent="0.25">
      <c r="A16" s="178"/>
      <c r="B16" s="154" t="str">
        <f>Jugadores!B15</f>
        <v>José Santoya</v>
      </c>
      <c r="C16" s="155"/>
      <c r="D16" s="24">
        <f t="shared" si="0"/>
        <v>1</v>
      </c>
      <c r="E16" s="24">
        <f t="shared" si="1"/>
        <v>1</v>
      </c>
      <c r="F16" s="115">
        <f t="shared" si="2"/>
        <v>0</v>
      </c>
      <c r="G16" s="115">
        <f t="shared" si="3"/>
        <v>0</v>
      </c>
      <c r="H16" s="28"/>
      <c r="I16" s="26"/>
      <c r="J16" s="26"/>
      <c r="K16" s="29"/>
      <c r="L16" s="28"/>
      <c r="M16" s="26"/>
      <c r="N16" s="26"/>
      <c r="O16" s="29"/>
      <c r="P16" s="28"/>
      <c r="Q16" s="26"/>
      <c r="R16" s="26"/>
      <c r="S16" s="29"/>
      <c r="T16" s="28"/>
      <c r="U16" s="26"/>
      <c r="V16" s="26"/>
      <c r="W16" s="29"/>
      <c r="X16" s="28"/>
      <c r="Y16" s="26"/>
      <c r="Z16" s="26"/>
      <c r="AA16" s="29"/>
      <c r="AB16" s="28"/>
      <c r="AC16" s="26"/>
      <c r="AD16" s="26"/>
      <c r="AE16" s="29"/>
      <c r="AF16" s="28"/>
      <c r="AG16" s="26"/>
      <c r="AH16" s="26"/>
      <c r="AI16" s="29"/>
      <c r="AJ16" s="28"/>
      <c r="AK16" s="26">
        <v>1</v>
      </c>
      <c r="AL16" s="26"/>
      <c r="AM16" s="29"/>
      <c r="AN16" s="28"/>
      <c r="AO16" s="26"/>
      <c r="AP16" s="26"/>
      <c r="AQ16" s="29"/>
      <c r="AR16" s="28"/>
      <c r="AS16" s="26"/>
      <c r="AT16" s="26"/>
      <c r="AU16" s="29"/>
      <c r="AV16" s="28"/>
      <c r="AW16" s="26"/>
      <c r="AX16" s="26"/>
      <c r="AY16" s="29"/>
      <c r="AZ16" s="28"/>
      <c r="BA16" s="26"/>
      <c r="BB16" s="26"/>
      <c r="BC16" s="29"/>
      <c r="BD16" s="28">
        <v>1</v>
      </c>
      <c r="BE16" s="26"/>
      <c r="BF16" s="26"/>
      <c r="BG16" s="29"/>
      <c r="BH16" s="28"/>
      <c r="BI16" s="26"/>
      <c r="BJ16" s="26"/>
      <c r="BK16" s="29"/>
      <c r="BL16" s="28"/>
      <c r="BM16" s="26"/>
      <c r="BN16" s="26"/>
      <c r="BO16" s="29"/>
      <c r="BP16" s="28"/>
      <c r="BQ16" s="26"/>
      <c r="BR16" s="26"/>
      <c r="BS16" s="29"/>
      <c r="BT16" s="28"/>
      <c r="BU16" s="26"/>
      <c r="BV16" s="26"/>
      <c r="BW16" s="29"/>
      <c r="BX16" s="28"/>
      <c r="BY16" s="26"/>
      <c r="BZ16" s="26"/>
      <c r="CA16" s="29"/>
      <c r="CB16" s="28"/>
      <c r="CC16" s="26"/>
      <c r="CD16" s="26"/>
      <c r="CE16" s="29"/>
      <c r="CF16" s="28"/>
      <c r="CG16" s="26"/>
      <c r="CH16" s="26"/>
      <c r="CI16" s="29"/>
      <c r="CJ16" s="28"/>
      <c r="CK16" s="26"/>
      <c r="CL16" s="26"/>
      <c r="CM16" s="29"/>
      <c r="CN16" s="28"/>
      <c r="CO16" s="26"/>
      <c r="CP16" s="26"/>
      <c r="CQ16" s="29"/>
      <c r="CR16" s="28"/>
      <c r="CS16" s="26"/>
      <c r="CT16" s="26"/>
      <c r="CU16" s="29"/>
      <c r="CV16" s="28"/>
      <c r="CW16" s="26"/>
      <c r="CX16" s="26"/>
      <c r="CY16" s="29"/>
      <c r="CZ16" s="28"/>
      <c r="DA16" s="26"/>
      <c r="DB16" s="26"/>
      <c r="DC16" s="29"/>
    </row>
    <row r="17" spans="1:107" ht="19.899999999999999" customHeight="1" x14ac:dyDescent="0.25">
      <c r="A17" s="178"/>
      <c r="B17" s="154" t="str">
        <f>Jugadores!B16</f>
        <v>Jorge Cassiani</v>
      </c>
      <c r="C17" s="155"/>
      <c r="D17" s="24">
        <f t="shared" si="0"/>
        <v>0</v>
      </c>
      <c r="E17" s="24">
        <f t="shared" si="1"/>
        <v>1</v>
      </c>
      <c r="F17" s="115">
        <f t="shared" si="2"/>
        <v>0</v>
      </c>
      <c r="G17" s="115">
        <f t="shared" si="3"/>
        <v>0</v>
      </c>
      <c r="H17" s="28"/>
      <c r="I17" s="26"/>
      <c r="J17" s="26"/>
      <c r="K17" s="29"/>
      <c r="L17" s="28"/>
      <c r="M17" s="26"/>
      <c r="N17" s="26"/>
      <c r="O17" s="29"/>
      <c r="P17" s="28"/>
      <c r="Q17" s="26"/>
      <c r="R17" s="26"/>
      <c r="S17" s="29"/>
      <c r="T17" s="28"/>
      <c r="U17" s="26"/>
      <c r="V17" s="26"/>
      <c r="W17" s="29"/>
      <c r="X17" s="28"/>
      <c r="Y17" s="26">
        <v>1</v>
      </c>
      <c r="Z17" s="26"/>
      <c r="AA17" s="29"/>
      <c r="AB17" s="28"/>
      <c r="AC17" s="26"/>
      <c r="AD17" s="26"/>
      <c r="AE17" s="29"/>
      <c r="AF17" s="28"/>
      <c r="AG17" s="26"/>
      <c r="AH17" s="26"/>
      <c r="AI17" s="29"/>
      <c r="AJ17" s="28"/>
      <c r="AK17" s="26"/>
      <c r="AL17" s="26"/>
      <c r="AM17" s="29"/>
      <c r="AN17" s="28"/>
      <c r="AO17" s="26"/>
      <c r="AP17" s="26"/>
      <c r="AQ17" s="29"/>
      <c r="AR17" s="28"/>
      <c r="AS17" s="26"/>
      <c r="AT17" s="26"/>
      <c r="AU17" s="29"/>
      <c r="AV17" s="28"/>
      <c r="AW17" s="26"/>
      <c r="AX17" s="26"/>
      <c r="AY17" s="29"/>
      <c r="AZ17" s="28"/>
      <c r="BA17" s="26"/>
      <c r="BB17" s="26"/>
      <c r="BC17" s="29"/>
      <c r="BD17" s="28"/>
      <c r="BE17" s="26"/>
      <c r="BF17" s="26"/>
      <c r="BG17" s="29"/>
      <c r="BH17" s="28"/>
      <c r="BI17" s="26"/>
      <c r="BJ17" s="26"/>
      <c r="BK17" s="29"/>
      <c r="BL17" s="28"/>
      <c r="BM17" s="26"/>
      <c r="BN17" s="26"/>
      <c r="BO17" s="29"/>
      <c r="BP17" s="28"/>
      <c r="BQ17" s="26"/>
      <c r="BR17" s="26"/>
      <c r="BS17" s="29"/>
      <c r="BT17" s="28"/>
      <c r="BU17" s="26"/>
      <c r="BV17" s="26"/>
      <c r="BW17" s="29"/>
      <c r="BX17" s="28"/>
      <c r="BY17" s="26"/>
      <c r="BZ17" s="26"/>
      <c r="CA17" s="29"/>
      <c r="CB17" s="28"/>
      <c r="CC17" s="26"/>
      <c r="CD17" s="26"/>
      <c r="CE17" s="29"/>
      <c r="CF17" s="28"/>
      <c r="CG17" s="26"/>
      <c r="CH17" s="26"/>
      <c r="CI17" s="29"/>
      <c r="CJ17" s="28"/>
      <c r="CK17" s="26"/>
      <c r="CL17" s="26"/>
      <c r="CM17" s="29"/>
      <c r="CN17" s="28"/>
      <c r="CO17" s="26"/>
      <c r="CP17" s="26"/>
      <c r="CQ17" s="29"/>
      <c r="CR17" s="28"/>
      <c r="CS17" s="26"/>
      <c r="CT17" s="26"/>
      <c r="CU17" s="29"/>
      <c r="CV17" s="28"/>
      <c r="CW17" s="26"/>
      <c r="CX17" s="26"/>
      <c r="CY17" s="29"/>
      <c r="CZ17" s="28"/>
      <c r="DA17" s="26"/>
      <c r="DB17" s="26"/>
      <c r="DC17" s="29"/>
    </row>
    <row r="18" spans="1:107" ht="19.899999999999999" customHeight="1" x14ac:dyDescent="0.25">
      <c r="A18" s="179"/>
      <c r="B18" s="156" t="str">
        <f>Jugadores!B17</f>
        <v>Julián Botero Carvajal</v>
      </c>
      <c r="C18" s="157"/>
      <c r="D18" s="24">
        <f t="shared" si="0"/>
        <v>1</v>
      </c>
      <c r="E18" s="24">
        <f t="shared" si="1"/>
        <v>3</v>
      </c>
      <c r="F18" s="115">
        <f t="shared" si="2"/>
        <v>0</v>
      </c>
      <c r="G18" s="115">
        <f t="shared" si="3"/>
        <v>0</v>
      </c>
      <c r="H18" s="28"/>
      <c r="I18" s="26"/>
      <c r="J18" s="26"/>
      <c r="K18" s="29"/>
      <c r="L18" s="28"/>
      <c r="M18" s="26"/>
      <c r="N18" s="26"/>
      <c r="O18" s="29"/>
      <c r="P18" s="28"/>
      <c r="Q18" s="26">
        <v>1</v>
      </c>
      <c r="R18" s="26"/>
      <c r="S18" s="29"/>
      <c r="T18" s="28"/>
      <c r="U18" s="26"/>
      <c r="V18" s="26"/>
      <c r="W18" s="29"/>
      <c r="X18" s="28"/>
      <c r="Y18" s="26">
        <v>1</v>
      </c>
      <c r="Z18" s="26"/>
      <c r="AA18" s="29"/>
      <c r="AB18" s="28"/>
      <c r="AC18" s="26"/>
      <c r="AD18" s="26"/>
      <c r="AE18" s="29"/>
      <c r="AF18" s="28"/>
      <c r="AG18" s="26"/>
      <c r="AH18" s="26"/>
      <c r="AI18" s="29"/>
      <c r="AJ18" s="28"/>
      <c r="AK18" s="26">
        <v>1</v>
      </c>
      <c r="AL18" s="26"/>
      <c r="AM18" s="29"/>
      <c r="AN18" s="28"/>
      <c r="AO18" s="26"/>
      <c r="AP18" s="26"/>
      <c r="AQ18" s="29"/>
      <c r="AR18" s="28">
        <v>1</v>
      </c>
      <c r="AS18" s="26"/>
      <c r="AT18" s="26"/>
      <c r="AU18" s="29"/>
      <c r="AV18" s="28"/>
      <c r="AW18" s="26"/>
      <c r="AX18" s="26"/>
      <c r="AY18" s="29"/>
      <c r="AZ18" s="28"/>
      <c r="BA18" s="26"/>
      <c r="BB18" s="26"/>
      <c r="BC18" s="29"/>
      <c r="BD18" s="28"/>
      <c r="BE18" s="26"/>
      <c r="BF18" s="26"/>
      <c r="BG18" s="29"/>
      <c r="BH18" s="28"/>
      <c r="BI18" s="26"/>
      <c r="BJ18" s="26"/>
      <c r="BK18" s="29"/>
      <c r="BL18" s="28"/>
      <c r="BM18" s="26"/>
      <c r="BN18" s="26"/>
      <c r="BO18" s="29"/>
      <c r="BP18" s="28"/>
      <c r="BQ18" s="26"/>
      <c r="BR18" s="26"/>
      <c r="BS18" s="29"/>
      <c r="BT18" s="28"/>
      <c r="BU18" s="26"/>
      <c r="BV18" s="26"/>
      <c r="BW18" s="29"/>
      <c r="BX18" s="28"/>
      <c r="BY18" s="26"/>
      <c r="BZ18" s="26"/>
      <c r="CA18" s="29"/>
      <c r="CB18" s="28"/>
      <c r="CC18" s="26"/>
      <c r="CD18" s="26"/>
      <c r="CE18" s="29"/>
      <c r="CF18" s="28"/>
      <c r="CG18" s="26"/>
      <c r="CH18" s="26"/>
      <c r="CI18" s="29"/>
      <c r="CJ18" s="28"/>
      <c r="CK18" s="26"/>
      <c r="CL18" s="26"/>
      <c r="CM18" s="29"/>
      <c r="CN18" s="28"/>
      <c r="CO18" s="26"/>
      <c r="CP18" s="26"/>
      <c r="CQ18" s="29"/>
      <c r="CR18" s="28"/>
      <c r="CS18" s="26"/>
      <c r="CT18" s="26"/>
      <c r="CU18" s="29"/>
      <c r="CV18" s="28"/>
      <c r="CW18" s="26"/>
      <c r="CX18" s="26"/>
      <c r="CY18" s="29"/>
      <c r="CZ18" s="28"/>
      <c r="DA18" s="26"/>
      <c r="DB18" s="26"/>
      <c r="DC18" s="29"/>
    </row>
    <row r="19" spans="1:107" ht="14.45" customHeight="1" x14ac:dyDescent="0.25">
      <c r="B19" s="158" t="s">
        <v>105</v>
      </c>
      <c r="C19" s="159"/>
      <c r="D19" s="160"/>
      <c r="E19" s="160"/>
      <c r="F19" s="160"/>
      <c r="G19" s="160"/>
      <c r="H19" s="28"/>
      <c r="I19" s="26"/>
      <c r="J19" s="26"/>
      <c r="K19" s="29"/>
      <c r="L19" s="28"/>
      <c r="M19" s="26"/>
      <c r="N19" s="26"/>
      <c r="O19" s="29"/>
      <c r="P19" s="28"/>
      <c r="Q19" s="26"/>
      <c r="R19" s="26"/>
      <c r="S19" s="29"/>
      <c r="T19" s="28"/>
      <c r="U19" s="26"/>
      <c r="V19" s="26"/>
      <c r="W19" s="29"/>
      <c r="X19" s="28"/>
      <c r="Y19" s="26"/>
      <c r="Z19" s="26"/>
      <c r="AA19" s="29"/>
      <c r="AB19" s="28"/>
      <c r="AC19" s="26"/>
      <c r="AD19" s="26"/>
      <c r="AE19" s="29"/>
      <c r="AF19" s="28">
        <v>1</v>
      </c>
      <c r="AG19" s="26"/>
      <c r="AH19" s="26"/>
      <c r="AI19" s="29"/>
      <c r="AJ19" s="28"/>
      <c r="AK19" s="26"/>
      <c r="AL19" s="26"/>
      <c r="AM19" s="29"/>
      <c r="AN19" s="28"/>
      <c r="AO19" s="26"/>
      <c r="AP19" s="26"/>
      <c r="AQ19" s="29"/>
      <c r="AR19" s="28"/>
      <c r="AS19" s="26"/>
      <c r="AT19" s="26"/>
      <c r="AU19" s="29"/>
      <c r="AV19" s="28">
        <v>1</v>
      </c>
      <c r="AW19" s="26"/>
      <c r="AX19" s="26"/>
      <c r="AY19" s="29"/>
      <c r="AZ19" s="28"/>
      <c r="BA19" s="26"/>
      <c r="BB19" s="26"/>
      <c r="BC19" s="29"/>
      <c r="BD19" s="28"/>
      <c r="BE19" s="26"/>
      <c r="BF19" s="26"/>
      <c r="BG19" s="29"/>
      <c r="BH19" s="28"/>
      <c r="BI19" s="26"/>
      <c r="BJ19" s="26"/>
      <c r="BK19" s="29"/>
      <c r="BL19" s="28"/>
      <c r="BM19" s="26"/>
      <c r="BN19" s="26"/>
      <c r="BO19" s="29"/>
      <c r="BP19" s="28"/>
      <c r="BQ19" s="26"/>
      <c r="BR19" s="26"/>
      <c r="BS19" s="29"/>
      <c r="BT19" s="28"/>
      <c r="BU19" s="26"/>
      <c r="BV19" s="26"/>
      <c r="BW19" s="29"/>
      <c r="BX19" s="28"/>
      <c r="BY19" s="26"/>
      <c r="BZ19" s="26"/>
      <c r="CA19" s="29"/>
      <c r="CB19" s="28"/>
      <c r="CC19" s="26"/>
      <c r="CD19" s="26"/>
      <c r="CE19" s="29"/>
      <c r="CF19" s="28"/>
      <c r="CG19" s="26"/>
      <c r="CH19" s="26"/>
      <c r="CI19" s="29"/>
      <c r="CJ19" s="28"/>
      <c r="CK19" s="26"/>
      <c r="CL19" s="26"/>
      <c r="CM19" s="29"/>
      <c r="CN19" s="28"/>
      <c r="CO19" s="26"/>
      <c r="CP19" s="26"/>
      <c r="CQ19" s="29"/>
      <c r="CR19" s="28"/>
      <c r="CS19" s="26"/>
      <c r="CT19" s="26"/>
      <c r="CU19" s="29"/>
      <c r="CV19" s="28"/>
      <c r="CW19" s="26"/>
      <c r="CX19" s="26"/>
      <c r="CY19" s="29"/>
      <c r="CZ19" s="28"/>
      <c r="DA19" s="26"/>
      <c r="DB19" s="26"/>
      <c r="DC19" s="29"/>
    </row>
    <row r="20" spans="1:107" x14ac:dyDescent="0.25">
      <c r="B20" s="158" t="s">
        <v>104</v>
      </c>
      <c r="C20" s="159"/>
      <c r="D20" s="159"/>
      <c r="E20" s="159"/>
      <c r="F20" s="159"/>
      <c r="G20" s="159"/>
      <c r="H20" s="28"/>
      <c r="I20" s="26"/>
      <c r="J20" s="26"/>
      <c r="K20" s="29"/>
      <c r="L20" s="28"/>
      <c r="M20" s="26"/>
      <c r="N20" s="26"/>
      <c r="O20" s="29"/>
      <c r="P20" s="28"/>
      <c r="Q20" s="26"/>
      <c r="R20" s="26"/>
      <c r="S20" s="29"/>
      <c r="T20" s="28"/>
      <c r="U20" s="26"/>
      <c r="V20" s="26"/>
      <c r="W20" s="29"/>
      <c r="X20" s="28"/>
      <c r="Y20" s="26"/>
      <c r="Z20" s="26"/>
      <c r="AA20" s="29"/>
      <c r="AB20" s="28"/>
      <c r="AC20" s="26"/>
      <c r="AD20" s="26"/>
      <c r="AE20" s="29"/>
      <c r="AF20" s="28"/>
      <c r="AG20" s="26"/>
      <c r="AH20" s="26"/>
      <c r="AI20" s="29"/>
      <c r="AJ20" s="28"/>
      <c r="AK20" s="26"/>
      <c r="AL20" s="26"/>
      <c r="AM20" s="29"/>
      <c r="AN20" s="28"/>
      <c r="AO20" s="26"/>
      <c r="AP20" s="26"/>
      <c r="AQ20" s="29"/>
      <c r="AR20" s="28"/>
      <c r="AS20" s="26"/>
      <c r="AT20" s="26"/>
      <c r="AU20" s="29"/>
      <c r="AV20" s="28"/>
      <c r="AW20" s="26"/>
      <c r="AX20" s="26"/>
      <c r="AY20" s="29"/>
      <c r="AZ20" s="28">
        <v>3</v>
      </c>
      <c r="BA20" s="26"/>
      <c r="BB20" s="26"/>
      <c r="BC20" s="29"/>
      <c r="BD20" s="28"/>
      <c r="BE20" s="26"/>
      <c r="BF20" s="26"/>
      <c r="BG20" s="29"/>
      <c r="BH20" s="28"/>
      <c r="BI20" s="26"/>
      <c r="BJ20" s="26"/>
      <c r="BK20" s="29"/>
      <c r="BL20" s="28"/>
      <c r="BM20" s="26"/>
      <c r="BN20" s="26"/>
      <c r="BO20" s="29"/>
      <c r="BP20" s="28"/>
      <c r="BQ20" s="26"/>
      <c r="BR20" s="26"/>
      <c r="BS20" s="29"/>
      <c r="BT20" s="28"/>
      <c r="BU20" s="26"/>
      <c r="BV20" s="26"/>
      <c r="BW20" s="29"/>
      <c r="BX20" s="28"/>
      <c r="BY20" s="26"/>
      <c r="BZ20" s="26"/>
      <c r="CA20" s="29"/>
      <c r="CB20" s="28"/>
      <c r="CC20" s="26"/>
      <c r="CD20" s="26"/>
      <c r="CE20" s="29"/>
      <c r="CF20" s="28">
        <v>3</v>
      </c>
      <c r="CG20" s="26"/>
      <c r="CH20" s="26"/>
      <c r="CI20" s="29"/>
      <c r="CJ20" s="28"/>
      <c r="CK20" s="26"/>
      <c r="CL20" s="26"/>
      <c r="CM20" s="29"/>
      <c r="CN20" s="28"/>
      <c r="CO20" s="26"/>
      <c r="CP20" s="26"/>
      <c r="CQ20" s="29"/>
      <c r="CR20" s="28"/>
      <c r="CS20" s="26"/>
      <c r="CT20" s="26"/>
      <c r="CU20" s="29"/>
      <c r="CV20" s="28"/>
      <c r="CW20" s="26"/>
      <c r="CX20" s="26"/>
      <c r="CY20" s="29"/>
      <c r="CZ20" s="28"/>
      <c r="DA20" s="26"/>
      <c r="DB20" s="26"/>
      <c r="DC20" s="29"/>
    </row>
    <row r="21" spans="1:107" ht="15.75" thickBot="1" x14ac:dyDescent="0.3">
      <c r="B21" s="161" t="s">
        <v>106</v>
      </c>
      <c r="C21" s="162"/>
      <c r="D21" s="162"/>
      <c r="E21" s="162"/>
      <c r="F21" s="162"/>
      <c r="G21" s="162"/>
      <c r="H21" s="30"/>
      <c r="I21" s="31"/>
      <c r="J21" s="31"/>
      <c r="K21" s="32"/>
      <c r="L21" s="30"/>
      <c r="M21" s="31"/>
      <c r="N21" s="31"/>
      <c r="O21" s="32"/>
      <c r="P21" s="30"/>
      <c r="Q21" s="31"/>
      <c r="R21" s="31"/>
      <c r="S21" s="32"/>
      <c r="T21" s="30"/>
      <c r="U21" s="31"/>
      <c r="V21" s="31"/>
      <c r="W21" s="32"/>
      <c r="X21" s="30"/>
      <c r="Y21" s="31"/>
      <c r="Z21" s="31"/>
      <c r="AA21" s="32"/>
      <c r="AB21" s="30"/>
      <c r="AC21" s="31"/>
      <c r="AD21" s="31"/>
      <c r="AE21" s="32"/>
      <c r="AF21" s="30"/>
      <c r="AG21" s="31"/>
      <c r="AH21" s="31"/>
      <c r="AI21" s="32"/>
      <c r="AJ21" s="30"/>
      <c r="AK21" s="31"/>
      <c r="AL21" s="31"/>
      <c r="AM21" s="32"/>
      <c r="AN21" s="30"/>
      <c r="AO21" s="31"/>
      <c r="AP21" s="31"/>
      <c r="AQ21" s="32"/>
      <c r="AR21" s="30"/>
      <c r="AS21" s="31"/>
      <c r="AT21" s="31"/>
      <c r="AU21" s="32"/>
      <c r="AV21" s="30"/>
      <c r="AW21" s="31"/>
      <c r="AX21" s="31"/>
      <c r="AY21" s="32"/>
      <c r="AZ21" s="30"/>
      <c r="BA21" s="31"/>
      <c r="BB21" s="31"/>
      <c r="BC21" s="32"/>
      <c r="BD21" s="30"/>
      <c r="BE21" s="31"/>
      <c r="BF21" s="31"/>
      <c r="BG21" s="32"/>
      <c r="BH21" s="30"/>
      <c r="BI21" s="31"/>
      <c r="BJ21" s="31"/>
      <c r="BK21" s="32"/>
      <c r="BL21" s="30"/>
      <c r="BM21" s="31"/>
      <c r="BN21" s="31"/>
      <c r="BO21" s="32"/>
      <c r="BP21" s="30"/>
      <c r="BQ21" s="31"/>
      <c r="BR21" s="31"/>
      <c r="BS21" s="32"/>
      <c r="BT21" s="30"/>
      <c r="BU21" s="31"/>
      <c r="BV21" s="31"/>
      <c r="BW21" s="32"/>
      <c r="BX21" s="30"/>
      <c r="BY21" s="31"/>
      <c r="BZ21" s="31"/>
      <c r="CA21" s="32"/>
      <c r="CB21" s="30"/>
      <c r="CC21" s="31"/>
      <c r="CD21" s="31"/>
      <c r="CE21" s="32"/>
      <c r="CF21" s="30"/>
      <c r="CG21" s="31"/>
      <c r="CH21" s="31"/>
      <c r="CI21" s="32"/>
      <c r="CJ21" s="30"/>
      <c r="CK21" s="31"/>
      <c r="CL21" s="31"/>
      <c r="CM21" s="32"/>
      <c r="CN21" s="30"/>
      <c r="CO21" s="31"/>
      <c r="CP21" s="31"/>
      <c r="CQ21" s="32"/>
      <c r="CR21" s="30"/>
      <c r="CS21" s="31"/>
      <c r="CT21" s="31"/>
      <c r="CU21" s="32"/>
      <c r="CV21" s="30"/>
      <c r="CW21" s="31"/>
      <c r="CX21" s="31"/>
      <c r="CY21" s="32"/>
      <c r="CZ21" s="30"/>
      <c r="DA21" s="31"/>
      <c r="DB21" s="31"/>
      <c r="DC21" s="32"/>
    </row>
    <row r="22" spans="1:107" x14ac:dyDescent="0.25">
      <c r="B22" s="3"/>
      <c r="C22" s="27"/>
      <c r="D22" s="23">
        <f>H22+L22+P22+T22+X22+AB22+AF22+AJ22+AN22+AR22+AV22+AZ22+BD22+BH22+BL22+BP22+BT22+BX22+CB22+CF22+CJ22+CN22+CR22+CV22+CZ22</f>
        <v>38</v>
      </c>
      <c r="E22" s="23">
        <f>I22+M22+Q22+U22+Y22+AC22+AG22+AK22+AO22+AS22+AW22+BA22+BE22+BI22+BM22+BQ22+BV22+BY22+CD22+CG22+CL22+CO22+CT22+CW22+DB22</f>
        <v>10</v>
      </c>
      <c r="F22" s="23">
        <f>J22+N22+R22+V22+Z22+AD22+AH22+AL22+AP22+AT22+AX22+BB22+BF22+BJ22+BN22+BT22+BX22+CB22+CF22+CJ22+CN22+CR22+CV22+CZ22</f>
        <v>5</v>
      </c>
      <c r="G22" s="23">
        <f>K22+O22+S22+W22+AA22+AE22+AI22+AM22+AQ22+AU22+AY22+BC22+BG22+BK22+BO22+BV22+BY22+CD22+CG22+CL22+CO22+CT22+CW22+DB22</f>
        <v>1</v>
      </c>
      <c r="H22" s="33">
        <f>SUM(H4:H21)</f>
        <v>2</v>
      </c>
      <c r="I22" s="34">
        <f>SUM(I4:I21)</f>
        <v>0</v>
      </c>
      <c r="J22" s="34">
        <f>SUM(J4:J21)</f>
        <v>0</v>
      </c>
      <c r="K22" s="35">
        <f>SUM(K4:K21)</f>
        <v>0</v>
      </c>
      <c r="L22" s="33">
        <f t="shared" ref="L22:BW22" si="4">SUM(L4:L21)</f>
        <v>0</v>
      </c>
      <c r="M22" s="34">
        <f t="shared" si="4"/>
        <v>0</v>
      </c>
      <c r="N22" s="34">
        <f t="shared" si="4"/>
        <v>0</v>
      </c>
      <c r="O22" s="35">
        <f t="shared" si="4"/>
        <v>0</v>
      </c>
      <c r="P22" s="33">
        <f t="shared" si="4"/>
        <v>0</v>
      </c>
      <c r="Q22" s="34">
        <f t="shared" si="4"/>
        <v>2</v>
      </c>
      <c r="R22" s="34">
        <f t="shared" si="4"/>
        <v>0</v>
      </c>
      <c r="S22" s="35">
        <f t="shared" si="4"/>
        <v>0</v>
      </c>
      <c r="T22" s="33">
        <f t="shared" si="4"/>
        <v>1</v>
      </c>
      <c r="U22" s="34">
        <f t="shared" si="4"/>
        <v>0</v>
      </c>
      <c r="V22" s="34">
        <f t="shared" si="4"/>
        <v>0</v>
      </c>
      <c r="W22" s="35">
        <f t="shared" si="4"/>
        <v>0</v>
      </c>
      <c r="X22" s="33">
        <f t="shared" si="4"/>
        <v>0</v>
      </c>
      <c r="Y22" s="34">
        <f t="shared" si="4"/>
        <v>3</v>
      </c>
      <c r="Z22" s="34">
        <f t="shared" si="4"/>
        <v>0</v>
      </c>
      <c r="AA22" s="35">
        <f t="shared" si="4"/>
        <v>0</v>
      </c>
      <c r="AB22" s="33">
        <f t="shared" si="4"/>
        <v>2</v>
      </c>
      <c r="AC22" s="34">
        <f t="shared" si="4"/>
        <v>0</v>
      </c>
      <c r="AD22" s="34">
        <f t="shared" si="4"/>
        <v>0</v>
      </c>
      <c r="AE22" s="35">
        <f t="shared" si="4"/>
        <v>0</v>
      </c>
      <c r="AF22" s="33">
        <f t="shared" si="4"/>
        <v>3</v>
      </c>
      <c r="AG22" s="34">
        <f t="shared" si="4"/>
        <v>1</v>
      </c>
      <c r="AH22" s="34">
        <f t="shared" si="4"/>
        <v>0</v>
      </c>
      <c r="AI22" s="35">
        <f t="shared" si="4"/>
        <v>0</v>
      </c>
      <c r="AJ22" s="33">
        <f t="shared" si="4"/>
        <v>3</v>
      </c>
      <c r="AK22" s="34">
        <f t="shared" si="4"/>
        <v>2</v>
      </c>
      <c r="AL22" s="34">
        <f t="shared" si="4"/>
        <v>0</v>
      </c>
      <c r="AM22" s="35">
        <f t="shared" si="4"/>
        <v>0</v>
      </c>
      <c r="AN22" s="33">
        <f t="shared" si="4"/>
        <v>2</v>
      </c>
      <c r="AO22" s="34">
        <f t="shared" si="4"/>
        <v>1</v>
      </c>
      <c r="AP22" s="34">
        <f t="shared" si="4"/>
        <v>0</v>
      </c>
      <c r="AQ22" s="35">
        <f t="shared" si="4"/>
        <v>0</v>
      </c>
      <c r="AR22" s="33">
        <f t="shared" si="4"/>
        <v>4</v>
      </c>
      <c r="AS22" s="34">
        <f t="shared" si="4"/>
        <v>0</v>
      </c>
      <c r="AT22" s="34">
        <f t="shared" si="4"/>
        <v>0</v>
      </c>
      <c r="AU22" s="35">
        <f t="shared" si="4"/>
        <v>0</v>
      </c>
      <c r="AV22" s="33">
        <f t="shared" si="4"/>
        <v>3</v>
      </c>
      <c r="AW22" s="34">
        <f t="shared" si="4"/>
        <v>0</v>
      </c>
      <c r="AX22" s="34">
        <f t="shared" si="4"/>
        <v>0</v>
      </c>
      <c r="AY22" s="35">
        <f t="shared" si="4"/>
        <v>0</v>
      </c>
      <c r="AZ22" s="33">
        <f t="shared" si="4"/>
        <v>3</v>
      </c>
      <c r="BA22" s="34">
        <f t="shared" si="4"/>
        <v>0</v>
      </c>
      <c r="BB22" s="34">
        <f t="shared" si="4"/>
        <v>0</v>
      </c>
      <c r="BC22" s="35">
        <f t="shared" si="4"/>
        <v>0</v>
      </c>
      <c r="BD22" s="33">
        <f t="shared" si="4"/>
        <v>3</v>
      </c>
      <c r="BE22" s="34">
        <f t="shared" si="4"/>
        <v>0</v>
      </c>
      <c r="BF22" s="34">
        <f t="shared" si="4"/>
        <v>0</v>
      </c>
      <c r="BG22" s="35">
        <f t="shared" si="4"/>
        <v>0</v>
      </c>
      <c r="BH22" s="33">
        <f t="shared" si="4"/>
        <v>2</v>
      </c>
      <c r="BI22" s="34">
        <f t="shared" si="4"/>
        <v>0</v>
      </c>
      <c r="BJ22" s="34">
        <f t="shared" si="4"/>
        <v>0</v>
      </c>
      <c r="BK22" s="35">
        <f t="shared" si="4"/>
        <v>0</v>
      </c>
      <c r="BL22" s="33">
        <f t="shared" si="4"/>
        <v>5</v>
      </c>
      <c r="BM22" s="34">
        <f t="shared" si="4"/>
        <v>0</v>
      </c>
      <c r="BN22" s="34">
        <f t="shared" si="4"/>
        <v>0</v>
      </c>
      <c r="BO22" s="35">
        <f t="shared" si="4"/>
        <v>0</v>
      </c>
      <c r="BP22" s="33">
        <f t="shared" si="4"/>
        <v>0</v>
      </c>
      <c r="BQ22" s="34">
        <f t="shared" si="4"/>
        <v>0</v>
      </c>
      <c r="BR22" s="34">
        <f t="shared" si="4"/>
        <v>0</v>
      </c>
      <c r="BS22" s="35">
        <f t="shared" si="4"/>
        <v>0</v>
      </c>
      <c r="BT22" s="33">
        <f t="shared" si="4"/>
        <v>1</v>
      </c>
      <c r="BU22" s="34">
        <f t="shared" si="4"/>
        <v>0</v>
      </c>
      <c r="BV22" s="34">
        <f t="shared" si="4"/>
        <v>0</v>
      </c>
      <c r="BW22" s="35">
        <f t="shared" si="4"/>
        <v>0</v>
      </c>
      <c r="BX22" s="33">
        <f t="shared" ref="BX22:DC22" si="5">SUM(BX4:BX21)</f>
        <v>1</v>
      </c>
      <c r="BY22" s="34">
        <f t="shared" si="5"/>
        <v>1</v>
      </c>
      <c r="BZ22" s="34">
        <f t="shared" si="5"/>
        <v>0</v>
      </c>
      <c r="CA22" s="35">
        <f t="shared" si="5"/>
        <v>0</v>
      </c>
      <c r="CB22" s="33">
        <f t="shared" si="5"/>
        <v>0</v>
      </c>
      <c r="CC22" s="34">
        <f t="shared" si="5"/>
        <v>0</v>
      </c>
      <c r="CD22" s="34">
        <f t="shared" si="5"/>
        <v>0</v>
      </c>
      <c r="CE22" s="35">
        <f t="shared" si="5"/>
        <v>0</v>
      </c>
      <c r="CF22" s="33">
        <f t="shared" si="5"/>
        <v>3</v>
      </c>
      <c r="CG22" s="34">
        <f t="shared" si="5"/>
        <v>0</v>
      </c>
      <c r="CH22" s="34">
        <f t="shared" si="5"/>
        <v>0</v>
      </c>
      <c r="CI22" s="35">
        <f t="shared" si="5"/>
        <v>0</v>
      </c>
      <c r="CJ22" s="33">
        <f t="shared" si="5"/>
        <v>0</v>
      </c>
      <c r="CK22" s="34">
        <f t="shared" si="5"/>
        <v>0</v>
      </c>
      <c r="CL22" s="34">
        <f t="shared" si="5"/>
        <v>0</v>
      </c>
      <c r="CM22" s="35">
        <f t="shared" si="5"/>
        <v>0</v>
      </c>
      <c r="CN22" s="33">
        <f t="shared" si="5"/>
        <v>0</v>
      </c>
      <c r="CO22" s="34">
        <f t="shared" si="5"/>
        <v>0</v>
      </c>
      <c r="CP22" s="34">
        <f t="shared" si="5"/>
        <v>0</v>
      </c>
      <c r="CQ22" s="35">
        <f t="shared" si="5"/>
        <v>0</v>
      </c>
      <c r="CR22" s="33">
        <f t="shared" si="5"/>
        <v>0</v>
      </c>
      <c r="CS22" s="34">
        <f t="shared" si="5"/>
        <v>0</v>
      </c>
      <c r="CT22" s="34">
        <f t="shared" si="5"/>
        <v>0</v>
      </c>
      <c r="CU22" s="35">
        <f t="shared" si="5"/>
        <v>0</v>
      </c>
      <c r="CV22" s="33">
        <f t="shared" si="5"/>
        <v>0</v>
      </c>
      <c r="CW22" s="34">
        <f t="shared" si="5"/>
        <v>0</v>
      </c>
      <c r="CX22" s="34">
        <f t="shared" si="5"/>
        <v>0</v>
      </c>
      <c r="CY22" s="35">
        <f t="shared" si="5"/>
        <v>0</v>
      </c>
      <c r="CZ22" s="33">
        <f t="shared" si="5"/>
        <v>0</v>
      </c>
      <c r="DA22" s="34">
        <f t="shared" si="5"/>
        <v>0</v>
      </c>
      <c r="DB22" s="34">
        <f t="shared" si="5"/>
        <v>0</v>
      </c>
      <c r="DC22" s="35">
        <f t="shared" si="5"/>
        <v>0</v>
      </c>
    </row>
    <row r="23" spans="1:107" ht="14.45" customHeight="1" x14ac:dyDescent="0.25">
      <c r="B23" s="3"/>
      <c r="C23" s="27"/>
      <c r="D23" s="148" t="s">
        <v>86</v>
      </c>
      <c r="E23" s="148" t="s">
        <v>97</v>
      </c>
      <c r="F23" s="148" t="s">
        <v>99</v>
      </c>
      <c r="G23" s="148" t="s">
        <v>98</v>
      </c>
      <c r="H23" s="145" t="s">
        <v>86</v>
      </c>
      <c r="I23" s="148" t="s">
        <v>97</v>
      </c>
      <c r="J23" s="148" t="s">
        <v>99</v>
      </c>
      <c r="K23" s="151" t="s">
        <v>98</v>
      </c>
      <c r="L23" s="145" t="s">
        <v>86</v>
      </c>
      <c r="M23" s="148" t="s">
        <v>97</v>
      </c>
      <c r="N23" s="148" t="s">
        <v>99</v>
      </c>
      <c r="O23" s="151" t="s">
        <v>98</v>
      </c>
      <c r="P23" s="145" t="s">
        <v>86</v>
      </c>
      <c r="Q23" s="148" t="s">
        <v>97</v>
      </c>
      <c r="R23" s="148" t="s">
        <v>99</v>
      </c>
      <c r="S23" s="151" t="s">
        <v>98</v>
      </c>
      <c r="T23" s="145" t="s">
        <v>86</v>
      </c>
      <c r="U23" s="148" t="s">
        <v>97</v>
      </c>
      <c r="V23" s="148" t="s">
        <v>99</v>
      </c>
      <c r="W23" s="151" t="s">
        <v>98</v>
      </c>
      <c r="X23" s="145" t="s">
        <v>86</v>
      </c>
      <c r="Y23" s="148" t="s">
        <v>97</v>
      </c>
      <c r="Z23" s="148" t="s">
        <v>99</v>
      </c>
      <c r="AA23" s="151" t="s">
        <v>98</v>
      </c>
      <c r="AB23" s="145" t="s">
        <v>86</v>
      </c>
      <c r="AC23" s="148" t="s">
        <v>97</v>
      </c>
      <c r="AD23" s="148" t="s">
        <v>99</v>
      </c>
      <c r="AE23" s="151" t="s">
        <v>98</v>
      </c>
      <c r="AF23" s="145" t="s">
        <v>86</v>
      </c>
      <c r="AG23" s="148" t="s">
        <v>97</v>
      </c>
      <c r="AH23" s="148" t="s">
        <v>99</v>
      </c>
      <c r="AI23" s="151" t="s">
        <v>98</v>
      </c>
      <c r="AJ23" s="145" t="s">
        <v>86</v>
      </c>
      <c r="AK23" s="148" t="s">
        <v>97</v>
      </c>
      <c r="AL23" s="148" t="s">
        <v>99</v>
      </c>
      <c r="AM23" s="151" t="s">
        <v>98</v>
      </c>
      <c r="AN23" s="145" t="s">
        <v>86</v>
      </c>
      <c r="AO23" s="148" t="s">
        <v>97</v>
      </c>
      <c r="AP23" s="148" t="s">
        <v>99</v>
      </c>
      <c r="AQ23" s="151" t="s">
        <v>98</v>
      </c>
      <c r="AR23" s="145" t="s">
        <v>86</v>
      </c>
      <c r="AS23" s="148" t="s">
        <v>97</v>
      </c>
      <c r="AT23" s="148" t="s">
        <v>99</v>
      </c>
      <c r="AU23" s="151" t="s">
        <v>98</v>
      </c>
      <c r="AV23" s="145" t="s">
        <v>86</v>
      </c>
      <c r="AW23" s="148" t="s">
        <v>97</v>
      </c>
      <c r="AX23" s="148" t="s">
        <v>99</v>
      </c>
      <c r="AY23" s="151" t="s">
        <v>98</v>
      </c>
      <c r="AZ23" s="145" t="s">
        <v>86</v>
      </c>
      <c r="BA23" s="148" t="s">
        <v>97</v>
      </c>
      <c r="BB23" s="148" t="s">
        <v>99</v>
      </c>
      <c r="BC23" s="151" t="s">
        <v>98</v>
      </c>
      <c r="BD23" s="145" t="s">
        <v>86</v>
      </c>
      <c r="BE23" s="148" t="s">
        <v>97</v>
      </c>
      <c r="BF23" s="148" t="s">
        <v>99</v>
      </c>
      <c r="BG23" s="151" t="s">
        <v>98</v>
      </c>
      <c r="BH23" s="145" t="s">
        <v>86</v>
      </c>
      <c r="BI23" s="148" t="s">
        <v>97</v>
      </c>
      <c r="BJ23" s="148" t="s">
        <v>99</v>
      </c>
      <c r="BK23" s="151" t="s">
        <v>98</v>
      </c>
      <c r="BL23" s="145" t="s">
        <v>86</v>
      </c>
      <c r="BM23" s="148" t="s">
        <v>97</v>
      </c>
      <c r="BN23" s="148" t="s">
        <v>99</v>
      </c>
      <c r="BO23" s="151" t="s">
        <v>98</v>
      </c>
      <c r="BP23" s="145" t="s">
        <v>86</v>
      </c>
      <c r="BQ23" s="148" t="s">
        <v>97</v>
      </c>
      <c r="BR23" s="148" t="s">
        <v>99</v>
      </c>
      <c r="BS23" s="151" t="s">
        <v>98</v>
      </c>
      <c r="BT23" s="145" t="s">
        <v>86</v>
      </c>
      <c r="BU23" s="148" t="s">
        <v>97</v>
      </c>
      <c r="BV23" s="148" t="s">
        <v>99</v>
      </c>
      <c r="BW23" s="151" t="s">
        <v>98</v>
      </c>
      <c r="BX23" s="145" t="s">
        <v>86</v>
      </c>
      <c r="BY23" s="148" t="s">
        <v>97</v>
      </c>
      <c r="BZ23" s="148" t="s">
        <v>99</v>
      </c>
      <c r="CA23" s="151" t="s">
        <v>98</v>
      </c>
      <c r="CB23" s="145" t="s">
        <v>86</v>
      </c>
      <c r="CC23" s="148" t="s">
        <v>97</v>
      </c>
      <c r="CD23" s="148" t="s">
        <v>99</v>
      </c>
      <c r="CE23" s="151" t="s">
        <v>98</v>
      </c>
      <c r="CF23" s="145" t="s">
        <v>86</v>
      </c>
      <c r="CG23" s="148" t="s">
        <v>97</v>
      </c>
      <c r="CH23" s="148" t="s">
        <v>99</v>
      </c>
      <c r="CI23" s="151" t="s">
        <v>98</v>
      </c>
      <c r="CJ23" s="145" t="s">
        <v>86</v>
      </c>
      <c r="CK23" s="148" t="s">
        <v>97</v>
      </c>
      <c r="CL23" s="148" t="s">
        <v>99</v>
      </c>
      <c r="CM23" s="151" t="s">
        <v>98</v>
      </c>
      <c r="CN23" s="145" t="s">
        <v>86</v>
      </c>
      <c r="CO23" s="148" t="s">
        <v>97</v>
      </c>
      <c r="CP23" s="148" t="s">
        <v>99</v>
      </c>
      <c r="CQ23" s="151" t="s">
        <v>98</v>
      </c>
      <c r="CR23" s="145" t="s">
        <v>86</v>
      </c>
      <c r="CS23" s="148" t="s">
        <v>97</v>
      </c>
      <c r="CT23" s="148" t="s">
        <v>99</v>
      </c>
      <c r="CU23" s="151" t="s">
        <v>98</v>
      </c>
      <c r="CV23" s="145" t="s">
        <v>86</v>
      </c>
      <c r="CW23" s="148" t="s">
        <v>97</v>
      </c>
      <c r="CX23" s="148" t="s">
        <v>99</v>
      </c>
      <c r="CY23" s="151" t="s">
        <v>98</v>
      </c>
      <c r="CZ23" s="145" t="s">
        <v>86</v>
      </c>
      <c r="DA23" s="148" t="s">
        <v>97</v>
      </c>
      <c r="DB23" s="148" t="s">
        <v>99</v>
      </c>
      <c r="DC23" s="151" t="s">
        <v>98</v>
      </c>
    </row>
    <row r="24" spans="1:107" x14ac:dyDescent="0.25">
      <c r="B24" s="3"/>
      <c r="C24" s="27"/>
      <c r="D24" s="149"/>
      <c r="E24" s="149"/>
      <c r="F24" s="149"/>
      <c r="G24" s="149"/>
      <c r="H24" s="146"/>
      <c r="I24" s="149"/>
      <c r="J24" s="149"/>
      <c r="K24" s="152"/>
      <c r="L24" s="146"/>
      <c r="M24" s="149"/>
      <c r="N24" s="149"/>
      <c r="O24" s="152"/>
      <c r="P24" s="146"/>
      <c r="Q24" s="149"/>
      <c r="R24" s="149"/>
      <c r="S24" s="152"/>
      <c r="T24" s="146"/>
      <c r="U24" s="149"/>
      <c r="V24" s="149"/>
      <c r="W24" s="152"/>
      <c r="X24" s="146"/>
      <c r="Y24" s="149"/>
      <c r="Z24" s="149"/>
      <c r="AA24" s="152"/>
      <c r="AB24" s="146"/>
      <c r="AC24" s="149"/>
      <c r="AD24" s="149"/>
      <c r="AE24" s="152"/>
      <c r="AF24" s="146"/>
      <c r="AG24" s="149"/>
      <c r="AH24" s="149"/>
      <c r="AI24" s="152"/>
      <c r="AJ24" s="146"/>
      <c r="AK24" s="149"/>
      <c r="AL24" s="149"/>
      <c r="AM24" s="152"/>
      <c r="AN24" s="146"/>
      <c r="AO24" s="149"/>
      <c r="AP24" s="149"/>
      <c r="AQ24" s="152"/>
      <c r="AR24" s="146"/>
      <c r="AS24" s="149"/>
      <c r="AT24" s="149"/>
      <c r="AU24" s="152"/>
      <c r="AV24" s="146"/>
      <c r="AW24" s="149"/>
      <c r="AX24" s="149"/>
      <c r="AY24" s="152"/>
      <c r="AZ24" s="146"/>
      <c r="BA24" s="149"/>
      <c r="BB24" s="149"/>
      <c r="BC24" s="152"/>
      <c r="BD24" s="146"/>
      <c r="BE24" s="149"/>
      <c r="BF24" s="149"/>
      <c r="BG24" s="152"/>
      <c r="BH24" s="146"/>
      <c r="BI24" s="149"/>
      <c r="BJ24" s="149"/>
      <c r="BK24" s="152"/>
      <c r="BL24" s="146"/>
      <c r="BM24" s="149"/>
      <c r="BN24" s="149"/>
      <c r="BO24" s="152"/>
      <c r="BP24" s="146"/>
      <c r="BQ24" s="149"/>
      <c r="BR24" s="149"/>
      <c r="BS24" s="152"/>
      <c r="BT24" s="146"/>
      <c r="BU24" s="149"/>
      <c r="BV24" s="149"/>
      <c r="BW24" s="152"/>
      <c r="BX24" s="146"/>
      <c r="BY24" s="149"/>
      <c r="BZ24" s="149"/>
      <c r="CA24" s="152"/>
      <c r="CB24" s="146"/>
      <c r="CC24" s="149"/>
      <c r="CD24" s="149"/>
      <c r="CE24" s="152"/>
      <c r="CF24" s="146"/>
      <c r="CG24" s="149"/>
      <c r="CH24" s="149"/>
      <c r="CI24" s="152"/>
      <c r="CJ24" s="146"/>
      <c r="CK24" s="149"/>
      <c r="CL24" s="149"/>
      <c r="CM24" s="152"/>
      <c r="CN24" s="146"/>
      <c r="CO24" s="149"/>
      <c r="CP24" s="149"/>
      <c r="CQ24" s="152"/>
      <c r="CR24" s="146"/>
      <c r="CS24" s="149"/>
      <c r="CT24" s="149"/>
      <c r="CU24" s="152"/>
      <c r="CV24" s="146"/>
      <c r="CW24" s="149"/>
      <c r="CX24" s="149"/>
      <c r="CY24" s="152"/>
      <c r="CZ24" s="146"/>
      <c r="DA24" s="149"/>
      <c r="DB24" s="149"/>
      <c r="DC24" s="152"/>
    </row>
    <row r="25" spans="1:107" x14ac:dyDescent="0.25">
      <c r="D25" s="149"/>
      <c r="E25" s="149"/>
      <c r="F25" s="149"/>
      <c r="G25" s="149"/>
      <c r="H25" s="146"/>
      <c r="I25" s="149"/>
      <c r="J25" s="149"/>
      <c r="K25" s="152"/>
      <c r="L25" s="146"/>
      <c r="M25" s="149"/>
      <c r="N25" s="149"/>
      <c r="O25" s="152"/>
      <c r="P25" s="146"/>
      <c r="Q25" s="149"/>
      <c r="R25" s="149"/>
      <c r="S25" s="152"/>
      <c r="T25" s="146"/>
      <c r="U25" s="149"/>
      <c r="V25" s="149"/>
      <c r="W25" s="152"/>
      <c r="X25" s="146"/>
      <c r="Y25" s="149"/>
      <c r="Z25" s="149"/>
      <c r="AA25" s="152"/>
      <c r="AB25" s="146"/>
      <c r="AC25" s="149"/>
      <c r="AD25" s="149"/>
      <c r="AE25" s="152"/>
      <c r="AF25" s="146"/>
      <c r="AG25" s="149"/>
      <c r="AH25" s="149"/>
      <c r="AI25" s="152"/>
      <c r="AJ25" s="146"/>
      <c r="AK25" s="149"/>
      <c r="AL25" s="149"/>
      <c r="AM25" s="152"/>
      <c r="AN25" s="146"/>
      <c r="AO25" s="149"/>
      <c r="AP25" s="149"/>
      <c r="AQ25" s="152"/>
      <c r="AR25" s="146"/>
      <c r="AS25" s="149"/>
      <c r="AT25" s="149"/>
      <c r="AU25" s="152"/>
      <c r="AV25" s="146"/>
      <c r="AW25" s="149"/>
      <c r="AX25" s="149"/>
      <c r="AY25" s="152"/>
      <c r="AZ25" s="146"/>
      <c r="BA25" s="149"/>
      <c r="BB25" s="149"/>
      <c r="BC25" s="152"/>
      <c r="BD25" s="146"/>
      <c r="BE25" s="149"/>
      <c r="BF25" s="149"/>
      <c r="BG25" s="152"/>
      <c r="BH25" s="146"/>
      <c r="BI25" s="149"/>
      <c r="BJ25" s="149"/>
      <c r="BK25" s="152"/>
      <c r="BL25" s="146"/>
      <c r="BM25" s="149"/>
      <c r="BN25" s="149"/>
      <c r="BO25" s="152"/>
      <c r="BP25" s="146"/>
      <c r="BQ25" s="149"/>
      <c r="BR25" s="149"/>
      <c r="BS25" s="152"/>
      <c r="BT25" s="146"/>
      <c r="BU25" s="149"/>
      <c r="BV25" s="149"/>
      <c r="BW25" s="152"/>
      <c r="BX25" s="146"/>
      <c r="BY25" s="149"/>
      <c r="BZ25" s="149"/>
      <c r="CA25" s="152"/>
      <c r="CB25" s="146"/>
      <c r="CC25" s="149"/>
      <c r="CD25" s="149"/>
      <c r="CE25" s="152"/>
      <c r="CF25" s="146"/>
      <c r="CG25" s="149"/>
      <c r="CH25" s="149"/>
      <c r="CI25" s="152"/>
      <c r="CJ25" s="146"/>
      <c r="CK25" s="149"/>
      <c r="CL25" s="149"/>
      <c r="CM25" s="152"/>
      <c r="CN25" s="146"/>
      <c r="CO25" s="149"/>
      <c r="CP25" s="149"/>
      <c r="CQ25" s="152"/>
      <c r="CR25" s="146"/>
      <c r="CS25" s="149"/>
      <c r="CT25" s="149"/>
      <c r="CU25" s="152"/>
      <c r="CV25" s="146"/>
      <c r="CW25" s="149"/>
      <c r="CX25" s="149"/>
      <c r="CY25" s="152"/>
      <c r="CZ25" s="146"/>
      <c r="DA25" s="149"/>
      <c r="DB25" s="149"/>
      <c r="DC25" s="152"/>
    </row>
    <row r="26" spans="1:107" ht="15.75" thickBot="1" x14ac:dyDescent="0.3">
      <c r="D26" s="149"/>
      <c r="E26" s="149"/>
      <c r="F26" s="149"/>
      <c r="G26" s="149"/>
      <c r="H26" s="147"/>
      <c r="I26" s="150"/>
      <c r="J26" s="150"/>
      <c r="K26" s="153"/>
      <c r="L26" s="147"/>
      <c r="M26" s="150"/>
      <c r="N26" s="150"/>
      <c r="O26" s="153"/>
      <c r="P26" s="147"/>
      <c r="Q26" s="150"/>
      <c r="R26" s="150"/>
      <c r="S26" s="153"/>
      <c r="T26" s="147"/>
      <c r="U26" s="150"/>
      <c r="V26" s="150"/>
      <c r="W26" s="153"/>
      <c r="X26" s="147"/>
      <c r="Y26" s="150"/>
      <c r="Z26" s="150"/>
      <c r="AA26" s="153"/>
      <c r="AB26" s="147"/>
      <c r="AC26" s="150"/>
      <c r="AD26" s="150"/>
      <c r="AE26" s="153"/>
      <c r="AF26" s="147"/>
      <c r="AG26" s="150"/>
      <c r="AH26" s="150"/>
      <c r="AI26" s="153"/>
      <c r="AJ26" s="147"/>
      <c r="AK26" s="150"/>
      <c r="AL26" s="150"/>
      <c r="AM26" s="153"/>
      <c r="AN26" s="147"/>
      <c r="AO26" s="150"/>
      <c r="AP26" s="150"/>
      <c r="AQ26" s="153"/>
      <c r="AR26" s="147"/>
      <c r="AS26" s="150"/>
      <c r="AT26" s="150"/>
      <c r="AU26" s="153"/>
      <c r="AV26" s="147"/>
      <c r="AW26" s="150"/>
      <c r="AX26" s="150"/>
      <c r="AY26" s="153"/>
      <c r="AZ26" s="147"/>
      <c r="BA26" s="150"/>
      <c r="BB26" s="150"/>
      <c r="BC26" s="153"/>
      <c r="BD26" s="147"/>
      <c r="BE26" s="150"/>
      <c r="BF26" s="150"/>
      <c r="BG26" s="153"/>
      <c r="BH26" s="147"/>
      <c r="BI26" s="150"/>
      <c r="BJ26" s="150"/>
      <c r="BK26" s="153"/>
      <c r="BL26" s="147"/>
      <c r="BM26" s="150"/>
      <c r="BN26" s="150"/>
      <c r="BO26" s="153"/>
      <c r="BP26" s="147"/>
      <c r="BQ26" s="150"/>
      <c r="BR26" s="150"/>
      <c r="BS26" s="153"/>
      <c r="BT26" s="147"/>
      <c r="BU26" s="150"/>
      <c r="BV26" s="150"/>
      <c r="BW26" s="153"/>
      <c r="BX26" s="147"/>
      <c r="BY26" s="150"/>
      <c r="BZ26" s="150"/>
      <c r="CA26" s="153"/>
      <c r="CB26" s="147"/>
      <c r="CC26" s="150"/>
      <c r="CD26" s="150"/>
      <c r="CE26" s="153"/>
      <c r="CF26" s="147"/>
      <c r="CG26" s="150"/>
      <c r="CH26" s="150"/>
      <c r="CI26" s="153"/>
      <c r="CJ26" s="147"/>
      <c r="CK26" s="150"/>
      <c r="CL26" s="150"/>
      <c r="CM26" s="153"/>
      <c r="CN26" s="147"/>
      <c r="CO26" s="150"/>
      <c r="CP26" s="150"/>
      <c r="CQ26" s="153"/>
      <c r="CR26" s="147"/>
      <c r="CS26" s="150"/>
      <c r="CT26" s="150"/>
      <c r="CU26" s="153"/>
      <c r="CV26" s="147"/>
      <c r="CW26" s="150"/>
      <c r="CX26" s="150"/>
      <c r="CY26" s="153"/>
      <c r="CZ26" s="147"/>
      <c r="DA26" s="150"/>
      <c r="DB26" s="150"/>
      <c r="DC26" s="153"/>
    </row>
  </sheetData>
  <mergeCells count="199">
    <mergeCell ref="AR1:AU1"/>
    <mergeCell ref="AV1:AY1"/>
    <mergeCell ref="AR2:AU2"/>
    <mergeCell ref="AV2:AY2"/>
    <mergeCell ref="AZ2:BC2"/>
    <mergeCell ref="BD2:BG2"/>
    <mergeCell ref="H2:K2"/>
    <mergeCell ref="L2:O2"/>
    <mergeCell ref="P2:S2"/>
    <mergeCell ref="T2:W2"/>
    <mergeCell ref="X2:AA2"/>
    <mergeCell ref="AB2:AE2"/>
    <mergeCell ref="AF2:AI2"/>
    <mergeCell ref="AJ2:AM2"/>
    <mergeCell ref="AN2:AQ2"/>
    <mergeCell ref="CV1:CY1"/>
    <mergeCell ref="CZ1:DC1"/>
    <mergeCell ref="BX1:CA1"/>
    <mergeCell ref="CB1:CE1"/>
    <mergeCell ref="CF1:CI1"/>
    <mergeCell ref="CJ1:CM1"/>
    <mergeCell ref="CN1:CQ1"/>
    <mergeCell ref="CR1:CU1"/>
    <mergeCell ref="AZ1:BC1"/>
    <mergeCell ref="BD1:BG1"/>
    <mergeCell ref="BH1:BK1"/>
    <mergeCell ref="BL1:BO1"/>
    <mergeCell ref="BP1:BS1"/>
    <mergeCell ref="BT1:BW1"/>
    <mergeCell ref="AV3:AY3"/>
    <mergeCell ref="AZ3:BC3"/>
    <mergeCell ref="BD3:BG3"/>
    <mergeCell ref="BH3:BK3"/>
    <mergeCell ref="BL3:BO3"/>
    <mergeCell ref="A1:C3"/>
    <mergeCell ref="H1:K1"/>
    <mergeCell ref="L1:O1"/>
    <mergeCell ref="H3:K3"/>
    <mergeCell ref="L3:O3"/>
    <mergeCell ref="P3:S3"/>
    <mergeCell ref="T3:W3"/>
    <mergeCell ref="X3:AA3"/>
    <mergeCell ref="AB3:AE3"/>
    <mergeCell ref="AF3:AI3"/>
    <mergeCell ref="AJ3:AM3"/>
    <mergeCell ref="AN3:AQ3"/>
    <mergeCell ref="P1:S1"/>
    <mergeCell ref="T1:W1"/>
    <mergeCell ref="X1:AA1"/>
    <mergeCell ref="AB1:AE1"/>
    <mergeCell ref="AF1:AI1"/>
    <mergeCell ref="AJ1:AM1"/>
    <mergeCell ref="AN1:AQ1"/>
    <mergeCell ref="B10:C10"/>
    <mergeCell ref="B11:C11"/>
    <mergeCell ref="B12:C12"/>
    <mergeCell ref="B13:C13"/>
    <mergeCell ref="B14:C14"/>
    <mergeCell ref="B15:C15"/>
    <mergeCell ref="CV3:CY3"/>
    <mergeCell ref="CZ3:DC3"/>
    <mergeCell ref="A4:A18"/>
    <mergeCell ref="B4:C4"/>
    <mergeCell ref="B5:C5"/>
    <mergeCell ref="B6:C6"/>
    <mergeCell ref="B7:C7"/>
    <mergeCell ref="B8:C8"/>
    <mergeCell ref="B9:C9"/>
    <mergeCell ref="CN3:CQ3"/>
    <mergeCell ref="CR3:CU3"/>
    <mergeCell ref="BP3:BS3"/>
    <mergeCell ref="BT3:BW3"/>
    <mergeCell ref="BX3:CA3"/>
    <mergeCell ref="CB3:CE3"/>
    <mergeCell ref="CF3:CI3"/>
    <mergeCell ref="CJ3:CM3"/>
    <mergeCell ref="AR3:AU3"/>
    <mergeCell ref="H23:H26"/>
    <mergeCell ref="I23:I26"/>
    <mergeCell ref="J23:J26"/>
    <mergeCell ref="K23:K26"/>
    <mergeCell ref="L23:L26"/>
    <mergeCell ref="M23:M26"/>
    <mergeCell ref="B16:C16"/>
    <mergeCell ref="B18:C18"/>
    <mergeCell ref="B19:G19"/>
    <mergeCell ref="B20:G20"/>
    <mergeCell ref="B21:G21"/>
    <mergeCell ref="D23:D26"/>
    <mergeCell ref="E23:E26"/>
    <mergeCell ref="F23:F26"/>
    <mergeCell ref="G23:G26"/>
    <mergeCell ref="B17:C17"/>
    <mergeCell ref="T23:T26"/>
    <mergeCell ref="U23:U26"/>
    <mergeCell ref="V23:V26"/>
    <mergeCell ref="W23:W26"/>
    <mergeCell ref="X23:X26"/>
    <mergeCell ref="Y23:Y26"/>
    <mergeCell ref="N23:N26"/>
    <mergeCell ref="O23:O26"/>
    <mergeCell ref="P23:P26"/>
    <mergeCell ref="Q23:Q26"/>
    <mergeCell ref="R23:R26"/>
    <mergeCell ref="S23:S26"/>
    <mergeCell ref="AF23:AF26"/>
    <mergeCell ref="AG23:AG26"/>
    <mergeCell ref="AH23:AH26"/>
    <mergeCell ref="AI23:AI26"/>
    <mergeCell ref="AJ23:AJ26"/>
    <mergeCell ref="AK23:AK26"/>
    <mergeCell ref="Z23:Z26"/>
    <mergeCell ref="AA23:AA26"/>
    <mergeCell ref="AB23:AB26"/>
    <mergeCell ref="AC23:AC26"/>
    <mergeCell ref="AD23:AD26"/>
    <mergeCell ref="AE23:AE26"/>
    <mergeCell ref="AR23:AR26"/>
    <mergeCell ref="AS23:AS26"/>
    <mergeCell ref="AT23:AT26"/>
    <mergeCell ref="AU23:AU26"/>
    <mergeCell ref="AV23:AV26"/>
    <mergeCell ref="AW23:AW26"/>
    <mergeCell ref="AL23:AL26"/>
    <mergeCell ref="AM23:AM26"/>
    <mergeCell ref="AN23:AN26"/>
    <mergeCell ref="AO23:AO26"/>
    <mergeCell ref="AP23:AP26"/>
    <mergeCell ref="AQ23:AQ26"/>
    <mergeCell ref="BD23:BD26"/>
    <mergeCell ref="BE23:BE26"/>
    <mergeCell ref="BF23:BF26"/>
    <mergeCell ref="BG23:BG26"/>
    <mergeCell ref="BH23:BH26"/>
    <mergeCell ref="BI23:BI26"/>
    <mergeCell ref="AX23:AX26"/>
    <mergeCell ref="AY23:AY26"/>
    <mergeCell ref="AZ23:AZ26"/>
    <mergeCell ref="BA23:BA26"/>
    <mergeCell ref="BB23:BB26"/>
    <mergeCell ref="BC23:BC26"/>
    <mergeCell ref="BP23:BP26"/>
    <mergeCell ref="BQ23:BQ26"/>
    <mergeCell ref="BR23:BR26"/>
    <mergeCell ref="BS23:BS26"/>
    <mergeCell ref="BT23:BT26"/>
    <mergeCell ref="BU23:BU26"/>
    <mergeCell ref="BJ23:BJ26"/>
    <mergeCell ref="BK23:BK26"/>
    <mergeCell ref="BL23:BL26"/>
    <mergeCell ref="BM23:BM26"/>
    <mergeCell ref="BN23:BN26"/>
    <mergeCell ref="BO23:BO26"/>
    <mergeCell ref="CB23:CB26"/>
    <mergeCell ref="CC23:CC26"/>
    <mergeCell ref="CD23:CD26"/>
    <mergeCell ref="CE23:CE26"/>
    <mergeCell ref="CF23:CF26"/>
    <mergeCell ref="CG23:CG26"/>
    <mergeCell ref="BV23:BV26"/>
    <mergeCell ref="BW23:BW26"/>
    <mergeCell ref="BX23:BX26"/>
    <mergeCell ref="BY23:BY26"/>
    <mergeCell ref="BZ23:BZ26"/>
    <mergeCell ref="CA23:CA26"/>
    <mergeCell ref="CN23:CN26"/>
    <mergeCell ref="CO23:CO26"/>
    <mergeCell ref="CP23:CP26"/>
    <mergeCell ref="CQ23:CQ26"/>
    <mergeCell ref="CR23:CR26"/>
    <mergeCell ref="CS23:CS26"/>
    <mergeCell ref="CH23:CH26"/>
    <mergeCell ref="CI23:CI26"/>
    <mergeCell ref="CJ23:CJ26"/>
    <mergeCell ref="CK23:CK26"/>
    <mergeCell ref="CL23:CL26"/>
    <mergeCell ref="CM23:CM26"/>
    <mergeCell ref="CZ23:CZ26"/>
    <mergeCell ref="DA23:DA26"/>
    <mergeCell ref="DB23:DB26"/>
    <mergeCell ref="DC23:DC26"/>
    <mergeCell ref="CT23:CT26"/>
    <mergeCell ref="CU23:CU26"/>
    <mergeCell ref="CV23:CV26"/>
    <mergeCell ref="CW23:CW26"/>
    <mergeCell ref="CX23:CX26"/>
    <mergeCell ref="CY23:CY26"/>
    <mergeCell ref="CN2:CQ2"/>
    <mergeCell ref="CR2:CU2"/>
    <mergeCell ref="CV2:CY2"/>
    <mergeCell ref="D2:G2"/>
    <mergeCell ref="BH2:BK2"/>
    <mergeCell ref="BL2:BO2"/>
    <mergeCell ref="BP2:BS2"/>
    <mergeCell ref="BT2:BW2"/>
    <mergeCell ref="BX2:CA2"/>
    <mergeCell ref="CB2:CE2"/>
    <mergeCell ref="CF2:CI2"/>
    <mergeCell ref="CJ2:CM2"/>
  </mergeCells>
  <hyperlinks>
    <hyperlink ref="A1:C3" location="Equipos!A1" display="Equipos!A1" xr:uid="{00000000-0004-0000-0A00-000000000000}"/>
    <hyperlink ref="A4:A18" location="Jugadores!A1" display="Jugador" xr:uid="{DB5B7C75-EBC9-47B4-9AD9-B1319C4F3B74}"/>
  </hyperlinks>
  <pageMargins left="0.7" right="0.7" top="0.75" bottom="0.75" header="0.3" footer="0.3"/>
  <pageSetup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C26"/>
  <sheetViews>
    <sheetView zoomScale="90" zoomScaleNormal="90" zoomScaleSheetLayoutView="90" workbookViewId="0">
      <pane xSplit="7" ySplit="3" topLeftCell="BN4" activePane="bottomRight" state="frozen"/>
      <selection pane="topRight" activeCell="H1" sqref="H1"/>
      <selection pane="bottomLeft" activeCell="A3" sqref="A3"/>
      <selection pane="bottomRight" sqref="A1:C3"/>
    </sheetView>
  </sheetViews>
  <sheetFormatPr baseColWidth="10" defaultColWidth="11.42578125" defaultRowHeight="15" x14ac:dyDescent="0.25"/>
  <cols>
    <col min="1" max="1" width="4.85546875" customWidth="1"/>
    <col min="2" max="2" width="9.42578125" customWidth="1"/>
    <col min="3" max="3" width="11.5703125" style="3" customWidth="1"/>
    <col min="4" max="7" width="4.28515625" style="3" customWidth="1"/>
    <col min="8" max="8" width="3.5703125" style="3" customWidth="1"/>
    <col min="9" max="107" width="2.7109375" style="3" customWidth="1"/>
    <col min="108" max="16384" width="11.42578125" style="3"/>
  </cols>
  <sheetData>
    <row r="1" spans="1:107" ht="13.9" customHeight="1" x14ac:dyDescent="0.25">
      <c r="A1" s="183" t="str">
        <f>Equipos!B5</f>
        <v>La Amistad</v>
      </c>
      <c r="B1" s="183"/>
      <c r="C1" s="183"/>
      <c r="H1" s="172" t="s">
        <v>5</v>
      </c>
      <c r="I1" s="173"/>
      <c r="J1" s="173"/>
      <c r="K1" s="174"/>
      <c r="L1" s="172" t="s">
        <v>6</v>
      </c>
      <c r="M1" s="173"/>
      <c r="N1" s="173"/>
      <c r="O1" s="174"/>
      <c r="P1" s="172" t="s">
        <v>7</v>
      </c>
      <c r="Q1" s="173"/>
      <c r="R1" s="173"/>
      <c r="S1" s="174"/>
      <c r="T1" s="172" t="s">
        <v>8</v>
      </c>
      <c r="U1" s="173"/>
      <c r="V1" s="173"/>
      <c r="W1" s="174"/>
      <c r="X1" s="172" t="s">
        <v>9</v>
      </c>
      <c r="Y1" s="173"/>
      <c r="Z1" s="173"/>
      <c r="AA1" s="174"/>
      <c r="AB1" s="172" t="s">
        <v>10</v>
      </c>
      <c r="AC1" s="173"/>
      <c r="AD1" s="173"/>
      <c r="AE1" s="174"/>
      <c r="AF1" s="172" t="s">
        <v>11</v>
      </c>
      <c r="AG1" s="173"/>
      <c r="AH1" s="173"/>
      <c r="AI1" s="174"/>
      <c r="AJ1" s="172" t="s">
        <v>12</v>
      </c>
      <c r="AK1" s="173"/>
      <c r="AL1" s="173"/>
      <c r="AM1" s="174"/>
      <c r="AN1" s="172" t="s">
        <v>13</v>
      </c>
      <c r="AO1" s="173"/>
      <c r="AP1" s="173"/>
      <c r="AQ1" s="174"/>
      <c r="AR1" s="172" t="s">
        <v>14</v>
      </c>
      <c r="AS1" s="173"/>
      <c r="AT1" s="173"/>
      <c r="AU1" s="174"/>
      <c r="AV1" s="172" t="s">
        <v>15</v>
      </c>
      <c r="AW1" s="173"/>
      <c r="AX1" s="173"/>
      <c r="AY1" s="174"/>
      <c r="AZ1" s="172" t="s">
        <v>16</v>
      </c>
      <c r="BA1" s="173"/>
      <c r="BB1" s="173"/>
      <c r="BC1" s="174"/>
      <c r="BD1" s="172" t="s">
        <v>17</v>
      </c>
      <c r="BE1" s="173"/>
      <c r="BF1" s="173"/>
      <c r="BG1" s="174"/>
      <c r="BH1" s="172" t="s">
        <v>18</v>
      </c>
      <c r="BI1" s="173"/>
      <c r="BJ1" s="173"/>
      <c r="BK1" s="174"/>
      <c r="BL1" s="172" t="s">
        <v>19</v>
      </c>
      <c r="BM1" s="173"/>
      <c r="BN1" s="173"/>
      <c r="BO1" s="174"/>
      <c r="BP1" s="172" t="s">
        <v>20</v>
      </c>
      <c r="BQ1" s="173"/>
      <c r="BR1" s="173"/>
      <c r="BS1" s="174"/>
      <c r="BT1" s="172" t="s">
        <v>51</v>
      </c>
      <c r="BU1" s="173"/>
      <c r="BV1" s="173"/>
      <c r="BW1" s="174"/>
      <c r="BX1" s="172" t="s">
        <v>81</v>
      </c>
      <c r="BY1" s="173"/>
      <c r="BZ1" s="173"/>
      <c r="CA1" s="174"/>
      <c r="CB1" s="172" t="s">
        <v>83</v>
      </c>
      <c r="CC1" s="173"/>
      <c r="CD1" s="173"/>
      <c r="CE1" s="174"/>
      <c r="CF1" s="172" t="s">
        <v>84</v>
      </c>
      <c r="CG1" s="173"/>
      <c r="CH1" s="173"/>
      <c r="CI1" s="174"/>
      <c r="CJ1" s="172" t="s">
        <v>85</v>
      </c>
      <c r="CK1" s="173"/>
      <c r="CL1" s="173"/>
      <c r="CM1" s="174"/>
      <c r="CN1" s="172" t="s">
        <v>93</v>
      </c>
      <c r="CO1" s="173"/>
      <c r="CP1" s="173"/>
      <c r="CQ1" s="174"/>
      <c r="CR1" s="172" t="s">
        <v>94</v>
      </c>
      <c r="CS1" s="173"/>
      <c r="CT1" s="173"/>
      <c r="CU1" s="174"/>
      <c r="CV1" s="172" t="s">
        <v>95</v>
      </c>
      <c r="CW1" s="173"/>
      <c r="CX1" s="173"/>
      <c r="CY1" s="174"/>
      <c r="CZ1" s="172" t="s">
        <v>96</v>
      </c>
      <c r="DA1" s="173"/>
      <c r="DB1" s="173"/>
      <c r="DC1" s="174"/>
    </row>
    <row r="2" spans="1:107" ht="13.9" customHeight="1" x14ac:dyDescent="0.25">
      <c r="A2" s="183"/>
      <c r="B2" s="183"/>
      <c r="C2" s="183"/>
      <c r="D2" s="143" t="s">
        <v>272</v>
      </c>
      <c r="E2" s="143"/>
      <c r="F2" s="143"/>
      <c r="G2" s="144"/>
      <c r="H2" s="140" t="str">
        <f>+_xlfn.XLOOKUP($A$1,Fixture!$D$2:$D$9,Fixture!$F$2:$F$9,_xlfn.XLOOKUP($A$1,Fixture!$F$2:$F$9,Fixture!$D$2:$D$9,"Descansa",FALSE))</f>
        <v>Atalanta</v>
      </c>
      <c r="I2" s="141"/>
      <c r="J2" s="141"/>
      <c r="K2" s="142"/>
      <c r="L2" s="140" t="str">
        <f>+_xlfn.XLOOKUP($A$1,Fixture!$D$10:$D$17,Fixture!$F$10:$F$17,_xlfn.XLOOKUP($A$1,Fixture!$F$10:$F$17,Fixture!$D$10:$D$17,"Descansa",FALSE))</f>
        <v>Los Amigos</v>
      </c>
      <c r="M2" s="141"/>
      <c r="N2" s="141"/>
      <c r="O2" s="142"/>
      <c r="P2" s="175" t="str">
        <f>+_xlfn.XLOOKUP($A$1,Fixture!$D$18:$D$25,Fixture!$F$18:$F$25,_xlfn.XLOOKUP($A$1,Fixture!$F$18:$F$25,Fixture!$D$18:$D$25,"Descansa",FALSE))</f>
        <v>La Unión FC</v>
      </c>
      <c r="Q2" s="176"/>
      <c r="R2" s="176"/>
      <c r="S2" s="177"/>
      <c r="T2" s="140" t="str">
        <f>+_xlfn.XLOOKUP($A$1,Fixture!$D$26:$D$33,Fixture!$F$26:$F$33,_xlfn.XLOOKUP($A$1,Fixture!$F$26:$F$33,Fixture!$D$26:$D$33,"Descansa",FALSE))</f>
        <v>Valentín FC</v>
      </c>
      <c r="U2" s="141"/>
      <c r="V2" s="141"/>
      <c r="W2" s="142"/>
      <c r="X2" s="140" t="str">
        <f>+_xlfn.XLOOKUP($A$1,Fixture!$D$34:$D$41,Fixture!$F$34:$F$41,_xlfn.XLOOKUP($A$1,Fixture!$F$34:$F$41,Fixture!$D$34:$D$41,"Descansa",FALSE))</f>
        <v>Konami</v>
      </c>
      <c r="Y2" s="141"/>
      <c r="Z2" s="141"/>
      <c r="AA2" s="142"/>
      <c r="AB2" s="140" t="str">
        <f>+_xlfn.XLOOKUP($A$1,Fixture!$D$42:$D$49,Fixture!$F$42:$F$49,_xlfn.XLOOKUP($A$1,Fixture!$F$42:$F$49,Fixture!$D$42:$D$49,"Descansa",FALSE))</f>
        <v>Villanueva</v>
      </c>
      <c r="AC2" s="141"/>
      <c r="AD2" s="141"/>
      <c r="AE2" s="142"/>
      <c r="AF2" s="140" t="str">
        <f>+_xlfn.XLOOKUP($A$1,Fixture!$D$50:$D$57,Fixture!$F$50:$F$57,_xlfn.XLOOKUP($A$1,Fixture!$F$50:$F$57,Fixture!$D$50:$D$57,"Descansa",FALSE))</f>
        <v>Ron Star</v>
      </c>
      <c r="AG2" s="141"/>
      <c r="AH2" s="141"/>
      <c r="AI2" s="142"/>
      <c r="AJ2" s="140" t="str">
        <f>+_xlfn.XLOOKUP($A$1,Fixture!$D$58:$D$65,Fixture!$F$58:$F$65,_xlfn.XLOOKUP($A$1,Fixture!$F$58:$F$65,Fixture!$D$58:$D$65,"Descansa",FALSE))</f>
        <v>Amenadim</v>
      </c>
      <c r="AK2" s="141"/>
      <c r="AL2" s="141"/>
      <c r="AM2" s="142"/>
      <c r="AN2" s="140" t="str">
        <f>+_xlfn.XLOOKUP($A$1,Fixture!$D$66:$D$73,Fixture!$F$66:$F$73,_xlfn.XLOOKUP($A$1,Fixture!$F$66:$F$73,Fixture!$D$66:$D$73,"Descansa",FALSE))</f>
        <v>Hojas Anchas</v>
      </c>
      <c r="AO2" s="141"/>
      <c r="AP2" s="141"/>
      <c r="AQ2" s="142"/>
      <c r="AR2" s="140" t="str">
        <f>+_xlfn.XLOOKUP($A$1,Fixture!$D$74:$D$81,Fixture!$F$74:$F$81,_xlfn.XLOOKUP($A$1,Fixture!$F$74:$F$81,Fixture!$D$74:$D$81,"Descansa",FALSE))</f>
        <v>Los Aliados</v>
      </c>
      <c r="AS2" s="141"/>
      <c r="AT2" s="141"/>
      <c r="AU2" s="142"/>
      <c r="AV2" s="140" t="str">
        <f>+_xlfn.XLOOKUP($A$1,Fixture!$D$82:$D$89,Fixture!$F$82:$F$89,_xlfn.XLOOKUP($A$1,Fixture!$F$82:$F$89,Fixture!$D$82:$D$89,"Descansa",FALSE))</f>
        <v>Boca Juniors</v>
      </c>
      <c r="AW2" s="141"/>
      <c r="AX2" s="141"/>
      <c r="AY2" s="142"/>
      <c r="AZ2" s="140" t="str">
        <f>+_xlfn.XLOOKUP($A$1,Fixture!$D$90:$D$97,Fixture!$F$90:$F$97,_xlfn.XLOOKUP($A$1,Fixture!$F$90:$F$97,Fixture!$D$90:$D$97,"Descansa",FALSE))</f>
        <v>Deportivo Fénix</v>
      </c>
      <c r="BA2" s="141"/>
      <c r="BB2" s="141"/>
      <c r="BC2" s="142"/>
      <c r="BD2" s="140" t="str">
        <f>+_xlfn.XLOOKUP($A$1,Fixture!$D$98:$D$105,Fixture!$F$98:$F$105,_xlfn.XLOOKUP($A$1,Fixture!$F$98:$F$105,Fixture!$D$98:$D$105,"Descansa",FALSE))</f>
        <v>Rayos FC</v>
      </c>
      <c r="BE2" s="141"/>
      <c r="BF2" s="141"/>
      <c r="BG2" s="142"/>
      <c r="BH2" s="140" t="str">
        <f>+_xlfn.XLOOKUP($A$1,Fixture!$D$106:$D$113,Fixture!$F$106:$F$113,_xlfn.XLOOKUP($A$1,Fixture!$F$106:$F$113,Fixture!$D$106:$D$113,"Descansa",FALSE))</f>
        <v>La Nueva Era</v>
      </c>
      <c r="BI2" s="141"/>
      <c r="BJ2" s="141"/>
      <c r="BK2" s="142"/>
      <c r="BL2" s="140" t="str">
        <f>+_xlfn.XLOOKUP($A$1,Fixture!$D$114:$D$121,Fixture!$F$114:$F$121,_xlfn.XLOOKUP($A$1,Fixture!$F$114:$F$121,Fixture!$D$114:$D$121,"Descansa",FALSE))</f>
        <v>CD El Corozo</v>
      </c>
      <c r="BM2" s="141"/>
      <c r="BN2" s="141"/>
      <c r="BO2" s="142"/>
      <c r="BP2" s="140" t="str">
        <f>+_xlfn.XLOOKUP($A$1,Fixture!$D$122:$D$128,Fixture!$F$122:$F$128,_xlfn.XLOOKUP($A$1,Fixture!$F$122:$F$128,Fixture!$D$122:$D$128,"Descansa",FALSE))</f>
        <v>La Nueva Era</v>
      </c>
      <c r="BQ2" s="141"/>
      <c r="BR2" s="141"/>
      <c r="BS2" s="142"/>
      <c r="BT2" s="140" t="str">
        <f>+_xlfn.XLOOKUP($A$1,Fixture!$D$129:$D$135,Fixture!$F$129:$F$135,_xlfn.XLOOKUP($A$1,Fixture!$F$129:$F$135,Fixture!$D$129:$D$135,"Descansa",FALSE))</f>
        <v>CD El Corozo</v>
      </c>
      <c r="BU2" s="141"/>
      <c r="BV2" s="141"/>
      <c r="BW2" s="142"/>
      <c r="BX2" s="140" t="str">
        <f>+_xlfn.XLOOKUP($A$1,Fixture!$D$136:$D$141,Fixture!$F$136:$F$141,_xlfn.XLOOKUP($A$1,Fixture!$F$136:$F$141,Fixture!$D$136:$D$141,"Descansa",FALSE))</f>
        <v>Deportivo Fénix</v>
      </c>
      <c r="BY2" s="141"/>
      <c r="BZ2" s="141"/>
      <c r="CA2" s="142"/>
      <c r="CB2" s="140" t="str">
        <f>+_xlfn.XLOOKUP($A$1,Fixture!$D$142:$D$149,Fixture!$F$142:$F$149,_xlfn.XLOOKUP($A$1,Fixture!$F$142:$F$149,Fixture!$D$142:$D$149,"Descansa",FALSE))</f>
        <v>Descansa</v>
      </c>
      <c r="CC2" s="141"/>
      <c r="CD2" s="141"/>
      <c r="CE2" s="142"/>
      <c r="CF2" s="140" t="str">
        <f>+_xlfn.XLOOKUP($A$1,Fixture!$D$150:$D$155,Fixture!$F$150:$F$155,_xlfn.XLOOKUP($A$1,Fixture!$F$150:$F$155,Fixture!$D$150:$D$155,"Descansa",FALSE))</f>
        <v>Amenadim</v>
      </c>
      <c r="CG2" s="141"/>
      <c r="CH2" s="141"/>
      <c r="CI2" s="142"/>
      <c r="CJ2" s="140" t="str">
        <f>+_xlfn.XLOOKUP($A$1,Fixture!$D$156:$D$161,Fixture!$F$156:$F$161,_xlfn.XLOOKUP($A$1,Fixture!$F$156:$F$161,Fixture!$D$156:$D$161,"Descansa",FALSE))</f>
        <v>Villanueva</v>
      </c>
      <c r="CK2" s="141"/>
      <c r="CL2" s="141"/>
      <c r="CM2" s="142"/>
      <c r="CN2" s="140" t="str">
        <f>+_xlfn.XLOOKUP($A$1,Fixture!$D$162:$D$167,Fixture!$F$162:$F$167,_xlfn.XLOOKUP($A$1,Fixture!$F$162:$F$167,Fixture!$D$162:$D$167,"Descansa",FALSE))</f>
        <v>Konami</v>
      </c>
      <c r="CO2" s="141"/>
      <c r="CP2" s="141"/>
      <c r="CQ2" s="142"/>
      <c r="CR2" s="140" t="str">
        <f>+_xlfn.XLOOKUP($A$1,Fixture!$D$168:$D$169,Fixture!$F$168:$F$169,_xlfn.XLOOKUP($A$1,Fixture!$F$168:$F$169,Fixture!$D$168:$D$169,"Descanssa",FALSE))</f>
        <v>Descanssa</v>
      </c>
      <c r="CS2" s="141"/>
      <c r="CT2" s="141"/>
      <c r="CU2" s="142"/>
      <c r="CV2" s="140" t="str">
        <f>+_xlfn.XLOOKUP($A$1,Fixture!$D$170:$D$171,Fixture!$F$170:$F$171,_xlfn.XLOOKUP($A$1,Fixture!$F$170:$F$171,Fixture!$D$170:$D$171,"Descansa",FALSE))</f>
        <v>Descansa</v>
      </c>
      <c r="CW2" s="141"/>
      <c r="CX2" s="141"/>
      <c r="CY2" s="142"/>
      <c r="CZ2" s="72"/>
      <c r="DA2" s="73"/>
      <c r="DB2" s="73"/>
      <c r="DC2" s="74"/>
    </row>
    <row r="3" spans="1:107" ht="14.45" customHeight="1" x14ac:dyDescent="0.25">
      <c r="A3" s="183"/>
      <c r="B3" s="183"/>
      <c r="C3" s="183"/>
      <c r="D3" s="22" t="s">
        <v>89</v>
      </c>
      <c r="E3" s="22" t="s">
        <v>90</v>
      </c>
      <c r="F3" s="22" t="s">
        <v>91</v>
      </c>
      <c r="G3" s="24" t="s">
        <v>92</v>
      </c>
      <c r="H3" s="166">
        <f>IF(Fixture!$C7=0,"",Fixture!$C7)</f>
        <v>45676</v>
      </c>
      <c r="I3" s="167"/>
      <c r="J3" s="167"/>
      <c r="K3" s="168"/>
      <c r="L3" s="166">
        <f>IF(Fixture!$C10=0,"",Fixture!$C10)</f>
        <v>45683</v>
      </c>
      <c r="M3" s="167"/>
      <c r="N3" s="167"/>
      <c r="O3" s="168"/>
      <c r="P3" s="166">
        <f>IF(Fixture!$C18=0,"",Fixture!$C18)</f>
        <v>45690</v>
      </c>
      <c r="Q3" s="167"/>
      <c r="R3" s="167"/>
      <c r="S3" s="168"/>
      <c r="T3" s="166">
        <f>IF(Fixture!$C33=0,"",Fixture!$C33)</f>
        <v>45697</v>
      </c>
      <c r="U3" s="167"/>
      <c r="V3" s="167"/>
      <c r="W3" s="168"/>
      <c r="X3" s="166">
        <f>IF(Fixture!$C34=0,"",Fixture!$C34)</f>
        <v>45704</v>
      </c>
      <c r="Y3" s="167"/>
      <c r="Z3" s="167"/>
      <c r="AA3" s="168"/>
      <c r="AB3" s="166">
        <f>IF(Fixture!$C42=0,"",Fixture!$C42)</f>
        <v>45711</v>
      </c>
      <c r="AC3" s="167"/>
      <c r="AD3" s="167"/>
      <c r="AE3" s="168"/>
      <c r="AF3" s="166">
        <f>IF(Fixture!$C51=0,"",Fixture!$C51)</f>
        <v>45718</v>
      </c>
      <c r="AG3" s="167"/>
      <c r="AH3" s="167"/>
      <c r="AI3" s="168"/>
      <c r="AJ3" s="166">
        <f>IF(Fixture!$C59=0,"",Fixture!$C59)</f>
        <v>45725</v>
      </c>
      <c r="AK3" s="167"/>
      <c r="AL3" s="167"/>
      <c r="AM3" s="168"/>
      <c r="AN3" s="166">
        <f>IF(Fixture!$C68=0,"",Fixture!$C68)</f>
        <v>45704</v>
      </c>
      <c r="AO3" s="167"/>
      <c r="AP3" s="167"/>
      <c r="AQ3" s="168"/>
      <c r="AR3" s="166">
        <f>IF(Fixture!$C76=0,"",Fixture!$C76)</f>
        <v>45746</v>
      </c>
      <c r="AS3" s="167"/>
      <c r="AT3" s="167"/>
      <c r="AU3" s="168"/>
      <c r="AV3" s="166">
        <f>IF(Fixture!$C85=0,"",Fixture!$C85)</f>
        <v>45753</v>
      </c>
      <c r="AW3" s="167"/>
      <c r="AX3" s="167"/>
      <c r="AY3" s="168"/>
      <c r="AZ3" s="166">
        <f>IF(Fixture!$C93=0,"",Fixture!$C93)</f>
        <v>45774</v>
      </c>
      <c r="BA3" s="167"/>
      <c r="BB3" s="167"/>
      <c r="BC3" s="168"/>
      <c r="BD3" s="166">
        <f>IF(Fixture!$C102=0,"",Fixture!$C102)</f>
        <v>45809</v>
      </c>
      <c r="BE3" s="167"/>
      <c r="BF3" s="167"/>
      <c r="BG3" s="168"/>
      <c r="BH3" s="163" t="e">
        <f>+VLOOKUP(BH1,Resultados!$A$3:$B$71,2,FALSE)</f>
        <v>#N/A</v>
      </c>
      <c r="BI3" s="164"/>
      <c r="BJ3" s="164"/>
      <c r="BK3" s="165"/>
      <c r="BL3" s="163" t="e">
        <f>+VLOOKUP(BL1,Resultados!$A$3:$B$71,2,FALSE)</f>
        <v>#N/A</v>
      </c>
      <c r="BM3" s="164"/>
      <c r="BN3" s="164"/>
      <c r="BO3" s="165"/>
      <c r="BP3" s="163" t="e">
        <f>+VLOOKUP(BP1,Resultados!$A$3:$B$71,2,FALSE)</f>
        <v>#N/A</v>
      </c>
      <c r="BQ3" s="164"/>
      <c r="BR3" s="164"/>
      <c r="BS3" s="165"/>
      <c r="BT3" s="163" t="e">
        <f>+VLOOKUP(BT1,Resultados!$A$3:$B$71,2,FALSE)</f>
        <v>#N/A</v>
      </c>
      <c r="BU3" s="164"/>
      <c r="BV3" s="164"/>
      <c r="BW3" s="165"/>
      <c r="BX3" s="163" t="e">
        <f>+VLOOKUP(BX1,Resultados!$A$3:$B$71,2,FALSE)</f>
        <v>#N/A</v>
      </c>
      <c r="BY3" s="164"/>
      <c r="BZ3" s="164"/>
      <c r="CA3" s="165"/>
      <c r="CB3" s="163" t="e">
        <f>+VLOOKUP(CB1,Resultados!$A$3:$B$71,2,FALSE)</f>
        <v>#N/A</v>
      </c>
      <c r="CC3" s="164"/>
      <c r="CD3" s="164"/>
      <c r="CE3" s="165"/>
      <c r="CF3" s="163" t="e">
        <f>+VLOOKUP(CF1,Resultados!$A$3:$B$71,2,FALSE)</f>
        <v>#N/A</v>
      </c>
      <c r="CG3" s="164"/>
      <c r="CH3" s="164"/>
      <c r="CI3" s="165"/>
      <c r="CJ3" s="163" t="e">
        <f>+VLOOKUP(CJ1,Resultados!$A$3:$B$71,2,FALSE)</f>
        <v>#N/A</v>
      </c>
      <c r="CK3" s="164"/>
      <c r="CL3" s="164"/>
      <c r="CM3" s="165"/>
      <c r="CN3" s="163" t="e">
        <f>+VLOOKUP(CN1,Resultados!$A$3:$B$71,2,FALSE)</f>
        <v>#N/A</v>
      </c>
      <c r="CO3" s="164"/>
      <c r="CP3" s="164"/>
      <c r="CQ3" s="165"/>
      <c r="CR3" s="163" t="e">
        <f>+VLOOKUP(CR1,Resultados!$A$3:$B$71,2,FALSE)</f>
        <v>#N/A</v>
      </c>
      <c r="CS3" s="164"/>
      <c r="CT3" s="164"/>
      <c r="CU3" s="165"/>
      <c r="CV3" s="163" t="e">
        <f>+VLOOKUP(CV1,Resultados!$A$3:$B$71,2,FALSE)</f>
        <v>#N/A</v>
      </c>
      <c r="CW3" s="164"/>
      <c r="CX3" s="164"/>
      <c r="CY3" s="165"/>
      <c r="CZ3" s="163" t="e">
        <f>+VLOOKUP(CZ1,Resultados!$A$3:$B$71,2,FALSE)</f>
        <v>#N/A</v>
      </c>
      <c r="DA3" s="164"/>
      <c r="DB3" s="164"/>
      <c r="DC3" s="165"/>
    </row>
    <row r="4" spans="1:107" ht="19.899999999999999" customHeight="1" x14ac:dyDescent="0.25">
      <c r="A4" s="178" t="s">
        <v>3</v>
      </c>
      <c r="B4" s="181" t="str">
        <f>Jugadores!C3</f>
        <v xml:space="preserve">Yeremi Sebastián Muñoz </v>
      </c>
      <c r="C4" s="182"/>
      <c r="D4" s="24">
        <f>H4+L4+P4+T4+X4+AB4+AF4+AJ4+AN4+AR4+AV4+AZ4+BD4+BH4+BL4+BP4+BT4+BX4+CB4+CF4+CJ4+CN4+CR4+CV4+CZ4</f>
        <v>17</v>
      </c>
      <c r="E4" s="24">
        <f>I4+M4+Q4+U4+Y4+AC4+AG4+AK4+AO4+AS4+AW4+BA4+BE4+BI4+BM4+BQ4+BV4+BY4+CD4+CG4+CL4+CO4+CT4+CW4+DB4</f>
        <v>1</v>
      </c>
      <c r="F4" s="115">
        <f>J4+N4+R4+V4+Z4+AD4+AH4+AL4+AP4+AT4+AX4+BB4+BF4+BJ4+BN4+BT4+BX4+CB4+CF4+CJ4+CN4+CR4+CV4+CZ4</f>
        <v>8</v>
      </c>
      <c r="G4" s="115">
        <f>K4+O4+S4+W4+AA4+AE4+AI4+AM4+AQ4+AU4+AY4+BC4+BG4+BK4+BO4+BV4+BY4+CD4+CG4+CL4+CO4+CT4+CW4+DB4</f>
        <v>1</v>
      </c>
      <c r="H4" s="28"/>
      <c r="I4" s="26"/>
      <c r="J4" s="26"/>
      <c r="K4" s="29"/>
      <c r="L4" s="28">
        <v>3</v>
      </c>
      <c r="M4" s="26"/>
      <c r="N4" s="26"/>
      <c r="O4" s="29"/>
      <c r="P4" s="28"/>
      <c r="Q4" s="26"/>
      <c r="R4" s="26"/>
      <c r="S4" s="29"/>
      <c r="T4" s="28"/>
      <c r="U4" s="26"/>
      <c r="V4" s="26"/>
      <c r="W4" s="29"/>
      <c r="X4" s="28"/>
      <c r="Y4" s="26"/>
      <c r="Z4" s="26"/>
      <c r="AA4" s="29"/>
      <c r="AB4" s="28"/>
      <c r="AC4" s="26"/>
      <c r="AD4" s="26"/>
      <c r="AE4" s="29"/>
      <c r="AF4" s="28"/>
      <c r="AG4" s="26"/>
      <c r="AH4" s="26"/>
      <c r="AI4" s="29"/>
      <c r="AJ4" s="28">
        <v>1</v>
      </c>
      <c r="AK4" s="26"/>
      <c r="AL4" s="26"/>
      <c r="AM4" s="29"/>
      <c r="AN4" s="28"/>
      <c r="AO4" s="26"/>
      <c r="AP4" s="26"/>
      <c r="AQ4" s="29"/>
      <c r="AR4" s="28"/>
      <c r="AS4" s="26"/>
      <c r="AT4" s="26"/>
      <c r="AU4" s="29"/>
      <c r="AV4" s="28"/>
      <c r="AW4" s="26"/>
      <c r="AX4" s="26"/>
      <c r="AY4" s="29"/>
      <c r="AZ4" s="28"/>
      <c r="BA4" s="26"/>
      <c r="BB4" s="26"/>
      <c r="BC4" s="29"/>
      <c r="BD4" s="28"/>
      <c r="BE4" s="26"/>
      <c r="BF4" s="26"/>
      <c r="BG4" s="29"/>
      <c r="BH4" s="28">
        <v>3</v>
      </c>
      <c r="BI4" s="26"/>
      <c r="BJ4" s="26"/>
      <c r="BK4" s="29"/>
      <c r="BL4" s="28"/>
      <c r="BM4" s="26"/>
      <c r="BN4" s="26"/>
      <c r="BO4" s="29"/>
      <c r="BP4" s="28">
        <v>2</v>
      </c>
      <c r="BQ4" s="26"/>
      <c r="BR4" s="26"/>
      <c r="BS4" s="29"/>
      <c r="BT4" s="28">
        <v>1</v>
      </c>
      <c r="BU4" s="26"/>
      <c r="BV4" s="26"/>
      <c r="BW4" s="29"/>
      <c r="BX4" s="28">
        <v>1</v>
      </c>
      <c r="BY4" s="26">
        <v>1</v>
      </c>
      <c r="BZ4" s="26"/>
      <c r="CA4" s="29"/>
      <c r="CB4" s="28"/>
      <c r="CC4" s="26"/>
      <c r="CD4" s="26"/>
      <c r="CE4" s="29"/>
      <c r="CF4" s="28">
        <v>2</v>
      </c>
      <c r="CG4" s="26"/>
      <c r="CH4" s="26"/>
      <c r="CI4" s="29"/>
      <c r="CJ4" s="28">
        <v>1</v>
      </c>
      <c r="CK4" s="26">
        <v>1</v>
      </c>
      <c r="CL4" s="26"/>
      <c r="CM4" s="29"/>
      <c r="CN4" s="28">
        <v>2</v>
      </c>
      <c r="CO4" s="26"/>
      <c r="CP4" s="26"/>
      <c r="CQ4" s="29"/>
      <c r="CR4" s="28">
        <v>1</v>
      </c>
      <c r="CS4" s="26">
        <v>1</v>
      </c>
      <c r="CT4" s="26"/>
      <c r="CU4" s="29"/>
      <c r="CV4" s="28"/>
      <c r="CW4" s="26"/>
      <c r="CX4" s="26"/>
      <c r="CY4" s="29"/>
      <c r="CZ4" s="28"/>
      <c r="DA4" s="26"/>
      <c r="DB4" s="26"/>
      <c r="DC4" s="29"/>
    </row>
    <row r="5" spans="1:107" ht="19.899999999999999" customHeight="1" x14ac:dyDescent="0.25">
      <c r="A5" s="178"/>
      <c r="B5" s="181" t="str">
        <f>Jugadores!C4</f>
        <v>Sebastián Jiménez</v>
      </c>
      <c r="C5" s="182"/>
      <c r="D5" s="24">
        <f t="shared" ref="D5:D18" si="0">H5+L5+P5+T5+X5+AB5+AF5+AJ5+AN5+AR5+AV5+AZ5+BD5+BH5+BL5+BP5+BT5+BX5+CB5+CF5+CJ5+CN5+CR5+CV5+CZ5</f>
        <v>4</v>
      </c>
      <c r="E5" s="24">
        <f t="shared" ref="E5:E18" si="1">I5+M5+Q5+U5+Y5+AC5+AG5+AK5+AO5+AS5+AW5+BA5+BE5+BI5+BM5+BQ5+BV5+BY5+CD5+CG5+CL5+CO5+CT5+CW5+DB5</f>
        <v>0</v>
      </c>
      <c r="F5" s="115">
        <f t="shared" ref="F5:F18" si="2">J5+N5+R5+V5+Z5+AD5+AH5+AL5+AP5+AT5+AX5+BB5+BF5+BJ5+BN5+BT5+BX5+CB5+CF5+CJ5+CN5+CR5+CV5+CZ5</f>
        <v>0</v>
      </c>
      <c r="G5" s="115">
        <f t="shared" ref="G5:G18" si="3">K5+O5+S5+W5+AA5+AE5+AI5+AM5+AQ5+AU5+AY5+BC5+BG5+BK5+BO5+BV5+BY5+CD5+CG5+CL5+CO5+CT5+CW5+DB5</f>
        <v>0</v>
      </c>
      <c r="H5" s="28">
        <v>1</v>
      </c>
      <c r="I5" s="26"/>
      <c r="J5" s="26"/>
      <c r="K5" s="29"/>
      <c r="L5" s="28"/>
      <c r="M5" s="26"/>
      <c r="N5" s="26"/>
      <c r="O5" s="29"/>
      <c r="P5" s="28"/>
      <c r="Q5" s="26"/>
      <c r="R5" s="26"/>
      <c r="S5" s="29"/>
      <c r="T5" s="28"/>
      <c r="U5" s="26"/>
      <c r="V5" s="26"/>
      <c r="W5" s="29"/>
      <c r="X5" s="28"/>
      <c r="Y5" s="26"/>
      <c r="Z5" s="26"/>
      <c r="AA5" s="29"/>
      <c r="AB5" s="28"/>
      <c r="AC5" s="26"/>
      <c r="AD5" s="26"/>
      <c r="AE5" s="29"/>
      <c r="AF5" s="28"/>
      <c r="AG5" s="26"/>
      <c r="AH5" s="26"/>
      <c r="AI5" s="29"/>
      <c r="AJ5" s="28"/>
      <c r="AK5" s="26"/>
      <c r="AL5" s="26"/>
      <c r="AM5" s="29"/>
      <c r="AN5" s="28"/>
      <c r="AO5" s="26"/>
      <c r="AP5" s="26"/>
      <c r="AQ5" s="29"/>
      <c r="AR5" s="28"/>
      <c r="AS5" s="26"/>
      <c r="AT5" s="26"/>
      <c r="AU5" s="29"/>
      <c r="AV5" s="28">
        <v>1</v>
      </c>
      <c r="AW5" s="26"/>
      <c r="AX5" s="26"/>
      <c r="AY5" s="29"/>
      <c r="AZ5" s="28">
        <v>1</v>
      </c>
      <c r="BA5" s="26"/>
      <c r="BB5" s="26"/>
      <c r="BC5" s="29"/>
      <c r="BD5" s="28"/>
      <c r="BE5" s="26"/>
      <c r="BF5" s="26"/>
      <c r="BG5" s="29"/>
      <c r="BH5" s="28"/>
      <c r="BI5" s="26"/>
      <c r="BJ5" s="26"/>
      <c r="BK5" s="29"/>
      <c r="BL5" s="28">
        <v>1</v>
      </c>
      <c r="BM5" s="26"/>
      <c r="BN5" s="26"/>
      <c r="BO5" s="29"/>
      <c r="BP5" s="28"/>
      <c r="BQ5" s="26"/>
      <c r="BR5" s="26"/>
      <c r="BS5" s="29"/>
      <c r="BT5" s="28"/>
      <c r="BU5" s="26"/>
      <c r="BV5" s="26"/>
      <c r="BW5" s="29"/>
      <c r="BX5" s="28"/>
      <c r="BY5" s="26"/>
      <c r="BZ5" s="26"/>
      <c r="CA5" s="29"/>
      <c r="CB5" s="28"/>
      <c r="CC5" s="26"/>
      <c r="CD5" s="26"/>
      <c r="CE5" s="29"/>
      <c r="CF5" s="28"/>
      <c r="CG5" s="26"/>
      <c r="CH5" s="26"/>
      <c r="CI5" s="29"/>
      <c r="CJ5" s="28"/>
      <c r="CK5" s="26"/>
      <c r="CL5" s="26"/>
      <c r="CM5" s="29"/>
      <c r="CN5" s="28"/>
      <c r="CO5" s="26"/>
      <c r="CP5" s="26"/>
      <c r="CQ5" s="29"/>
      <c r="CR5" s="28"/>
      <c r="CS5" s="26"/>
      <c r="CT5" s="26"/>
      <c r="CU5" s="29"/>
      <c r="CV5" s="28"/>
      <c r="CW5" s="26"/>
      <c r="CX5" s="26"/>
      <c r="CY5" s="29"/>
      <c r="CZ5" s="28"/>
      <c r="DA5" s="26"/>
      <c r="DB5" s="26"/>
      <c r="DC5" s="29"/>
    </row>
    <row r="6" spans="1:107" ht="19.899999999999999" customHeight="1" x14ac:dyDescent="0.25">
      <c r="A6" s="178"/>
      <c r="B6" s="154" t="str">
        <f>Jugadores!C5</f>
        <v>Brayan Salazar Gómez</v>
      </c>
      <c r="C6" s="155"/>
      <c r="D6" s="24">
        <f t="shared" si="0"/>
        <v>23</v>
      </c>
      <c r="E6" s="24">
        <f t="shared" si="1"/>
        <v>1</v>
      </c>
      <c r="F6" s="115">
        <f t="shared" si="2"/>
        <v>6</v>
      </c>
      <c r="G6" s="115">
        <f t="shared" si="3"/>
        <v>0</v>
      </c>
      <c r="H6" s="28"/>
      <c r="I6" s="26"/>
      <c r="J6" s="26"/>
      <c r="K6" s="29"/>
      <c r="L6" s="28">
        <v>1</v>
      </c>
      <c r="M6" s="26"/>
      <c r="N6" s="26"/>
      <c r="O6" s="29"/>
      <c r="P6" s="28"/>
      <c r="Q6" s="26"/>
      <c r="R6" s="26"/>
      <c r="S6" s="29"/>
      <c r="T6" s="28">
        <v>1</v>
      </c>
      <c r="U6" s="26">
        <v>1</v>
      </c>
      <c r="V6" s="26"/>
      <c r="W6" s="29"/>
      <c r="X6" s="28">
        <v>2</v>
      </c>
      <c r="Y6" s="26"/>
      <c r="Z6" s="26"/>
      <c r="AA6" s="29"/>
      <c r="AB6" s="28"/>
      <c r="AC6" s="26"/>
      <c r="AD6" s="26"/>
      <c r="AE6" s="29"/>
      <c r="AF6" s="28"/>
      <c r="AG6" s="26"/>
      <c r="AH6" s="26"/>
      <c r="AI6" s="29"/>
      <c r="AJ6" s="28"/>
      <c r="AK6" s="26"/>
      <c r="AL6" s="26"/>
      <c r="AM6" s="29"/>
      <c r="AN6" s="28">
        <v>5</v>
      </c>
      <c r="AO6" s="26"/>
      <c r="AP6" s="26"/>
      <c r="AQ6" s="29"/>
      <c r="AR6" s="28"/>
      <c r="AS6" s="26"/>
      <c r="AT6" s="26"/>
      <c r="AU6" s="29"/>
      <c r="AV6" s="28"/>
      <c r="AW6" s="26"/>
      <c r="AX6" s="26"/>
      <c r="AY6" s="29"/>
      <c r="AZ6" s="28">
        <v>2</v>
      </c>
      <c r="BA6" s="26"/>
      <c r="BB6" s="26"/>
      <c r="BC6" s="29"/>
      <c r="BD6" s="28"/>
      <c r="BE6" s="26"/>
      <c r="BF6" s="26"/>
      <c r="BG6" s="29"/>
      <c r="BH6" s="28">
        <v>5</v>
      </c>
      <c r="BI6" s="26"/>
      <c r="BJ6" s="26"/>
      <c r="BK6" s="29"/>
      <c r="BL6" s="28"/>
      <c r="BM6" s="26"/>
      <c r="BN6" s="26"/>
      <c r="BO6" s="29"/>
      <c r="BP6" s="28">
        <v>1</v>
      </c>
      <c r="BQ6" s="26"/>
      <c r="BR6" s="26"/>
      <c r="BS6" s="29"/>
      <c r="BT6" s="28">
        <v>2</v>
      </c>
      <c r="BU6" s="26">
        <v>1</v>
      </c>
      <c r="BV6" s="26"/>
      <c r="BW6" s="29"/>
      <c r="BX6" s="28">
        <v>2</v>
      </c>
      <c r="BY6" s="26"/>
      <c r="BZ6" s="26"/>
      <c r="CA6" s="29"/>
      <c r="CB6" s="28"/>
      <c r="CC6" s="26"/>
      <c r="CD6" s="26"/>
      <c r="CE6" s="29"/>
      <c r="CF6" s="28"/>
      <c r="CG6" s="26"/>
      <c r="CH6" s="26"/>
      <c r="CI6" s="29"/>
      <c r="CJ6" s="28">
        <v>1</v>
      </c>
      <c r="CK6" s="26">
        <v>1</v>
      </c>
      <c r="CL6" s="26"/>
      <c r="CM6" s="29"/>
      <c r="CN6" s="28">
        <v>1</v>
      </c>
      <c r="CO6" s="26"/>
      <c r="CP6" s="26"/>
      <c r="CQ6" s="29"/>
      <c r="CR6" s="28"/>
      <c r="CS6" s="26"/>
      <c r="CT6" s="26"/>
      <c r="CU6" s="29"/>
      <c r="CV6" s="28"/>
      <c r="CW6" s="26"/>
      <c r="CX6" s="26"/>
      <c r="CY6" s="29"/>
      <c r="CZ6" s="28"/>
      <c r="DA6" s="26"/>
      <c r="DB6" s="26"/>
      <c r="DC6" s="29"/>
    </row>
    <row r="7" spans="1:107" ht="19.899999999999999" customHeight="1" x14ac:dyDescent="0.25">
      <c r="A7" s="178"/>
      <c r="B7" s="154" t="str">
        <f>Jugadores!C6</f>
        <v>Brandon Zuleta</v>
      </c>
      <c r="C7" s="155"/>
      <c r="D7" s="24">
        <f t="shared" si="0"/>
        <v>8</v>
      </c>
      <c r="E7" s="24">
        <f t="shared" si="1"/>
        <v>0</v>
      </c>
      <c r="F7" s="115">
        <f t="shared" si="2"/>
        <v>0</v>
      </c>
      <c r="G7" s="115">
        <f t="shared" si="3"/>
        <v>0</v>
      </c>
      <c r="H7" s="28">
        <v>2</v>
      </c>
      <c r="I7" s="26"/>
      <c r="J7" s="26"/>
      <c r="K7" s="29"/>
      <c r="L7" s="28">
        <v>1</v>
      </c>
      <c r="M7" s="26"/>
      <c r="N7" s="26"/>
      <c r="O7" s="29"/>
      <c r="P7" s="28"/>
      <c r="Q7" s="26"/>
      <c r="R7" s="26"/>
      <c r="S7" s="29"/>
      <c r="T7" s="28"/>
      <c r="U7" s="26"/>
      <c r="V7" s="26"/>
      <c r="W7" s="29"/>
      <c r="X7" s="28"/>
      <c r="Y7" s="26"/>
      <c r="Z7" s="26"/>
      <c r="AA7" s="29"/>
      <c r="AB7" s="28">
        <v>2</v>
      </c>
      <c r="AC7" s="26"/>
      <c r="AD7" s="26"/>
      <c r="AE7" s="29"/>
      <c r="AF7" s="28"/>
      <c r="AG7" s="26"/>
      <c r="AH7" s="26"/>
      <c r="AI7" s="29"/>
      <c r="AJ7" s="28"/>
      <c r="AK7" s="26"/>
      <c r="AL7" s="26"/>
      <c r="AM7" s="29"/>
      <c r="AN7" s="28"/>
      <c r="AO7" s="26"/>
      <c r="AP7" s="26"/>
      <c r="AQ7" s="29"/>
      <c r="AR7" s="28"/>
      <c r="AS7" s="26"/>
      <c r="AT7" s="26"/>
      <c r="AU7" s="29"/>
      <c r="AV7" s="28"/>
      <c r="AW7" s="26"/>
      <c r="AX7" s="26"/>
      <c r="AY7" s="29"/>
      <c r="AZ7" s="28"/>
      <c r="BA7" s="26"/>
      <c r="BB7" s="26"/>
      <c r="BC7" s="29"/>
      <c r="BD7" s="28"/>
      <c r="BE7" s="26"/>
      <c r="BF7" s="26"/>
      <c r="BG7" s="29"/>
      <c r="BH7" s="28">
        <v>3</v>
      </c>
      <c r="BI7" s="26"/>
      <c r="BJ7" s="26"/>
      <c r="BK7" s="29"/>
      <c r="BL7" s="28"/>
      <c r="BM7" s="26"/>
      <c r="BN7" s="26"/>
      <c r="BO7" s="29"/>
      <c r="BP7" s="28"/>
      <c r="BQ7" s="26"/>
      <c r="BR7" s="26"/>
      <c r="BS7" s="29"/>
      <c r="BT7" s="28"/>
      <c r="BU7" s="26">
        <v>1</v>
      </c>
      <c r="BV7" s="26"/>
      <c r="BW7" s="29"/>
      <c r="BX7" s="28"/>
      <c r="BY7" s="26"/>
      <c r="BZ7" s="26"/>
      <c r="CA7" s="29"/>
      <c r="CB7" s="28"/>
      <c r="CC7" s="26"/>
      <c r="CD7" s="26"/>
      <c r="CE7" s="29"/>
      <c r="CF7" s="28"/>
      <c r="CG7" s="26"/>
      <c r="CH7" s="26"/>
      <c r="CI7" s="29"/>
      <c r="CJ7" s="28"/>
      <c r="CK7" s="26">
        <v>1</v>
      </c>
      <c r="CL7" s="26"/>
      <c r="CM7" s="29"/>
      <c r="CN7" s="28"/>
      <c r="CO7" s="26"/>
      <c r="CP7" s="26"/>
      <c r="CQ7" s="29"/>
      <c r="CR7" s="28"/>
      <c r="CS7" s="26"/>
      <c r="CT7" s="26"/>
      <c r="CU7" s="29"/>
      <c r="CV7" s="28"/>
      <c r="CW7" s="26"/>
      <c r="CX7" s="26"/>
      <c r="CY7" s="29"/>
      <c r="CZ7" s="28"/>
      <c r="DA7" s="26"/>
      <c r="DB7" s="26"/>
      <c r="DC7" s="29"/>
    </row>
    <row r="8" spans="1:107" ht="19.899999999999999" customHeight="1" x14ac:dyDescent="0.25">
      <c r="A8" s="178"/>
      <c r="B8" s="154" t="str">
        <f>Jugadores!C7</f>
        <v>Alejandro Castro Quiroz</v>
      </c>
      <c r="C8" s="155"/>
      <c r="D8" s="24">
        <f t="shared" si="0"/>
        <v>1</v>
      </c>
      <c r="E8" s="24">
        <f t="shared" si="1"/>
        <v>0</v>
      </c>
      <c r="F8" s="115">
        <f t="shared" si="2"/>
        <v>0</v>
      </c>
      <c r="G8" s="115">
        <f t="shared" si="3"/>
        <v>0</v>
      </c>
      <c r="H8" s="28">
        <v>1</v>
      </c>
      <c r="I8" s="26"/>
      <c r="J8" s="26"/>
      <c r="K8" s="29"/>
      <c r="L8" s="28"/>
      <c r="M8" s="26"/>
      <c r="N8" s="26"/>
      <c r="O8" s="29"/>
      <c r="P8" s="28"/>
      <c r="Q8" s="26"/>
      <c r="R8" s="26"/>
      <c r="S8" s="29"/>
      <c r="T8" s="28"/>
      <c r="U8" s="26"/>
      <c r="V8" s="26"/>
      <c r="W8" s="29"/>
      <c r="X8" s="28"/>
      <c r="Y8" s="26"/>
      <c r="Z8" s="26"/>
      <c r="AA8" s="29"/>
      <c r="AB8" s="28"/>
      <c r="AC8" s="26"/>
      <c r="AD8" s="26"/>
      <c r="AE8" s="29"/>
      <c r="AF8" s="28"/>
      <c r="AG8" s="26"/>
      <c r="AH8" s="26"/>
      <c r="AI8" s="29"/>
      <c r="AJ8" s="28"/>
      <c r="AK8" s="26"/>
      <c r="AL8" s="26"/>
      <c r="AM8" s="29"/>
      <c r="AN8" s="28"/>
      <c r="AO8" s="26"/>
      <c r="AP8" s="26"/>
      <c r="AQ8" s="29"/>
      <c r="AR8" s="28"/>
      <c r="AS8" s="26"/>
      <c r="AT8" s="26"/>
      <c r="AU8" s="29"/>
      <c r="AV8" s="28"/>
      <c r="AW8" s="26"/>
      <c r="AX8" s="26"/>
      <c r="AY8" s="29"/>
      <c r="AZ8" s="28"/>
      <c r="BA8" s="26"/>
      <c r="BB8" s="26"/>
      <c r="BC8" s="29"/>
      <c r="BD8" s="28"/>
      <c r="BE8" s="26"/>
      <c r="BF8" s="26"/>
      <c r="BG8" s="29"/>
      <c r="BH8" s="28"/>
      <c r="BI8" s="26"/>
      <c r="BJ8" s="26"/>
      <c r="BK8" s="29"/>
      <c r="BL8" s="28"/>
      <c r="BM8" s="26"/>
      <c r="BN8" s="26"/>
      <c r="BO8" s="29"/>
      <c r="BP8" s="28"/>
      <c r="BQ8" s="26"/>
      <c r="BR8" s="26"/>
      <c r="BS8" s="29"/>
      <c r="BT8" s="28"/>
      <c r="BU8" s="26"/>
      <c r="BV8" s="26"/>
      <c r="BW8" s="29"/>
      <c r="BX8" s="28"/>
      <c r="BY8" s="26"/>
      <c r="BZ8" s="26"/>
      <c r="CA8" s="29"/>
      <c r="CB8" s="28"/>
      <c r="CC8" s="26"/>
      <c r="CD8" s="26"/>
      <c r="CE8" s="29"/>
      <c r="CF8" s="28"/>
      <c r="CG8" s="26"/>
      <c r="CH8" s="26"/>
      <c r="CI8" s="29"/>
      <c r="CJ8" s="28"/>
      <c r="CK8" s="26"/>
      <c r="CL8" s="26"/>
      <c r="CM8" s="29"/>
      <c r="CN8" s="28"/>
      <c r="CO8" s="26"/>
      <c r="CP8" s="26"/>
      <c r="CQ8" s="29"/>
      <c r="CR8" s="28"/>
      <c r="CS8" s="26"/>
      <c r="CT8" s="26"/>
      <c r="CU8" s="29"/>
      <c r="CV8" s="28"/>
      <c r="CW8" s="26"/>
      <c r="CX8" s="26"/>
      <c r="CY8" s="29"/>
      <c r="CZ8" s="28"/>
      <c r="DA8" s="26"/>
      <c r="DB8" s="26"/>
      <c r="DC8" s="29"/>
    </row>
    <row r="9" spans="1:107" ht="19.899999999999999" customHeight="1" x14ac:dyDescent="0.25">
      <c r="A9" s="178"/>
      <c r="B9" s="154" t="str">
        <f>Jugadores!C8</f>
        <v>Juan Manuel Marulanda</v>
      </c>
      <c r="C9" s="155"/>
      <c r="D9" s="24">
        <f t="shared" si="0"/>
        <v>19</v>
      </c>
      <c r="E9" s="24">
        <f t="shared" si="1"/>
        <v>0</v>
      </c>
      <c r="F9" s="115">
        <f t="shared" si="2"/>
        <v>7</v>
      </c>
      <c r="G9" s="115">
        <f t="shared" si="3"/>
        <v>0</v>
      </c>
      <c r="H9" s="28"/>
      <c r="I9" s="26"/>
      <c r="J9" s="26"/>
      <c r="K9" s="29"/>
      <c r="L9" s="28"/>
      <c r="M9" s="26"/>
      <c r="N9" s="26"/>
      <c r="O9" s="29"/>
      <c r="P9" s="28"/>
      <c r="Q9" s="26"/>
      <c r="R9" s="26"/>
      <c r="S9" s="29"/>
      <c r="T9" s="28">
        <v>1</v>
      </c>
      <c r="U9" s="26"/>
      <c r="V9" s="26"/>
      <c r="W9" s="29"/>
      <c r="X9" s="28"/>
      <c r="Y9" s="26"/>
      <c r="Z9" s="26"/>
      <c r="AA9" s="29"/>
      <c r="AB9" s="28">
        <v>1</v>
      </c>
      <c r="AC9" s="26"/>
      <c r="AD9" s="26"/>
      <c r="AE9" s="29"/>
      <c r="AF9" s="28"/>
      <c r="AG9" s="26"/>
      <c r="AH9" s="26"/>
      <c r="AI9" s="29"/>
      <c r="AJ9" s="28">
        <v>2</v>
      </c>
      <c r="AK9" s="26"/>
      <c r="AL9" s="26"/>
      <c r="AM9" s="29"/>
      <c r="AN9" s="28"/>
      <c r="AO9" s="26"/>
      <c r="AP9" s="26"/>
      <c r="AQ9" s="29"/>
      <c r="AR9" s="28"/>
      <c r="AS9" s="26"/>
      <c r="AT9" s="26"/>
      <c r="AU9" s="29"/>
      <c r="AV9" s="28">
        <v>4</v>
      </c>
      <c r="AW9" s="26"/>
      <c r="AX9" s="26"/>
      <c r="AY9" s="29"/>
      <c r="AZ9" s="28">
        <v>2</v>
      </c>
      <c r="BA9" s="26"/>
      <c r="BB9" s="26"/>
      <c r="BC9" s="29"/>
      <c r="BD9" s="28"/>
      <c r="BE9" s="26"/>
      <c r="BF9" s="26"/>
      <c r="BG9" s="29"/>
      <c r="BH9" s="28"/>
      <c r="BI9" s="26"/>
      <c r="BJ9" s="26"/>
      <c r="BK9" s="29"/>
      <c r="BL9" s="28">
        <v>1</v>
      </c>
      <c r="BM9" s="26"/>
      <c r="BN9" s="26"/>
      <c r="BO9" s="29"/>
      <c r="BP9" s="28">
        <v>1</v>
      </c>
      <c r="BQ9" s="26"/>
      <c r="BR9" s="26"/>
      <c r="BS9" s="29"/>
      <c r="BT9" s="28"/>
      <c r="BU9" s="26">
        <v>1</v>
      </c>
      <c r="BV9" s="26"/>
      <c r="BW9" s="29"/>
      <c r="BX9" s="28">
        <v>2</v>
      </c>
      <c r="BY9" s="26"/>
      <c r="BZ9" s="26"/>
      <c r="CA9" s="29"/>
      <c r="CB9" s="28"/>
      <c r="CC9" s="26"/>
      <c r="CD9" s="26"/>
      <c r="CE9" s="29"/>
      <c r="CF9" s="28">
        <v>5</v>
      </c>
      <c r="CG9" s="26"/>
      <c r="CH9" s="26"/>
      <c r="CI9" s="29"/>
      <c r="CJ9" s="28"/>
      <c r="CK9" s="26"/>
      <c r="CL9" s="26"/>
      <c r="CM9" s="29"/>
      <c r="CN9" s="28"/>
      <c r="CO9" s="26"/>
      <c r="CP9" s="26"/>
      <c r="CQ9" s="29"/>
      <c r="CR9" s="28"/>
      <c r="CS9" s="26"/>
      <c r="CT9" s="26"/>
      <c r="CU9" s="29"/>
      <c r="CV9" s="28"/>
      <c r="CW9" s="26"/>
      <c r="CX9" s="26"/>
      <c r="CY9" s="29"/>
      <c r="CZ9" s="28"/>
      <c r="DA9" s="26"/>
      <c r="DB9" s="26"/>
      <c r="DC9" s="29"/>
    </row>
    <row r="10" spans="1:107" ht="19.899999999999999" customHeight="1" x14ac:dyDescent="0.25">
      <c r="A10" s="178"/>
      <c r="B10" s="154" t="str">
        <f>Jugadores!C9</f>
        <v>Stiven Londoño</v>
      </c>
      <c r="C10" s="155"/>
      <c r="D10" s="24">
        <f t="shared" si="0"/>
        <v>0</v>
      </c>
      <c r="E10" s="24">
        <f t="shared" si="1"/>
        <v>1</v>
      </c>
      <c r="F10" s="115">
        <f t="shared" si="2"/>
        <v>0</v>
      </c>
      <c r="G10" s="115">
        <f t="shared" si="3"/>
        <v>0</v>
      </c>
      <c r="H10" s="28"/>
      <c r="I10" s="26"/>
      <c r="J10" s="26"/>
      <c r="K10" s="29"/>
      <c r="L10" s="28"/>
      <c r="M10" s="26"/>
      <c r="N10" s="26"/>
      <c r="O10" s="29"/>
      <c r="P10" s="28"/>
      <c r="Q10" s="26"/>
      <c r="R10" s="26"/>
      <c r="S10" s="29"/>
      <c r="T10" s="28"/>
      <c r="U10" s="26"/>
      <c r="V10" s="26"/>
      <c r="W10" s="29"/>
      <c r="X10" s="28"/>
      <c r="Y10" s="26">
        <v>1</v>
      </c>
      <c r="Z10" s="26"/>
      <c r="AA10" s="29"/>
      <c r="AB10" s="28"/>
      <c r="AC10" s="26"/>
      <c r="AD10" s="26"/>
      <c r="AE10" s="29"/>
      <c r="AF10" s="28"/>
      <c r="AG10" s="26"/>
      <c r="AH10" s="26"/>
      <c r="AI10" s="29"/>
      <c r="AJ10" s="28"/>
      <c r="AK10" s="26"/>
      <c r="AL10" s="26"/>
      <c r="AM10" s="29"/>
      <c r="AN10" s="28"/>
      <c r="AO10" s="26"/>
      <c r="AP10" s="26"/>
      <c r="AQ10" s="29"/>
      <c r="AR10" s="28"/>
      <c r="AS10" s="26"/>
      <c r="AT10" s="26"/>
      <c r="AU10" s="29"/>
      <c r="AV10" s="28"/>
      <c r="AW10" s="26"/>
      <c r="AX10" s="26"/>
      <c r="AY10" s="29"/>
      <c r="AZ10" s="28"/>
      <c r="BA10" s="26"/>
      <c r="BB10" s="26"/>
      <c r="BC10" s="29"/>
      <c r="BD10" s="28"/>
      <c r="BE10" s="26"/>
      <c r="BF10" s="26"/>
      <c r="BG10" s="29"/>
      <c r="BH10" s="28"/>
      <c r="BI10" s="26"/>
      <c r="BJ10" s="26"/>
      <c r="BK10" s="29"/>
      <c r="BL10" s="28"/>
      <c r="BM10" s="26"/>
      <c r="BN10" s="26"/>
      <c r="BO10" s="29"/>
      <c r="BP10" s="28"/>
      <c r="BQ10" s="26"/>
      <c r="BR10" s="26"/>
      <c r="BS10" s="29"/>
      <c r="BT10" s="28"/>
      <c r="BU10" s="26"/>
      <c r="BV10" s="26"/>
      <c r="BW10" s="29"/>
      <c r="BX10" s="28"/>
      <c r="BY10" s="26"/>
      <c r="BZ10" s="26"/>
      <c r="CA10" s="29"/>
      <c r="CB10" s="28"/>
      <c r="CC10" s="26"/>
      <c r="CD10" s="26"/>
      <c r="CE10" s="29"/>
      <c r="CF10" s="28"/>
      <c r="CG10" s="26"/>
      <c r="CH10" s="26"/>
      <c r="CI10" s="29"/>
      <c r="CJ10" s="28"/>
      <c r="CK10" s="26"/>
      <c r="CL10" s="26"/>
      <c r="CM10" s="29"/>
      <c r="CN10" s="28"/>
      <c r="CO10" s="26"/>
      <c r="CP10" s="26"/>
      <c r="CQ10" s="29"/>
      <c r="CR10" s="28"/>
      <c r="CS10" s="26"/>
      <c r="CT10" s="26"/>
      <c r="CU10" s="29"/>
      <c r="CV10" s="28"/>
      <c r="CW10" s="26"/>
      <c r="CX10" s="26"/>
      <c r="CY10" s="29"/>
      <c r="CZ10" s="28"/>
      <c r="DA10" s="26"/>
      <c r="DB10" s="26"/>
      <c r="DC10" s="29"/>
    </row>
    <row r="11" spans="1:107" ht="19.899999999999999" customHeight="1" x14ac:dyDescent="0.25">
      <c r="A11" s="178"/>
      <c r="B11" s="154" t="str">
        <f>Jugadores!C10</f>
        <v>Antony Pérez Osorio</v>
      </c>
      <c r="C11" s="155"/>
      <c r="D11" s="24">
        <f t="shared" si="0"/>
        <v>3</v>
      </c>
      <c r="E11" s="24">
        <f t="shared" si="1"/>
        <v>2</v>
      </c>
      <c r="F11" s="115">
        <f t="shared" si="2"/>
        <v>0</v>
      </c>
      <c r="G11" s="115">
        <f t="shared" si="3"/>
        <v>0</v>
      </c>
      <c r="H11" s="28"/>
      <c r="I11" s="26"/>
      <c r="J11" s="26"/>
      <c r="K11" s="29"/>
      <c r="L11" s="28"/>
      <c r="M11" s="26"/>
      <c r="N11" s="26"/>
      <c r="O11" s="29"/>
      <c r="P11" s="28"/>
      <c r="Q11" s="26"/>
      <c r="R11" s="26"/>
      <c r="S11" s="29"/>
      <c r="T11" s="28"/>
      <c r="U11" s="26"/>
      <c r="V11" s="26"/>
      <c r="W11" s="29"/>
      <c r="X11" s="28"/>
      <c r="Y11" s="26">
        <v>1</v>
      </c>
      <c r="Z11" s="26"/>
      <c r="AA11" s="29"/>
      <c r="AB11" s="28"/>
      <c r="AC11" s="26"/>
      <c r="AD11" s="26"/>
      <c r="AE11" s="29"/>
      <c r="AF11" s="28"/>
      <c r="AG11" s="26"/>
      <c r="AH11" s="26"/>
      <c r="AI11" s="29"/>
      <c r="AJ11" s="28"/>
      <c r="AK11" s="26"/>
      <c r="AL11" s="26"/>
      <c r="AM11" s="29"/>
      <c r="AN11" s="28"/>
      <c r="AO11" s="26">
        <v>1</v>
      </c>
      <c r="AP11" s="26"/>
      <c r="AQ11" s="29"/>
      <c r="AR11" s="28"/>
      <c r="AS11" s="26"/>
      <c r="AT11" s="26"/>
      <c r="AU11" s="29"/>
      <c r="AV11" s="28">
        <v>1</v>
      </c>
      <c r="AW11" s="26"/>
      <c r="AX11" s="26"/>
      <c r="AY11" s="29"/>
      <c r="AZ11" s="28">
        <v>1</v>
      </c>
      <c r="BA11" s="26"/>
      <c r="BB11" s="26"/>
      <c r="BC11" s="29"/>
      <c r="BD11" s="28"/>
      <c r="BE11" s="26"/>
      <c r="BF11" s="26"/>
      <c r="BG11" s="29"/>
      <c r="BH11" s="28"/>
      <c r="BI11" s="26"/>
      <c r="BJ11" s="26"/>
      <c r="BK11" s="29"/>
      <c r="BL11" s="28"/>
      <c r="BM11" s="26"/>
      <c r="BN11" s="26"/>
      <c r="BO11" s="29"/>
      <c r="BP11" s="28">
        <v>1</v>
      </c>
      <c r="BQ11" s="26"/>
      <c r="BR11" s="26"/>
      <c r="BS11" s="29"/>
      <c r="BT11" s="28"/>
      <c r="BU11" s="26"/>
      <c r="BV11" s="26"/>
      <c r="BW11" s="29"/>
      <c r="BX11" s="28"/>
      <c r="BY11" s="26"/>
      <c r="BZ11" s="26"/>
      <c r="CA11" s="29"/>
      <c r="CB11" s="28"/>
      <c r="CC11" s="26"/>
      <c r="CD11" s="26"/>
      <c r="CE11" s="29"/>
      <c r="CF11" s="28"/>
      <c r="CG11" s="26"/>
      <c r="CH11" s="26"/>
      <c r="CI11" s="29"/>
      <c r="CJ11" s="28"/>
      <c r="CK11" s="26"/>
      <c r="CL11" s="26"/>
      <c r="CM11" s="29"/>
      <c r="CN11" s="28"/>
      <c r="CO11" s="26"/>
      <c r="CP11" s="26"/>
      <c r="CQ11" s="29"/>
      <c r="CR11" s="28"/>
      <c r="CS11" s="26"/>
      <c r="CT11" s="26"/>
      <c r="CU11" s="29"/>
      <c r="CV11" s="28"/>
      <c r="CW11" s="26"/>
      <c r="CX11" s="26"/>
      <c r="CY11" s="29"/>
      <c r="CZ11" s="28"/>
      <c r="DA11" s="26"/>
      <c r="DB11" s="26"/>
      <c r="DC11" s="29"/>
    </row>
    <row r="12" spans="1:107" ht="19.899999999999999" customHeight="1" x14ac:dyDescent="0.25">
      <c r="A12" s="178"/>
      <c r="B12" s="154" t="str">
        <f>Jugadores!C11</f>
        <v xml:space="preserve">Deivid Jaramillo </v>
      </c>
      <c r="C12" s="155"/>
      <c r="D12" s="24">
        <f t="shared" si="0"/>
        <v>2</v>
      </c>
      <c r="E12" s="24">
        <f t="shared" si="1"/>
        <v>3</v>
      </c>
      <c r="F12" s="115">
        <f t="shared" si="2"/>
        <v>0</v>
      </c>
      <c r="G12" s="115">
        <f t="shared" si="3"/>
        <v>2</v>
      </c>
      <c r="H12" s="28"/>
      <c r="I12" s="26"/>
      <c r="J12" s="26"/>
      <c r="K12" s="29"/>
      <c r="L12" s="28"/>
      <c r="M12" s="26"/>
      <c r="N12" s="26"/>
      <c r="O12" s="29"/>
      <c r="P12" s="28"/>
      <c r="Q12" s="26"/>
      <c r="R12" s="26"/>
      <c r="S12" s="29"/>
      <c r="T12" s="28"/>
      <c r="U12" s="26"/>
      <c r="V12" s="26"/>
      <c r="W12" s="29"/>
      <c r="X12" s="28"/>
      <c r="Y12" s="26"/>
      <c r="Z12" s="26"/>
      <c r="AA12" s="29"/>
      <c r="AB12" s="28"/>
      <c r="AC12" s="26"/>
      <c r="AD12" s="26"/>
      <c r="AE12" s="29"/>
      <c r="AF12" s="28">
        <v>1</v>
      </c>
      <c r="AG12" s="26"/>
      <c r="AH12" s="26"/>
      <c r="AI12" s="29"/>
      <c r="AJ12" s="28"/>
      <c r="AK12" s="26"/>
      <c r="AL12" s="26"/>
      <c r="AM12" s="29"/>
      <c r="AN12" s="28"/>
      <c r="AO12" s="26"/>
      <c r="AP12" s="26"/>
      <c r="AQ12" s="29"/>
      <c r="AR12" s="28"/>
      <c r="AS12" s="26"/>
      <c r="AT12" s="26"/>
      <c r="AU12" s="29"/>
      <c r="AV12" s="28"/>
      <c r="AW12" s="26"/>
      <c r="AX12" s="26"/>
      <c r="AY12" s="29"/>
      <c r="AZ12" s="28"/>
      <c r="BA12" s="26"/>
      <c r="BB12" s="26"/>
      <c r="BC12" s="29"/>
      <c r="BD12" s="28"/>
      <c r="BE12" s="26"/>
      <c r="BF12" s="26"/>
      <c r="BG12" s="29"/>
      <c r="BH12" s="28"/>
      <c r="BI12" s="26"/>
      <c r="BJ12" s="26"/>
      <c r="BK12" s="29"/>
      <c r="BL12" s="28">
        <v>1</v>
      </c>
      <c r="BM12" s="26">
        <v>1</v>
      </c>
      <c r="BN12" s="26"/>
      <c r="BO12" s="29"/>
      <c r="BP12" s="28"/>
      <c r="BQ12" s="26"/>
      <c r="BR12" s="26"/>
      <c r="BS12" s="29"/>
      <c r="BT12" s="28"/>
      <c r="BU12" s="26"/>
      <c r="BV12" s="26"/>
      <c r="BW12" s="29"/>
      <c r="BX12" s="28"/>
      <c r="BY12" s="26">
        <v>1</v>
      </c>
      <c r="BZ12" s="26"/>
      <c r="CA12" s="29"/>
      <c r="CB12" s="28"/>
      <c r="CC12" s="26"/>
      <c r="CD12" s="26"/>
      <c r="CE12" s="29"/>
      <c r="CF12" s="28"/>
      <c r="CG12" s="26">
        <v>1</v>
      </c>
      <c r="CH12" s="26"/>
      <c r="CI12" s="29"/>
      <c r="CJ12" s="28"/>
      <c r="CK12" s="26"/>
      <c r="CL12" s="26"/>
      <c r="CM12" s="29"/>
      <c r="CN12" s="28"/>
      <c r="CO12" s="26"/>
      <c r="CP12" s="26"/>
      <c r="CQ12" s="29"/>
      <c r="CR12" s="28"/>
      <c r="CS12" s="26"/>
      <c r="CT12" s="26"/>
      <c r="CU12" s="29"/>
      <c r="CV12" s="28"/>
      <c r="CW12" s="26"/>
      <c r="CX12" s="26"/>
      <c r="CY12" s="29"/>
      <c r="CZ12" s="28"/>
      <c r="DA12" s="26"/>
      <c r="DB12" s="26"/>
      <c r="DC12" s="29"/>
    </row>
    <row r="13" spans="1:107" ht="19.899999999999999" customHeight="1" x14ac:dyDescent="0.25">
      <c r="A13" s="178"/>
      <c r="B13" s="154" t="str">
        <f>Jugadores!C12</f>
        <v>Santiago Cardona</v>
      </c>
      <c r="C13" s="155"/>
      <c r="D13" s="24">
        <f t="shared" si="0"/>
        <v>8</v>
      </c>
      <c r="E13" s="24">
        <f t="shared" si="1"/>
        <v>1</v>
      </c>
      <c r="F13" s="115">
        <f t="shared" si="2"/>
        <v>5</v>
      </c>
      <c r="G13" s="115">
        <f t="shared" si="3"/>
        <v>0</v>
      </c>
      <c r="H13" s="28"/>
      <c r="I13" s="26"/>
      <c r="J13" s="26"/>
      <c r="K13" s="29"/>
      <c r="L13" s="28"/>
      <c r="M13" s="26"/>
      <c r="N13" s="26"/>
      <c r="O13" s="29"/>
      <c r="P13" s="28"/>
      <c r="Q13" s="26"/>
      <c r="R13" s="26"/>
      <c r="S13" s="29"/>
      <c r="T13" s="28"/>
      <c r="U13" s="26"/>
      <c r="V13" s="26"/>
      <c r="W13" s="29"/>
      <c r="X13" s="28"/>
      <c r="Y13" s="26"/>
      <c r="Z13" s="26"/>
      <c r="AA13" s="29"/>
      <c r="AB13" s="28"/>
      <c r="AC13" s="26">
        <v>1</v>
      </c>
      <c r="AD13" s="26"/>
      <c r="AE13" s="29"/>
      <c r="AF13" s="28">
        <v>2</v>
      </c>
      <c r="AG13" s="26"/>
      <c r="AH13" s="26"/>
      <c r="AI13" s="29"/>
      <c r="AJ13" s="28"/>
      <c r="AK13" s="26"/>
      <c r="AL13" s="26"/>
      <c r="AM13" s="29"/>
      <c r="AN13" s="28"/>
      <c r="AO13" s="26"/>
      <c r="AP13" s="26"/>
      <c r="AQ13" s="29"/>
      <c r="AR13" s="28"/>
      <c r="AS13" s="26"/>
      <c r="AT13" s="26"/>
      <c r="AU13" s="29"/>
      <c r="AV13" s="28"/>
      <c r="AW13" s="26"/>
      <c r="AX13" s="26"/>
      <c r="AY13" s="29"/>
      <c r="AZ13" s="28"/>
      <c r="BA13" s="26"/>
      <c r="BB13" s="26"/>
      <c r="BC13" s="29"/>
      <c r="BD13" s="28"/>
      <c r="BE13" s="26"/>
      <c r="BF13" s="26"/>
      <c r="BG13" s="29"/>
      <c r="BH13" s="28"/>
      <c r="BI13" s="26"/>
      <c r="BJ13" s="26"/>
      <c r="BK13" s="29"/>
      <c r="BL13" s="28"/>
      <c r="BM13" s="26"/>
      <c r="BN13" s="26"/>
      <c r="BO13" s="29"/>
      <c r="BP13" s="28">
        <v>1</v>
      </c>
      <c r="BQ13" s="26"/>
      <c r="BR13" s="26"/>
      <c r="BS13" s="29"/>
      <c r="BT13" s="28">
        <v>2</v>
      </c>
      <c r="BU13" s="26"/>
      <c r="BV13" s="26"/>
      <c r="BW13" s="29"/>
      <c r="BX13" s="28">
        <v>1</v>
      </c>
      <c r="BY13" s="26"/>
      <c r="BZ13" s="26"/>
      <c r="CA13" s="29"/>
      <c r="CB13" s="28"/>
      <c r="CC13" s="26"/>
      <c r="CD13" s="26"/>
      <c r="CE13" s="29"/>
      <c r="CF13" s="28"/>
      <c r="CG13" s="26"/>
      <c r="CH13" s="26"/>
      <c r="CI13" s="29"/>
      <c r="CJ13" s="28">
        <v>1</v>
      </c>
      <c r="CK13" s="26"/>
      <c r="CL13" s="26"/>
      <c r="CM13" s="29"/>
      <c r="CN13" s="28">
        <v>1</v>
      </c>
      <c r="CO13" s="26"/>
      <c r="CP13" s="26"/>
      <c r="CQ13" s="29"/>
      <c r="CR13" s="28"/>
      <c r="CS13" s="26"/>
      <c r="CT13" s="26"/>
      <c r="CU13" s="29"/>
      <c r="CV13" s="28"/>
      <c r="CW13" s="26"/>
      <c r="CX13" s="26"/>
      <c r="CY13" s="29"/>
      <c r="CZ13" s="28"/>
      <c r="DA13" s="26"/>
      <c r="DB13" s="26"/>
      <c r="DC13" s="29"/>
    </row>
    <row r="14" spans="1:107" ht="19.899999999999999" customHeight="1" x14ac:dyDescent="0.25">
      <c r="A14" s="178"/>
      <c r="B14" s="154" t="str">
        <f>Jugadores!C13</f>
        <v xml:space="preserve">Jhonatan Jaramillo </v>
      </c>
      <c r="C14" s="155"/>
      <c r="D14" s="24">
        <f t="shared" si="0"/>
        <v>1</v>
      </c>
      <c r="E14" s="24">
        <f t="shared" si="1"/>
        <v>0</v>
      </c>
      <c r="F14" s="115">
        <f t="shared" si="2"/>
        <v>0</v>
      </c>
      <c r="G14" s="115">
        <f t="shared" si="3"/>
        <v>0</v>
      </c>
      <c r="H14" s="28"/>
      <c r="I14" s="26"/>
      <c r="J14" s="26"/>
      <c r="K14" s="29"/>
      <c r="L14" s="28"/>
      <c r="M14" s="26"/>
      <c r="N14" s="26"/>
      <c r="O14" s="29"/>
      <c r="P14" s="28"/>
      <c r="Q14" s="26"/>
      <c r="R14" s="26"/>
      <c r="S14" s="29"/>
      <c r="T14" s="28"/>
      <c r="U14" s="26"/>
      <c r="V14" s="26"/>
      <c r="W14" s="29"/>
      <c r="X14" s="28"/>
      <c r="Y14" s="26"/>
      <c r="Z14" s="26"/>
      <c r="AA14" s="29"/>
      <c r="AB14" s="28"/>
      <c r="AC14" s="26"/>
      <c r="AD14" s="26"/>
      <c r="AE14" s="29"/>
      <c r="AF14" s="28"/>
      <c r="AG14" s="26"/>
      <c r="AH14" s="26"/>
      <c r="AI14" s="29"/>
      <c r="AJ14" s="28"/>
      <c r="AK14" s="26"/>
      <c r="AL14" s="26"/>
      <c r="AM14" s="29"/>
      <c r="AN14" s="28"/>
      <c r="AO14" s="26"/>
      <c r="AP14" s="26"/>
      <c r="AQ14" s="29"/>
      <c r="AR14" s="28"/>
      <c r="AS14" s="26"/>
      <c r="AT14" s="26"/>
      <c r="AU14" s="29"/>
      <c r="AV14" s="28"/>
      <c r="AW14" s="26"/>
      <c r="AX14" s="26"/>
      <c r="AY14" s="29"/>
      <c r="AZ14" s="28"/>
      <c r="BA14" s="26"/>
      <c r="BB14" s="26"/>
      <c r="BC14" s="29"/>
      <c r="BD14" s="28"/>
      <c r="BE14" s="26"/>
      <c r="BF14" s="26"/>
      <c r="BG14" s="29"/>
      <c r="BH14" s="28"/>
      <c r="BI14" s="26"/>
      <c r="BJ14" s="26"/>
      <c r="BK14" s="29"/>
      <c r="BL14" s="28"/>
      <c r="BM14" s="26"/>
      <c r="BN14" s="26"/>
      <c r="BO14" s="29"/>
      <c r="BP14" s="28">
        <v>1</v>
      </c>
      <c r="BQ14" s="26"/>
      <c r="BR14" s="26"/>
      <c r="BS14" s="29"/>
      <c r="BT14" s="28"/>
      <c r="BU14" s="26"/>
      <c r="BV14" s="26"/>
      <c r="BW14" s="29"/>
      <c r="BX14" s="28"/>
      <c r="BY14" s="26"/>
      <c r="BZ14" s="26"/>
      <c r="CA14" s="29"/>
      <c r="CB14" s="28"/>
      <c r="CC14" s="26"/>
      <c r="CD14" s="26"/>
      <c r="CE14" s="29"/>
      <c r="CF14" s="28"/>
      <c r="CG14" s="26"/>
      <c r="CH14" s="26"/>
      <c r="CI14" s="29"/>
      <c r="CJ14" s="28"/>
      <c r="CK14" s="26"/>
      <c r="CL14" s="26"/>
      <c r="CM14" s="29"/>
      <c r="CN14" s="28"/>
      <c r="CO14" s="26"/>
      <c r="CP14" s="26"/>
      <c r="CQ14" s="29"/>
      <c r="CR14" s="28"/>
      <c r="CS14" s="26"/>
      <c r="CT14" s="26"/>
      <c r="CU14" s="29"/>
      <c r="CV14" s="28"/>
      <c r="CW14" s="26"/>
      <c r="CX14" s="26"/>
      <c r="CY14" s="29"/>
      <c r="CZ14" s="28"/>
      <c r="DA14" s="26"/>
      <c r="DB14" s="26"/>
      <c r="DC14" s="29"/>
    </row>
    <row r="15" spans="1:107" ht="19.899999999999999" customHeight="1" x14ac:dyDescent="0.25">
      <c r="A15" s="178"/>
      <c r="B15" s="154" t="str">
        <f>Jugadores!C14</f>
        <v xml:space="preserve">Miguel Ángel Patiño </v>
      </c>
      <c r="C15" s="155"/>
      <c r="D15" s="24">
        <f t="shared" si="0"/>
        <v>2</v>
      </c>
      <c r="E15" s="24">
        <f t="shared" si="1"/>
        <v>0</v>
      </c>
      <c r="F15" s="115">
        <f t="shared" si="2"/>
        <v>0</v>
      </c>
      <c r="G15" s="115">
        <f t="shared" si="3"/>
        <v>0</v>
      </c>
      <c r="H15" s="28"/>
      <c r="I15" s="26"/>
      <c r="J15" s="26"/>
      <c r="K15" s="29"/>
      <c r="L15" s="28"/>
      <c r="M15" s="26"/>
      <c r="N15" s="26"/>
      <c r="O15" s="29"/>
      <c r="P15" s="28"/>
      <c r="Q15" s="26"/>
      <c r="R15" s="26"/>
      <c r="S15" s="29"/>
      <c r="T15" s="28"/>
      <c r="U15" s="26"/>
      <c r="V15" s="26"/>
      <c r="W15" s="29"/>
      <c r="X15" s="28"/>
      <c r="Y15" s="26"/>
      <c r="Z15" s="26"/>
      <c r="AA15" s="29"/>
      <c r="AB15" s="28"/>
      <c r="AC15" s="26"/>
      <c r="AD15" s="26"/>
      <c r="AE15" s="29"/>
      <c r="AF15" s="28"/>
      <c r="AG15" s="26"/>
      <c r="AH15" s="26"/>
      <c r="AI15" s="29"/>
      <c r="AJ15" s="28"/>
      <c r="AK15" s="26"/>
      <c r="AL15" s="26"/>
      <c r="AM15" s="29"/>
      <c r="AN15" s="28"/>
      <c r="AO15" s="26"/>
      <c r="AP15" s="26"/>
      <c r="AQ15" s="29"/>
      <c r="AR15" s="28"/>
      <c r="AS15" s="26"/>
      <c r="AT15" s="26"/>
      <c r="AU15" s="29"/>
      <c r="AV15" s="28"/>
      <c r="AW15" s="26"/>
      <c r="AX15" s="26"/>
      <c r="AY15" s="29"/>
      <c r="AZ15" s="28">
        <v>1</v>
      </c>
      <c r="BA15" s="26"/>
      <c r="BB15" s="26"/>
      <c r="BC15" s="29"/>
      <c r="BD15" s="28"/>
      <c r="BE15" s="26"/>
      <c r="BF15" s="26"/>
      <c r="BG15" s="29"/>
      <c r="BH15" s="28">
        <v>1</v>
      </c>
      <c r="BI15" s="26"/>
      <c r="BJ15" s="26"/>
      <c r="BK15" s="29"/>
      <c r="BL15" s="28"/>
      <c r="BM15" s="26"/>
      <c r="BN15" s="26"/>
      <c r="BO15" s="29"/>
      <c r="BP15" s="28"/>
      <c r="BQ15" s="26"/>
      <c r="BR15" s="26"/>
      <c r="BS15" s="29"/>
      <c r="BT15" s="28"/>
      <c r="BU15" s="26"/>
      <c r="BV15" s="26"/>
      <c r="BW15" s="29"/>
      <c r="BX15" s="28"/>
      <c r="BY15" s="26"/>
      <c r="BZ15" s="26"/>
      <c r="CA15" s="29"/>
      <c r="CB15" s="28"/>
      <c r="CC15" s="26"/>
      <c r="CD15" s="26"/>
      <c r="CE15" s="29"/>
      <c r="CF15" s="28"/>
      <c r="CG15" s="26"/>
      <c r="CH15" s="26"/>
      <c r="CI15" s="29"/>
      <c r="CJ15" s="28"/>
      <c r="CK15" s="26"/>
      <c r="CL15" s="26"/>
      <c r="CM15" s="29"/>
      <c r="CN15" s="28"/>
      <c r="CO15" s="26"/>
      <c r="CP15" s="26"/>
      <c r="CQ15" s="29"/>
      <c r="CR15" s="28"/>
      <c r="CS15" s="26"/>
      <c r="CT15" s="26"/>
      <c r="CU15" s="29"/>
      <c r="CV15" s="28"/>
      <c r="CW15" s="26"/>
      <c r="CX15" s="26"/>
      <c r="CY15" s="29"/>
      <c r="CZ15" s="28"/>
      <c r="DA15" s="26"/>
      <c r="DB15" s="26"/>
      <c r="DC15" s="29"/>
    </row>
    <row r="16" spans="1:107" ht="19.899999999999999" customHeight="1" x14ac:dyDescent="0.25">
      <c r="A16" s="178"/>
      <c r="B16" s="154" t="str">
        <f>Jugadores!C15</f>
        <v xml:space="preserve">Juan David García </v>
      </c>
      <c r="C16" s="155"/>
      <c r="D16" s="24">
        <f t="shared" si="0"/>
        <v>0</v>
      </c>
      <c r="E16" s="24">
        <f t="shared" si="1"/>
        <v>2</v>
      </c>
      <c r="F16" s="115">
        <f t="shared" si="2"/>
        <v>0</v>
      </c>
      <c r="G16" s="115">
        <f t="shared" si="3"/>
        <v>0</v>
      </c>
      <c r="H16" s="28"/>
      <c r="I16" s="26"/>
      <c r="J16" s="26"/>
      <c r="K16" s="29"/>
      <c r="L16" s="28"/>
      <c r="M16" s="26"/>
      <c r="N16" s="26"/>
      <c r="O16" s="29"/>
      <c r="P16" s="28"/>
      <c r="Q16" s="26"/>
      <c r="R16" s="26"/>
      <c r="S16" s="29"/>
      <c r="T16" s="28"/>
      <c r="U16" s="26"/>
      <c r="V16" s="26"/>
      <c r="W16" s="29"/>
      <c r="X16" s="28"/>
      <c r="Y16" s="26"/>
      <c r="Z16" s="26"/>
      <c r="AA16" s="29"/>
      <c r="AB16" s="28"/>
      <c r="AC16" s="26"/>
      <c r="AD16" s="26"/>
      <c r="AE16" s="29"/>
      <c r="AF16" s="28"/>
      <c r="AG16" s="26"/>
      <c r="AH16" s="26"/>
      <c r="AI16" s="29"/>
      <c r="AJ16" s="28"/>
      <c r="AK16" s="26"/>
      <c r="AL16" s="26"/>
      <c r="AM16" s="29"/>
      <c r="AN16" s="28"/>
      <c r="AO16" s="26">
        <v>1</v>
      </c>
      <c r="AP16" s="26"/>
      <c r="AQ16" s="29"/>
      <c r="AR16" s="28"/>
      <c r="AS16" s="26"/>
      <c r="AT16" s="26"/>
      <c r="AU16" s="29"/>
      <c r="AV16" s="28"/>
      <c r="AW16" s="26"/>
      <c r="AX16" s="26"/>
      <c r="AY16" s="29"/>
      <c r="AZ16" s="28"/>
      <c r="BA16" s="26"/>
      <c r="BB16" s="26"/>
      <c r="BC16" s="29"/>
      <c r="BD16" s="28"/>
      <c r="BE16" s="26"/>
      <c r="BF16" s="26"/>
      <c r="BG16" s="29"/>
      <c r="BH16" s="28"/>
      <c r="BI16" s="26"/>
      <c r="BJ16" s="26"/>
      <c r="BK16" s="29"/>
      <c r="BL16" s="28"/>
      <c r="BM16" s="26">
        <v>1</v>
      </c>
      <c r="BN16" s="26"/>
      <c r="BO16" s="29"/>
      <c r="BP16" s="28"/>
      <c r="BQ16" s="26"/>
      <c r="BR16" s="26"/>
      <c r="BS16" s="29"/>
      <c r="BT16" s="28"/>
      <c r="BU16" s="26"/>
      <c r="BV16" s="26"/>
      <c r="BW16" s="29"/>
      <c r="BX16" s="28"/>
      <c r="BY16" s="26"/>
      <c r="BZ16" s="26"/>
      <c r="CA16" s="29"/>
      <c r="CB16" s="28"/>
      <c r="CC16" s="26"/>
      <c r="CD16" s="26"/>
      <c r="CE16" s="29"/>
      <c r="CF16" s="28"/>
      <c r="CG16" s="26"/>
      <c r="CH16" s="26"/>
      <c r="CI16" s="29"/>
      <c r="CJ16" s="28"/>
      <c r="CK16" s="26"/>
      <c r="CL16" s="26"/>
      <c r="CM16" s="29"/>
      <c r="CN16" s="28"/>
      <c r="CO16" s="26"/>
      <c r="CP16" s="26"/>
      <c r="CQ16" s="29"/>
      <c r="CR16" s="28"/>
      <c r="CS16" s="26"/>
      <c r="CT16" s="26"/>
      <c r="CU16" s="29"/>
      <c r="CV16" s="28"/>
      <c r="CW16" s="26"/>
      <c r="CX16" s="26"/>
      <c r="CY16" s="29"/>
      <c r="CZ16" s="28"/>
      <c r="DA16" s="26"/>
      <c r="DB16" s="26"/>
      <c r="DC16" s="29"/>
    </row>
    <row r="17" spans="1:107" ht="19.899999999999999" customHeight="1" x14ac:dyDescent="0.25">
      <c r="A17" s="178"/>
      <c r="B17" s="154" t="str">
        <f>Jugadores!C16</f>
        <v xml:space="preserve">Samuel Isaza Hincapié </v>
      </c>
      <c r="C17" s="155"/>
      <c r="D17" s="24">
        <f t="shared" si="0"/>
        <v>1</v>
      </c>
      <c r="E17" s="24">
        <f t="shared" si="1"/>
        <v>1</v>
      </c>
      <c r="F17" s="115">
        <f t="shared" si="2"/>
        <v>0</v>
      </c>
      <c r="G17" s="115">
        <f t="shared" si="3"/>
        <v>0</v>
      </c>
      <c r="H17" s="28"/>
      <c r="I17" s="26"/>
      <c r="J17" s="26"/>
      <c r="K17" s="29"/>
      <c r="L17" s="28"/>
      <c r="M17" s="26"/>
      <c r="N17" s="26"/>
      <c r="O17" s="29"/>
      <c r="P17" s="28"/>
      <c r="Q17" s="26"/>
      <c r="R17" s="26"/>
      <c r="S17" s="29"/>
      <c r="T17" s="28"/>
      <c r="U17" s="26"/>
      <c r="V17" s="26"/>
      <c r="W17" s="29"/>
      <c r="X17" s="28"/>
      <c r="Y17" s="26"/>
      <c r="Z17" s="26"/>
      <c r="AA17" s="29"/>
      <c r="AB17" s="28"/>
      <c r="AC17" s="26"/>
      <c r="AD17" s="26"/>
      <c r="AE17" s="29"/>
      <c r="AF17" s="28"/>
      <c r="AG17" s="26"/>
      <c r="AH17" s="26"/>
      <c r="AI17" s="29"/>
      <c r="AJ17" s="28">
        <v>1</v>
      </c>
      <c r="AK17" s="26">
        <v>1</v>
      </c>
      <c r="AL17" s="26"/>
      <c r="AM17" s="29"/>
      <c r="AN17" s="28"/>
      <c r="AO17" s="26"/>
      <c r="AP17" s="26"/>
      <c r="AQ17" s="29"/>
      <c r="AR17" s="28"/>
      <c r="AS17" s="26"/>
      <c r="AT17" s="26"/>
      <c r="AU17" s="29"/>
      <c r="AV17" s="28"/>
      <c r="AW17" s="26"/>
      <c r="AX17" s="26"/>
      <c r="AY17" s="29"/>
      <c r="AZ17" s="28"/>
      <c r="BA17" s="26"/>
      <c r="BB17" s="26"/>
      <c r="BC17" s="29"/>
      <c r="BD17" s="28"/>
      <c r="BE17" s="26"/>
      <c r="BF17" s="26"/>
      <c r="BG17" s="29"/>
      <c r="BH17" s="28"/>
      <c r="BI17" s="26"/>
      <c r="BJ17" s="26"/>
      <c r="BK17" s="29"/>
      <c r="BL17" s="28"/>
      <c r="BM17" s="26"/>
      <c r="BN17" s="26"/>
      <c r="BO17" s="29"/>
      <c r="BP17" s="28"/>
      <c r="BQ17" s="26"/>
      <c r="BR17" s="26"/>
      <c r="BS17" s="29"/>
      <c r="BT17" s="28"/>
      <c r="BU17" s="26"/>
      <c r="BV17" s="26"/>
      <c r="BW17" s="29"/>
      <c r="BX17" s="28"/>
      <c r="BY17" s="26"/>
      <c r="BZ17" s="26"/>
      <c r="CA17" s="29"/>
      <c r="CB17" s="28"/>
      <c r="CC17" s="26"/>
      <c r="CD17" s="26"/>
      <c r="CE17" s="29"/>
      <c r="CF17" s="28"/>
      <c r="CG17" s="26"/>
      <c r="CH17" s="26"/>
      <c r="CI17" s="29"/>
      <c r="CJ17" s="28"/>
      <c r="CK17" s="26"/>
      <c r="CL17" s="26"/>
      <c r="CM17" s="29"/>
      <c r="CN17" s="28"/>
      <c r="CO17" s="26"/>
      <c r="CP17" s="26"/>
      <c r="CQ17" s="29"/>
      <c r="CR17" s="28"/>
      <c r="CS17" s="26"/>
      <c r="CT17" s="26"/>
      <c r="CU17" s="29"/>
      <c r="CV17" s="28"/>
      <c r="CW17" s="26"/>
      <c r="CX17" s="26"/>
      <c r="CY17" s="29"/>
      <c r="CZ17" s="28"/>
      <c r="DA17" s="26"/>
      <c r="DB17" s="26"/>
      <c r="DC17" s="29"/>
    </row>
    <row r="18" spans="1:107" ht="19.899999999999999" customHeight="1" x14ac:dyDescent="0.25">
      <c r="A18" s="179"/>
      <c r="B18" s="156" t="str">
        <f>Jugadores!C17</f>
        <v xml:space="preserve">Faver Jaramillo </v>
      </c>
      <c r="C18" s="157"/>
      <c r="D18" s="24">
        <f t="shared" si="0"/>
        <v>6</v>
      </c>
      <c r="E18" s="24">
        <f t="shared" si="1"/>
        <v>0</v>
      </c>
      <c r="F18" s="115">
        <f t="shared" si="2"/>
        <v>1</v>
      </c>
      <c r="G18" s="115">
        <f t="shared" si="3"/>
        <v>0</v>
      </c>
      <c r="H18" s="28"/>
      <c r="I18" s="26"/>
      <c r="J18" s="26"/>
      <c r="K18" s="29"/>
      <c r="L18" s="28"/>
      <c r="M18" s="26"/>
      <c r="N18" s="26"/>
      <c r="O18" s="29"/>
      <c r="P18" s="28"/>
      <c r="Q18" s="26"/>
      <c r="R18" s="26"/>
      <c r="S18" s="29"/>
      <c r="T18" s="28"/>
      <c r="U18" s="26"/>
      <c r="V18" s="26"/>
      <c r="W18" s="29"/>
      <c r="X18" s="28"/>
      <c r="Y18" s="26"/>
      <c r="Z18" s="26"/>
      <c r="AA18" s="29"/>
      <c r="AB18" s="28"/>
      <c r="AC18" s="26"/>
      <c r="AD18" s="26"/>
      <c r="AE18" s="29"/>
      <c r="AF18" s="28">
        <v>2</v>
      </c>
      <c r="AG18" s="26"/>
      <c r="AH18" s="26"/>
      <c r="AI18" s="29"/>
      <c r="AJ18" s="28"/>
      <c r="AK18" s="26"/>
      <c r="AL18" s="26"/>
      <c r="AM18" s="29"/>
      <c r="AN18" s="28"/>
      <c r="AO18" s="26"/>
      <c r="AP18" s="26"/>
      <c r="AQ18" s="29"/>
      <c r="AR18" s="28"/>
      <c r="AS18" s="26"/>
      <c r="AT18" s="26"/>
      <c r="AU18" s="29"/>
      <c r="AV18" s="28">
        <v>1</v>
      </c>
      <c r="AW18" s="26"/>
      <c r="AX18" s="26"/>
      <c r="AY18" s="29"/>
      <c r="AZ18" s="28"/>
      <c r="BA18" s="26"/>
      <c r="BB18" s="26"/>
      <c r="BC18" s="29"/>
      <c r="BD18" s="28"/>
      <c r="BE18" s="26"/>
      <c r="BF18" s="26"/>
      <c r="BG18" s="29"/>
      <c r="BH18" s="28"/>
      <c r="BI18" s="26"/>
      <c r="BJ18" s="26"/>
      <c r="BK18" s="29"/>
      <c r="BL18" s="28"/>
      <c r="BM18" s="26"/>
      <c r="BN18" s="26"/>
      <c r="BO18" s="29"/>
      <c r="BP18" s="28">
        <v>2</v>
      </c>
      <c r="BQ18" s="26"/>
      <c r="BR18" s="26"/>
      <c r="BS18" s="29"/>
      <c r="BT18" s="28"/>
      <c r="BU18" s="26"/>
      <c r="BV18" s="26"/>
      <c r="BW18" s="29"/>
      <c r="BX18" s="28">
        <v>1</v>
      </c>
      <c r="BY18" s="26"/>
      <c r="BZ18" s="26"/>
      <c r="CA18" s="29"/>
      <c r="CB18" s="28"/>
      <c r="CC18" s="26"/>
      <c r="CD18" s="26"/>
      <c r="CE18" s="29"/>
      <c r="CF18" s="28"/>
      <c r="CG18" s="26"/>
      <c r="CH18" s="26"/>
      <c r="CI18" s="29"/>
      <c r="CJ18" s="28"/>
      <c r="CK18" s="26"/>
      <c r="CL18" s="26"/>
      <c r="CM18" s="29"/>
      <c r="CN18" s="28"/>
      <c r="CO18" s="26"/>
      <c r="CP18" s="26"/>
      <c r="CQ18" s="29"/>
      <c r="CR18" s="28"/>
      <c r="CS18" s="26"/>
      <c r="CT18" s="26"/>
      <c r="CU18" s="29"/>
      <c r="CV18" s="28"/>
      <c r="CW18" s="26"/>
      <c r="CX18" s="26"/>
      <c r="CY18" s="29"/>
      <c r="CZ18" s="28"/>
      <c r="DA18" s="26"/>
      <c r="DB18" s="26"/>
      <c r="DC18" s="29"/>
    </row>
    <row r="19" spans="1:107" ht="14.45" customHeight="1" x14ac:dyDescent="0.25">
      <c r="B19" s="158" t="s">
        <v>105</v>
      </c>
      <c r="C19" s="159"/>
      <c r="D19" s="160"/>
      <c r="E19" s="160"/>
      <c r="F19" s="160"/>
      <c r="G19" s="160"/>
      <c r="H19" s="28"/>
      <c r="I19" s="26"/>
      <c r="J19" s="26"/>
      <c r="K19" s="29"/>
      <c r="L19" s="28"/>
      <c r="M19" s="26"/>
      <c r="N19" s="26"/>
      <c r="O19" s="29"/>
      <c r="P19" s="28"/>
      <c r="Q19" s="26"/>
      <c r="R19" s="26"/>
      <c r="S19" s="29"/>
      <c r="T19" s="28"/>
      <c r="U19" s="26"/>
      <c r="V19" s="26"/>
      <c r="W19" s="29"/>
      <c r="X19" s="28"/>
      <c r="Y19" s="26"/>
      <c r="Z19" s="26"/>
      <c r="AA19" s="29"/>
      <c r="AB19" s="28"/>
      <c r="AC19" s="26"/>
      <c r="AD19" s="26"/>
      <c r="AE19" s="29"/>
      <c r="AF19" s="28"/>
      <c r="AG19" s="26"/>
      <c r="AH19" s="26"/>
      <c r="AI19" s="29"/>
      <c r="AJ19" s="28"/>
      <c r="AK19" s="26"/>
      <c r="AL19" s="26"/>
      <c r="AM19" s="29"/>
      <c r="AN19" s="28"/>
      <c r="AO19" s="26"/>
      <c r="AP19" s="26"/>
      <c r="AQ19" s="29"/>
      <c r="AR19" s="28"/>
      <c r="AS19" s="26"/>
      <c r="AT19" s="26"/>
      <c r="AU19" s="29"/>
      <c r="AV19" s="28"/>
      <c r="AW19" s="26"/>
      <c r="AX19" s="26"/>
      <c r="AY19" s="29"/>
      <c r="AZ19" s="28"/>
      <c r="BA19" s="26"/>
      <c r="BB19" s="26"/>
      <c r="BC19" s="29"/>
      <c r="BD19" s="28"/>
      <c r="BE19" s="26"/>
      <c r="BF19" s="26"/>
      <c r="BG19" s="29"/>
      <c r="BH19" s="28"/>
      <c r="BI19" s="26"/>
      <c r="BJ19" s="26"/>
      <c r="BK19" s="29"/>
      <c r="BL19" s="28"/>
      <c r="BM19" s="26"/>
      <c r="BN19" s="26"/>
      <c r="BO19" s="29"/>
      <c r="BP19" s="28"/>
      <c r="BQ19" s="26"/>
      <c r="BR19" s="26"/>
      <c r="BS19" s="29"/>
      <c r="BT19" s="28"/>
      <c r="BU19" s="26"/>
      <c r="BV19" s="26"/>
      <c r="BW19" s="29"/>
      <c r="BX19" s="28"/>
      <c r="BY19" s="26"/>
      <c r="BZ19" s="26"/>
      <c r="CA19" s="29"/>
      <c r="CB19" s="28"/>
      <c r="CC19" s="26"/>
      <c r="CD19" s="26"/>
      <c r="CE19" s="29"/>
      <c r="CF19" s="28"/>
      <c r="CG19" s="26"/>
      <c r="CH19" s="26"/>
      <c r="CI19" s="29"/>
      <c r="CJ19" s="28"/>
      <c r="CK19" s="26"/>
      <c r="CL19" s="26"/>
      <c r="CM19" s="29"/>
      <c r="CN19" s="28"/>
      <c r="CO19" s="26"/>
      <c r="CP19" s="26"/>
      <c r="CQ19" s="29"/>
      <c r="CR19" s="28"/>
      <c r="CS19" s="26"/>
      <c r="CT19" s="26"/>
      <c r="CU19" s="29"/>
      <c r="CV19" s="28"/>
      <c r="CW19" s="26"/>
      <c r="CX19" s="26"/>
      <c r="CY19" s="29"/>
      <c r="CZ19" s="28"/>
      <c r="DA19" s="26"/>
      <c r="DB19" s="26"/>
      <c r="DC19" s="29"/>
    </row>
    <row r="20" spans="1:107" x14ac:dyDescent="0.25">
      <c r="B20" s="158" t="s">
        <v>104</v>
      </c>
      <c r="C20" s="159"/>
      <c r="D20" s="159"/>
      <c r="E20" s="159"/>
      <c r="F20" s="159"/>
      <c r="G20" s="159"/>
      <c r="H20" s="28"/>
      <c r="I20" s="26"/>
      <c r="J20" s="26"/>
      <c r="K20" s="29"/>
      <c r="L20" s="28"/>
      <c r="M20" s="26"/>
      <c r="N20" s="26"/>
      <c r="O20" s="29"/>
      <c r="P20" s="28"/>
      <c r="Q20" s="26"/>
      <c r="R20" s="26"/>
      <c r="S20" s="29"/>
      <c r="T20" s="28"/>
      <c r="U20" s="26"/>
      <c r="V20" s="26"/>
      <c r="W20" s="29"/>
      <c r="X20" s="28"/>
      <c r="Y20" s="26"/>
      <c r="Z20" s="26"/>
      <c r="AA20" s="29"/>
      <c r="AB20" s="28"/>
      <c r="AC20" s="26"/>
      <c r="AD20" s="26"/>
      <c r="AE20" s="29"/>
      <c r="AF20" s="28"/>
      <c r="AG20" s="26"/>
      <c r="AH20" s="26"/>
      <c r="AI20" s="29"/>
      <c r="AJ20" s="28"/>
      <c r="AK20" s="26"/>
      <c r="AL20" s="26"/>
      <c r="AM20" s="29"/>
      <c r="AN20" s="28"/>
      <c r="AO20" s="26"/>
      <c r="AP20" s="26"/>
      <c r="AQ20" s="29"/>
      <c r="AR20" s="28">
        <v>3</v>
      </c>
      <c r="AS20" s="26"/>
      <c r="AT20" s="26"/>
      <c r="AU20" s="29"/>
      <c r="AV20" s="28"/>
      <c r="AW20" s="26"/>
      <c r="AX20" s="26"/>
      <c r="AY20" s="29"/>
      <c r="AZ20" s="28"/>
      <c r="BA20" s="26"/>
      <c r="BB20" s="26"/>
      <c r="BC20" s="29"/>
      <c r="BD20" s="28">
        <v>3</v>
      </c>
      <c r="BE20" s="26"/>
      <c r="BF20" s="26"/>
      <c r="BG20" s="29"/>
      <c r="BH20" s="28"/>
      <c r="BI20" s="26"/>
      <c r="BJ20" s="26"/>
      <c r="BK20" s="29"/>
      <c r="BL20" s="28"/>
      <c r="BM20" s="26"/>
      <c r="BN20" s="26"/>
      <c r="BO20" s="29"/>
      <c r="BP20" s="28"/>
      <c r="BQ20" s="26"/>
      <c r="BR20" s="26"/>
      <c r="BS20" s="29"/>
      <c r="BT20" s="28"/>
      <c r="BU20" s="26"/>
      <c r="BV20" s="26"/>
      <c r="BW20" s="29"/>
      <c r="BX20" s="28"/>
      <c r="BY20" s="26"/>
      <c r="BZ20" s="26"/>
      <c r="CA20" s="29"/>
      <c r="CB20" s="28"/>
      <c r="CC20" s="26"/>
      <c r="CD20" s="26"/>
      <c r="CE20" s="29"/>
      <c r="CF20" s="28"/>
      <c r="CG20" s="26"/>
      <c r="CH20" s="26"/>
      <c r="CI20" s="29"/>
      <c r="CJ20" s="28"/>
      <c r="CK20" s="26"/>
      <c r="CL20" s="26"/>
      <c r="CM20" s="29"/>
      <c r="CN20" s="28"/>
      <c r="CO20" s="26"/>
      <c r="CP20" s="26"/>
      <c r="CQ20" s="29"/>
      <c r="CR20" s="28"/>
      <c r="CS20" s="26"/>
      <c r="CT20" s="26"/>
      <c r="CU20" s="29"/>
      <c r="CV20" s="28"/>
      <c r="CW20" s="26"/>
      <c r="CX20" s="26"/>
      <c r="CY20" s="29"/>
      <c r="CZ20" s="28"/>
      <c r="DA20" s="26"/>
      <c r="DB20" s="26"/>
      <c r="DC20" s="29"/>
    </row>
    <row r="21" spans="1:107" ht="15.75" thickBot="1" x14ac:dyDescent="0.3">
      <c r="B21" s="161" t="s">
        <v>106</v>
      </c>
      <c r="C21" s="162"/>
      <c r="D21" s="162"/>
      <c r="E21" s="162"/>
      <c r="F21" s="162"/>
      <c r="G21" s="162"/>
      <c r="H21" s="30"/>
      <c r="I21" s="31"/>
      <c r="J21" s="31"/>
      <c r="K21" s="32"/>
      <c r="L21" s="30"/>
      <c r="M21" s="31"/>
      <c r="N21" s="31"/>
      <c r="O21" s="32"/>
      <c r="P21" s="30"/>
      <c r="Q21" s="31"/>
      <c r="R21" s="31"/>
      <c r="S21" s="32"/>
      <c r="T21" s="30"/>
      <c r="U21" s="31"/>
      <c r="V21" s="31"/>
      <c r="W21" s="32"/>
      <c r="X21" s="30"/>
      <c r="Y21" s="31"/>
      <c r="Z21" s="31"/>
      <c r="AA21" s="32"/>
      <c r="AB21" s="30"/>
      <c r="AC21" s="31"/>
      <c r="AD21" s="31"/>
      <c r="AE21" s="32"/>
      <c r="AF21" s="30"/>
      <c r="AG21" s="31"/>
      <c r="AH21" s="31"/>
      <c r="AI21" s="32"/>
      <c r="AJ21" s="30"/>
      <c r="AK21" s="31"/>
      <c r="AL21" s="31"/>
      <c r="AM21" s="32"/>
      <c r="AN21" s="30"/>
      <c r="AO21" s="31"/>
      <c r="AP21" s="31"/>
      <c r="AQ21" s="32"/>
      <c r="AR21" s="30"/>
      <c r="AS21" s="31"/>
      <c r="AT21" s="31"/>
      <c r="AU21" s="32"/>
      <c r="AV21" s="30"/>
      <c r="AW21" s="31"/>
      <c r="AX21" s="31"/>
      <c r="AY21" s="32"/>
      <c r="AZ21" s="30"/>
      <c r="BA21" s="31"/>
      <c r="BB21" s="31"/>
      <c r="BC21" s="32"/>
      <c r="BD21" s="30"/>
      <c r="BE21" s="31"/>
      <c r="BF21" s="31"/>
      <c r="BG21" s="32"/>
      <c r="BH21" s="30"/>
      <c r="BI21" s="31"/>
      <c r="BJ21" s="31"/>
      <c r="BK21" s="32"/>
      <c r="BL21" s="30"/>
      <c r="BM21" s="31"/>
      <c r="BN21" s="31"/>
      <c r="BO21" s="32"/>
      <c r="BP21" s="30"/>
      <c r="BQ21" s="31"/>
      <c r="BR21" s="31"/>
      <c r="BS21" s="32"/>
      <c r="BT21" s="30"/>
      <c r="BU21" s="31"/>
      <c r="BV21" s="31"/>
      <c r="BW21" s="32"/>
      <c r="BX21" s="30"/>
      <c r="BY21" s="31"/>
      <c r="BZ21" s="31"/>
      <c r="CA21" s="32"/>
      <c r="CB21" s="30"/>
      <c r="CC21" s="31"/>
      <c r="CD21" s="31"/>
      <c r="CE21" s="32"/>
      <c r="CF21" s="30"/>
      <c r="CG21" s="31"/>
      <c r="CH21" s="31"/>
      <c r="CI21" s="32"/>
      <c r="CJ21" s="30"/>
      <c r="CK21" s="31"/>
      <c r="CL21" s="31"/>
      <c r="CM21" s="32"/>
      <c r="CN21" s="30"/>
      <c r="CO21" s="31"/>
      <c r="CP21" s="31"/>
      <c r="CQ21" s="32"/>
      <c r="CR21" s="30"/>
      <c r="CS21" s="31"/>
      <c r="CT21" s="31"/>
      <c r="CU21" s="32"/>
      <c r="CV21" s="30"/>
      <c r="CW21" s="31"/>
      <c r="CX21" s="31"/>
      <c r="CY21" s="32"/>
      <c r="CZ21" s="30"/>
      <c r="DA21" s="31"/>
      <c r="DB21" s="31"/>
      <c r="DC21" s="32"/>
    </row>
    <row r="22" spans="1:107" x14ac:dyDescent="0.25">
      <c r="B22" s="3"/>
      <c r="C22" s="27"/>
      <c r="D22" s="23">
        <f>H22+L22+P22+T22+X22+AB22+AF22+AJ22+AN22+AR22+AV22+AZ22+BD22+BH22+BL22+BP22+BT22+BX22+CB22+CF22+CJ22+CN22+CR22+CV22+CZ22</f>
        <v>101</v>
      </c>
      <c r="E22" s="23">
        <f>I22+M22+Q22+U22+Y22+AC22+AG22+AK22+AO22+AS22+AW22+BA22+BE22+BI22+BM22+BQ22+BV22+BY22+CD22+CG22+CL22+CO22+CT22+CW22+DB22</f>
        <v>12</v>
      </c>
      <c r="F22" s="23">
        <f>J22+N22+R22+V22+Z22+AD22+AH22+AL22+AP22+AT22+AX22+BB22+BF22+BJ22+BN22+BT22+BX22+CB22+CF22+CJ22+CN22+CR22+CV22+CZ22</f>
        <v>27</v>
      </c>
      <c r="G22" s="23">
        <f>K22+O22+S22+W22+AA22+AE22+AI22+AM22+AQ22+AU22+AY22+BC22+BG22+BK22+BO22+BV22+BY22+CD22+CG22+CL22+CO22+CT22+CW22+DB22</f>
        <v>3</v>
      </c>
      <c r="H22" s="33">
        <f>SUM(H4:H21)</f>
        <v>4</v>
      </c>
      <c r="I22" s="34">
        <f>SUM(I4:I21)</f>
        <v>0</v>
      </c>
      <c r="J22" s="34">
        <f>SUM(J4:J21)</f>
        <v>0</v>
      </c>
      <c r="K22" s="35">
        <f>SUM(K4:K21)</f>
        <v>0</v>
      </c>
      <c r="L22" s="33">
        <f t="shared" ref="L22:BW22" si="4">SUM(L4:L21)</f>
        <v>5</v>
      </c>
      <c r="M22" s="34">
        <f t="shared" si="4"/>
        <v>0</v>
      </c>
      <c r="N22" s="34">
        <f t="shared" si="4"/>
        <v>0</v>
      </c>
      <c r="O22" s="35">
        <f t="shared" si="4"/>
        <v>0</v>
      </c>
      <c r="P22" s="33">
        <f t="shared" si="4"/>
        <v>0</v>
      </c>
      <c r="Q22" s="34">
        <f t="shared" si="4"/>
        <v>0</v>
      </c>
      <c r="R22" s="34">
        <f t="shared" si="4"/>
        <v>0</v>
      </c>
      <c r="S22" s="35">
        <f t="shared" si="4"/>
        <v>0</v>
      </c>
      <c r="T22" s="33">
        <f t="shared" si="4"/>
        <v>2</v>
      </c>
      <c r="U22" s="34">
        <f t="shared" si="4"/>
        <v>1</v>
      </c>
      <c r="V22" s="34">
        <f t="shared" si="4"/>
        <v>0</v>
      </c>
      <c r="W22" s="35">
        <f t="shared" si="4"/>
        <v>0</v>
      </c>
      <c r="X22" s="33">
        <f t="shared" si="4"/>
        <v>2</v>
      </c>
      <c r="Y22" s="34">
        <f t="shared" si="4"/>
        <v>2</v>
      </c>
      <c r="Z22" s="34">
        <f t="shared" si="4"/>
        <v>0</v>
      </c>
      <c r="AA22" s="35">
        <f t="shared" si="4"/>
        <v>0</v>
      </c>
      <c r="AB22" s="33">
        <f t="shared" si="4"/>
        <v>3</v>
      </c>
      <c r="AC22" s="34">
        <f t="shared" si="4"/>
        <v>1</v>
      </c>
      <c r="AD22" s="34">
        <f t="shared" si="4"/>
        <v>0</v>
      </c>
      <c r="AE22" s="35">
        <f t="shared" si="4"/>
        <v>0</v>
      </c>
      <c r="AF22" s="33">
        <f t="shared" si="4"/>
        <v>5</v>
      </c>
      <c r="AG22" s="34">
        <f t="shared" si="4"/>
        <v>0</v>
      </c>
      <c r="AH22" s="34">
        <f t="shared" si="4"/>
        <v>0</v>
      </c>
      <c r="AI22" s="35">
        <f t="shared" si="4"/>
        <v>0</v>
      </c>
      <c r="AJ22" s="33">
        <f t="shared" si="4"/>
        <v>4</v>
      </c>
      <c r="AK22" s="34">
        <f t="shared" si="4"/>
        <v>1</v>
      </c>
      <c r="AL22" s="34">
        <f t="shared" si="4"/>
        <v>0</v>
      </c>
      <c r="AM22" s="35">
        <f t="shared" si="4"/>
        <v>0</v>
      </c>
      <c r="AN22" s="33">
        <f t="shared" si="4"/>
        <v>5</v>
      </c>
      <c r="AO22" s="34">
        <f t="shared" si="4"/>
        <v>2</v>
      </c>
      <c r="AP22" s="34">
        <f t="shared" si="4"/>
        <v>0</v>
      </c>
      <c r="AQ22" s="35">
        <f t="shared" si="4"/>
        <v>0</v>
      </c>
      <c r="AR22" s="33">
        <f t="shared" si="4"/>
        <v>3</v>
      </c>
      <c r="AS22" s="34">
        <f t="shared" si="4"/>
        <v>0</v>
      </c>
      <c r="AT22" s="34">
        <f t="shared" si="4"/>
        <v>0</v>
      </c>
      <c r="AU22" s="35">
        <f t="shared" si="4"/>
        <v>0</v>
      </c>
      <c r="AV22" s="33">
        <f t="shared" si="4"/>
        <v>7</v>
      </c>
      <c r="AW22" s="34">
        <f t="shared" si="4"/>
        <v>0</v>
      </c>
      <c r="AX22" s="34">
        <f t="shared" si="4"/>
        <v>0</v>
      </c>
      <c r="AY22" s="35">
        <f t="shared" si="4"/>
        <v>0</v>
      </c>
      <c r="AZ22" s="33">
        <f t="shared" si="4"/>
        <v>7</v>
      </c>
      <c r="BA22" s="34">
        <f t="shared" si="4"/>
        <v>0</v>
      </c>
      <c r="BB22" s="34">
        <f t="shared" si="4"/>
        <v>0</v>
      </c>
      <c r="BC22" s="35">
        <f t="shared" si="4"/>
        <v>0</v>
      </c>
      <c r="BD22" s="33">
        <f t="shared" si="4"/>
        <v>3</v>
      </c>
      <c r="BE22" s="34">
        <f t="shared" si="4"/>
        <v>0</v>
      </c>
      <c r="BF22" s="34">
        <f t="shared" si="4"/>
        <v>0</v>
      </c>
      <c r="BG22" s="35">
        <f t="shared" si="4"/>
        <v>0</v>
      </c>
      <c r="BH22" s="33">
        <f t="shared" si="4"/>
        <v>12</v>
      </c>
      <c r="BI22" s="34">
        <f t="shared" si="4"/>
        <v>0</v>
      </c>
      <c r="BJ22" s="34">
        <f t="shared" si="4"/>
        <v>0</v>
      </c>
      <c r="BK22" s="35">
        <f t="shared" si="4"/>
        <v>0</v>
      </c>
      <c r="BL22" s="33">
        <f t="shared" si="4"/>
        <v>3</v>
      </c>
      <c r="BM22" s="34">
        <f t="shared" si="4"/>
        <v>2</v>
      </c>
      <c r="BN22" s="34">
        <f t="shared" si="4"/>
        <v>0</v>
      </c>
      <c r="BO22" s="35">
        <f t="shared" si="4"/>
        <v>0</v>
      </c>
      <c r="BP22" s="33">
        <f t="shared" si="4"/>
        <v>9</v>
      </c>
      <c r="BQ22" s="34">
        <f t="shared" si="4"/>
        <v>0</v>
      </c>
      <c r="BR22" s="34">
        <f t="shared" si="4"/>
        <v>0</v>
      </c>
      <c r="BS22" s="35">
        <f t="shared" si="4"/>
        <v>0</v>
      </c>
      <c r="BT22" s="33">
        <f t="shared" si="4"/>
        <v>5</v>
      </c>
      <c r="BU22" s="34">
        <f t="shared" si="4"/>
        <v>3</v>
      </c>
      <c r="BV22" s="34">
        <f t="shared" si="4"/>
        <v>0</v>
      </c>
      <c r="BW22" s="35">
        <f t="shared" si="4"/>
        <v>0</v>
      </c>
      <c r="BX22" s="33">
        <f t="shared" ref="BX22:DC22" si="5">SUM(BX4:BX21)</f>
        <v>7</v>
      </c>
      <c r="BY22" s="34">
        <f t="shared" si="5"/>
        <v>2</v>
      </c>
      <c r="BZ22" s="34">
        <f t="shared" si="5"/>
        <v>0</v>
      </c>
      <c r="CA22" s="35">
        <f t="shared" si="5"/>
        <v>0</v>
      </c>
      <c r="CB22" s="33">
        <f t="shared" si="5"/>
        <v>0</v>
      </c>
      <c r="CC22" s="34">
        <f t="shared" si="5"/>
        <v>0</v>
      </c>
      <c r="CD22" s="34">
        <f t="shared" si="5"/>
        <v>0</v>
      </c>
      <c r="CE22" s="35">
        <f t="shared" si="5"/>
        <v>0</v>
      </c>
      <c r="CF22" s="33">
        <f t="shared" si="5"/>
        <v>7</v>
      </c>
      <c r="CG22" s="34">
        <f t="shared" si="5"/>
        <v>1</v>
      </c>
      <c r="CH22" s="34">
        <f t="shared" si="5"/>
        <v>0</v>
      </c>
      <c r="CI22" s="35">
        <f t="shared" si="5"/>
        <v>0</v>
      </c>
      <c r="CJ22" s="33">
        <f t="shared" si="5"/>
        <v>3</v>
      </c>
      <c r="CK22" s="34">
        <f t="shared" si="5"/>
        <v>3</v>
      </c>
      <c r="CL22" s="34">
        <f t="shared" si="5"/>
        <v>0</v>
      </c>
      <c r="CM22" s="35">
        <f t="shared" si="5"/>
        <v>0</v>
      </c>
      <c r="CN22" s="33">
        <f t="shared" si="5"/>
        <v>4</v>
      </c>
      <c r="CO22" s="34">
        <f t="shared" si="5"/>
        <v>0</v>
      </c>
      <c r="CP22" s="34">
        <f t="shared" si="5"/>
        <v>0</v>
      </c>
      <c r="CQ22" s="35">
        <f t="shared" si="5"/>
        <v>0</v>
      </c>
      <c r="CR22" s="33">
        <f t="shared" si="5"/>
        <v>1</v>
      </c>
      <c r="CS22" s="34">
        <f t="shared" si="5"/>
        <v>1</v>
      </c>
      <c r="CT22" s="34">
        <f t="shared" si="5"/>
        <v>0</v>
      </c>
      <c r="CU22" s="35">
        <f t="shared" si="5"/>
        <v>0</v>
      </c>
      <c r="CV22" s="33">
        <f t="shared" si="5"/>
        <v>0</v>
      </c>
      <c r="CW22" s="34">
        <f t="shared" si="5"/>
        <v>0</v>
      </c>
      <c r="CX22" s="34">
        <f t="shared" si="5"/>
        <v>0</v>
      </c>
      <c r="CY22" s="35">
        <f t="shared" si="5"/>
        <v>0</v>
      </c>
      <c r="CZ22" s="33">
        <f t="shared" si="5"/>
        <v>0</v>
      </c>
      <c r="DA22" s="34">
        <f t="shared" si="5"/>
        <v>0</v>
      </c>
      <c r="DB22" s="34">
        <f t="shared" si="5"/>
        <v>0</v>
      </c>
      <c r="DC22" s="35">
        <f t="shared" si="5"/>
        <v>0</v>
      </c>
    </row>
    <row r="23" spans="1:107" ht="14.45" customHeight="1" x14ac:dyDescent="0.25">
      <c r="B23" s="3"/>
      <c r="C23" s="27"/>
      <c r="D23" s="148" t="s">
        <v>86</v>
      </c>
      <c r="E23" s="148" t="s">
        <v>97</v>
      </c>
      <c r="F23" s="148" t="s">
        <v>99</v>
      </c>
      <c r="G23" s="148" t="s">
        <v>98</v>
      </c>
      <c r="H23" s="145" t="s">
        <v>86</v>
      </c>
      <c r="I23" s="148" t="s">
        <v>97</v>
      </c>
      <c r="J23" s="148" t="s">
        <v>99</v>
      </c>
      <c r="K23" s="151" t="s">
        <v>98</v>
      </c>
      <c r="L23" s="145" t="s">
        <v>86</v>
      </c>
      <c r="M23" s="148" t="s">
        <v>97</v>
      </c>
      <c r="N23" s="148" t="s">
        <v>99</v>
      </c>
      <c r="O23" s="151" t="s">
        <v>98</v>
      </c>
      <c r="P23" s="145" t="s">
        <v>86</v>
      </c>
      <c r="Q23" s="148" t="s">
        <v>97</v>
      </c>
      <c r="R23" s="148" t="s">
        <v>99</v>
      </c>
      <c r="S23" s="151" t="s">
        <v>98</v>
      </c>
      <c r="T23" s="145" t="s">
        <v>86</v>
      </c>
      <c r="U23" s="148" t="s">
        <v>97</v>
      </c>
      <c r="V23" s="148" t="s">
        <v>99</v>
      </c>
      <c r="W23" s="151" t="s">
        <v>98</v>
      </c>
      <c r="X23" s="145" t="s">
        <v>86</v>
      </c>
      <c r="Y23" s="148" t="s">
        <v>97</v>
      </c>
      <c r="Z23" s="148" t="s">
        <v>99</v>
      </c>
      <c r="AA23" s="151" t="s">
        <v>98</v>
      </c>
      <c r="AB23" s="145" t="s">
        <v>86</v>
      </c>
      <c r="AC23" s="148" t="s">
        <v>97</v>
      </c>
      <c r="AD23" s="148" t="s">
        <v>99</v>
      </c>
      <c r="AE23" s="151" t="s">
        <v>98</v>
      </c>
      <c r="AF23" s="145" t="s">
        <v>86</v>
      </c>
      <c r="AG23" s="148" t="s">
        <v>97</v>
      </c>
      <c r="AH23" s="148" t="s">
        <v>99</v>
      </c>
      <c r="AI23" s="151" t="s">
        <v>98</v>
      </c>
      <c r="AJ23" s="145" t="s">
        <v>86</v>
      </c>
      <c r="AK23" s="148" t="s">
        <v>97</v>
      </c>
      <c r="AL23" s="148" t="s">
        <v>99</v>
      </c>
      <c r="AM23" s="151" t="s">
        <v>98</v>
      </c>
      <c r="AN23" s="145" t="s">
        <v>86</v>
      </c>
      <c r="AO23" s="148" t="s">
        <v>97</v>
      </c>
      <c r="AP23" s="148" t="s">
        <v>99</v>
      </c>
      <c r="AQ23" s="151" t="s">
        <v>98</v>
      </c>
      <c r="AR23" s="145" t="s">
        <v>86</v>
      </c>
      <c r="AS23" s="148" t="s">
        <v>97</v>
      </c>
      <c r="AT23" s="148" t="s">
        <v>99</v>
      </c>
      <c r="AU23" s="151" t="s">
        <v>98</v>
      </c>
      <c r="AV23" s="145" t="s">
        <v>86</v>
      </c>
      <c r="AW23" s="148" t="s">
        <v>97</v>
      </c>
      <c r="AX23" s="148" t="s">
        <v>99</v>
      </c>
      <c r="AY23" s="151" t="s">
        <v>98</v>
      </c>
      <c r="AZ23" s="145" t="s">
        <v>86</v>
      </c>
      <c r="BA23" s="148" t="s">
        <v>97</v>
      </c>
      <c r="BB23" s="148" t="s">
        <v>99</v>
      </c>
      <c r="BC23" s="151" t="s">
        <v>98</v>
      </c>
      <c r="BD23" s="145" t="s">
        <v>86</v>
      </c>
      <c r="BE23" s="148" t="s">
        <v>97</v>
      </c>
      <c r="BF23" s="148" t="s">
        <v>99</v>
      </c>
      <c r="BG23" s="151" t="s">
        <v>98</v>
      </c>
      <c r="BH23" s="145" t="s">
        <v>86</v>
      </c>
      <c r="BI23" s="148" t="s">
        <v>97</v>
      </c>
      <c r="BJ23" s="148" t="s">
        <v>99</v>
      </c>
      <c r="BK23" s="151" t="s">
        <v>98</v>
      </c>
      <c r="BL23" s="145" t="s">
        <v>86</v>
      </c>
      <c r="BM23" s="148" t="s">
        <v>97</v>
      </c>
      <c r="BN23" s="148" t="s">
        <v>99</v>
      </c>
      <c r="BO23" s="151" t="s">
        <v>98</v>
      </c>
      <c r="BP23" s="145" t="s">
        <v>86</v>
      </c>
      <c r="BQ23" s="148" t="s">
        <v>97</v>
      </c>
      <c r="BR23" s="148" t="s">
        <v>99</v>
      </c>
      <c r="BS23" s="151" t="s">
        <v>98</v>
      </c>
      <c r="BT23" s="145" t="s">
        <v>86</v>
      </c>
      <c r="BU23" s="148" t="s">
        <v>97</v>
      </c>
      <c r="BV23" s="148" t="s">
        <v>99</v>
      </c>
      <c r="BW23" s="151" t="s">
        <v>98</v>
      </c>
      <c r="BX23" s="145" t="s">
        <v>86</v>
      </c>
      <c r="BY23" s="148" t="s">
        <v>97</v>
      </c>
      <c r="BZ23" s="148" t="s">
        <v>99</v>
      </c>
      <c r="CA23" s="151" t="s">
        <v>98</v>
      </c>
      <c r="CB23" s="145" t="s">
        <v>86</v>
      </c>
      <c r="CC23" s="148" t="s">
        <v>97</v>
      </c>
      <c r="CD23" s="148" t="s">
        <v>99</v>
      </c>
      <c r="CE23" s="151" t="s">
        <v>98</v>
      </c>
      <c r="CF23" s="145" t="s">
        <v>86</v>
      </c>
      <c r="CG23" s="148" t="s">
        <v>97</v>
      </c>
      <c r="CH23" s="148" t="s">
        <v>99</v>
      </c>
      <c r="CI23" s="151" t="s">
        <v>98</v>
      </c>
      <c r="CJ23" s="145" t="s">
        <v>86</v>
      </c>
      <c r="CK23" s="148" t="s">
        <v>97</v>
      </c>
      <c r="CL23" s="148" t="s">
        <v>99</v>
      </c>
      <c r="CM23" s="151" t="s">
        <v>98</v>
      </c>
      <c r="CN23" s="145" t="s">
        <v>86</v>
      </c>
      <c r="CO23" s="148" t="s">
        <v>97</v>
      </c>
      <c r="CP23" s="148" t="s">
        <v>99</v>
      </c>
      <c r="CQ23" s="151" t="s">
        <v>98</v>
      </c>
      <c r="CR23" s="145" t="s">
        <v>86</v>
      </c>
      <c r="CS23" s="148" t="s">
        <v>97</v>
      </c>
      <c r="CT23" s="148" t="s">
        <v>99</v>
      </c>
      <c r="CU23" s="151" t="s">
        <v>98</v>
      </c>
      <c r="CV23" s="145" t="s">
        <v>86</v>
      </c>
      <c r="CW23" s="148" t="s">
        <v>97</v>
      </c>
      <c r="CX23" s="148" t="s">
        <v>99</v>
      </c>
      <c r="CY23" s="151" t="s">
        <v>98</v>
      </c>
      <c r="CZ23" s="145" t="s">
        <v>86</v>
      </c>
      <c r="DA23" s="148" t="s">
        <v>97</v>
      </c>
      <c r="DB23" s="148" t="s">
        <v>99</v>
      </c>
      <c r="DC23" s="151" t="s">
        <v>98</v>
      </c>
    </row>
    <row r="24" spans="1:107" x14ac:dyDescent="0.25">
      <c r="B24" s="3"/>
      <c r="C24" s="27"/>
      <c r="D24" s="149"/>
      <c r="E24" s="149"/>
      <c r="F24" s="149"/>
      <c r="G24" s="149"/>
      <c r="H24" s="146"/>
      <c r="I24" s="149"/>
      <c r="J24" s="149"/>
      <c r="K24" s="152"/>
      <c r="L24" s="146"/>
      <c r="M24" s="149"/>
      <c r="N24" s="149"/>
      <c r="O24" s="152"/>
      <c r="P24" s="146"/>
      <c r="Q24" s="149"/>
      <c r="R24" s="149"/>
      <c r="S24" s="152"/>
      <c r="T24" s="146"/>
      <c r="U24" s="149"/>
      <c r="V24" s="149"/>
      <c r="W24" s="152"/>
      <c r="X24" s="146"/>
      <c r="Y24" s="149"/>
      <c r="Z24" s="149"/>
      <c r="AA24" s="152"/>
      <c r="AB24" s="146"/>
      <c r="AC24" s="149"/>
      <c r="AD24" s="149"/>
      <c r="AE24" s="152"/>
      <c r="AF24" s="146"/>
      <c r="AG24" s="149"/>
      <c r="AH24" s="149"/>
      <c r="AI24" s="152"/>
      <c r="AJ24" s="146"/>
      <c r="AK24" s="149"/>
      <c r="AL24" s="149"/>
      <c r="AM24" s="152"/>
      <c r="AN24" s="146"/>
      <c r="AO24" s="149"/>
      <c r="AP24" s="149"/>
      <c r="AQ24" s="152"/>
      <c r="AR24" s="146"/>
      <c r="AS24" s="149"/>
      <c r="AT24" s="149"/>
      <c r="AU24" s="152"/>
      <c r="AV24" s="146"/>
      <c r="AW24" s="149"/>
      <c r="AX24" s="149"/>
      <c r="AY24" s="152"/>
      <c r="AZ24" s="146"/>
      <c r="BA24" s="149"/>
      <c r="BB24" s="149"/>
      <c r="BC24" s="152"/>
      <c r="BD24" s="146"/>
      <c r="BE24" s="149"/>
      <c r="BF24" s="149"/>
      <c r="BG24" s="152"/>
      <c r="BH24" s="146"/>
      <c r="BI24" s="149"/>
      <c r="BJ24" s="149"/>
      <c r="BK24" s="152"/>
      <c r="BL24" s="146"/>
      <c r="BM24" s="149"/>
      <c r="BN24" s="149"/>
      <c r="BO24" s="152"/>
      <c r="BP24" s="146"/>
      <c r="BQ24" s="149"/>
      <c r="BR24" s="149"/>
      <c r="BS24" s="152"/>
      <c r="BT24" s="146"/>
      <c r="BU24" s="149"/>
      <c r="BV24" s="149"/>
      <c r="BW24" s="152"/>
      <c r="BX24" s="146"/>
      <c r="BY24" s="149"/>
      <c r="BZ24" s="149"/>
      <c r="CA24" s="152"/>
      <c r="CB24" s="146"/>
      <c r="CC24" s="149"/>
      <c r="CD24" s="149"/>
      <c r="CE24" s="152"/>
      <c r="CF24" s="146"/>
      <c r="CG24" s="149"/>
      <c r="CH24" s="149"/>
      <c r="CI24" s="152"/>
      <c r="CJ24" s="146"/>
      <c r="CK24" s="149"/>
      <c r="CL24" s="149"/>
      <c r="CM24" s="152"/>
      <c r="CN24" s="146"/>
      <c r="CO24" s="149"/>
      <c r="CP24" s="149"/>
      <c r="CQ24" s="152"/>
      <c r="CR24" s="146"/>
      <c r="CS24" s="149"/>
      <c r="CT24" s="149"/>
      <c r="CU24" s="152"/>
      <c r="CV24" s="146"/>
      <c r="CW24" s="149"/>
      <c r="CX24" s="149"/>
      <c r="CY24" s="152"/>
      <c r="CZ24" s="146"/>
      <c r="DA24" s="149"/>
      <c r="DB24" s="149"/>
      <c r="DC24" s="152"/>
    </row>
    <row r="25" spans="1:107" x14ac:dyDescent="0.25">
      <c r="D25" s="149"/>
      <c r="E25" s="149"/>
      <c r="F25" s="149"/>
      <c r="G25" s="149"/>
      <c r="H25" s="146"/>
      <c r="I25" s="149"/>
      <c r="J25" s="149"/>
      <c r="K25" s="152"/>
      <c r="L25" s="146"/>
      <c r="M25" s="149"/>
      <c r="N25" s="149"/>
      <c r="O25" s="152"/>
      <c r="P25" s="146"/>
      <c r="Q25" s="149"/>
      <c r="R25" s="149"/>
      <c r="S25" s="152"/>
      <c r="T25" s="146"/>
      <c r="U25" s="149"/>
      <c r="V25" s="149"/>
      <c r="W25" s="152"/>
      <c r="X25" s="146"/>
      <c r="Y25" s="149"/>
      <c r="Z25" s="149"/>
      <c r="AA25" s="152"/>
      <c r="AB25" s="146"/>
      <c r="AC25" s="149"/>
      <c r="AD25" s="149"/>
      <c r="AE25" s="152"/>
      <c r="AF25" s="146"/>
      <c r="AG25" s="149"/>
      <c r="AH25" s="149"/>
      <c r="AI25" s="152"/>
      <c r="AJ25" s="146"/>
      <c r="AK25" s="149"/>
      <c r="AL25" s="149"/>
      <c r="AM25" s="152"/>
      <c r="AN25" s="146"/>
      <c r="AO25" s="149"/>
      <c r="AP25" s="149"/>
      <c r="AQ25" s="152"/>
      <c r="AR25" s="146"/>
      <c r="AS25" s="149"/>
      <c r="AT25" s="149"/>
      <c r="AU25" s="152"/>
      <c r="AV25" s="146"/>
      <c r="AW25" s="149"/>
      <c r="AX25" s="149"/>
      <c r="AY25" s="152"/>
      <c r="AZ25" s="146"/>
      <c r="BA25" s="149"/>
      <c r="BB25" s="149"/>
      <c r="BC25" s="152"/>
      <c r="BD25" s="146"/>
      <c r="BE25" s="149"/>
      <c r="BF25" s="149"/>
      <c r="BG25" s="152"/>
      <c r="BH25" s="146"/>
      <c r="BI25" s="149"/>
      <c r="BJ25" s="149"/>
      <c r="BK25" s="152"/>
      <c r="BL25" s="146"/>
      <c r="BM25" s="149"/>
      <c r="BN25" s="149"/>
      <c r="BO25" s="152"/>
      <c r="BP25" s="146"/>
      <c r="BQ25" s="149"/>
      <c r="BR25" s="149"/>
      <c r="BS25" s="152"/>
      <c r="BT25" s="146"/>
      <c r="BU25" s="149"/>
      <c r="BV25" s="149"/>
      <c r="BW25" s="152"/>
      <c r="BX25" s="146"/>
      <c r="BY25" s="149"/>
      <c r="BZ25" s="149"/>
      <c r="CA25" s="152"/>
      <c r="CB25" s="146"/>
      <c r="CC25" s="149"/>
      <c r="CD25" s="149"/>
      <c r="CE25" s="152"/>
      <c r="CF25" s="146"/>
      <c r="CG25" s="149"/>
      <c r="CH25" s="149"/>
      <c r="CI25" s="152"/>
      <c r="CJ25" s="146"/>
      <c r="CK25" s="149"/>
      <c r="CL25" s="149"/>
      <c r="CM25" s="152"/>
      <c r="CN25" s="146"/>
      <c r="CO25" s="149"/>
      <c r="CP25" s="149"/>
      <c r="CQ25" s="152"/>
      <c r="CR25" s="146"/>
      <c r="CS25" s="149"/>
      <c r="CT25" s="149"/>
      <c r="CU25" s="152"/>
      <c r="CV25" s="146"/>
      <c r="CW25" s="149"/>
      <c r="CX25" s="149"/>
      <c r="CY25" s="152"/>
      <c r="CZ25" s="146"/>
      <c r="DA25" s="149"/>
      <c r="DB25" s="149"/>
      <c r="DC25" s="152"/>
    </row>
    <row r="26" spans="1:107" ht="15.75" thickBot="1" x14ac:dyDescent="0.3">
      <c r="D26" s="149"/>
      <c r="E26" s="149"/>
      <c r="F26" s="149"/>
      <c r="G26" s="149"/>
      <c r="H26" s="147"/>
      <c r="I26" s="150"/>
      <c r="J26" s="150"/>
      <c r="K26" s="153"/>
      <c r="L26" s="147"/>
      <c r="M26" s="150"/>
      <c r="N26" s="150"/>
      <c r="O26" s="153"/>
      <c r="P26" s="147"/>
      <c r="Q26" s="150"/>
      <c r="R26" s="150"/>
      <c r="S26" s="153"/>
      <c r="T26" s="147"/>
      <c r="U26" s="150"/>
      <c r="V26" s="150"/>
      <c r="W26" s="153"/>
      <c r="X26" s="147"/>
      <c r="Y26" s="150"/>
      <c r="Z26" s="150"/>
      <c r="AA26" s="153"/>
      <c r="AB26" s="147"/>
      <c r="AC26" s="150"/>
      <c r="AD26" s="150"/>
      <c r="AE26" s="153"/>
      <c r="AF26" s="147"/>
      <c r="AG26" s="150"/>
      <c r="AH26" s="150"/>
      <c r="AI26" s="153"/>
      <c r="AJ26" s="147"/>
      <c r="AK26" s="150"/>
      <c r="AL26" s="150"/>
      <c r="AM26" s="153"/>
      <c r="AN26" s="147"/>
      <c r="AO26" s="150"/>
      <c r="AP26" s="150"/>
      <c r="AQ26" s="153"/>
      <c r="AR26" s="147"/>
      <c r="AS26" s="150"/>
      <c r="AT26" s="150"/>
      <c r="AU26" s="153"/>
      <c r="AV26" s="147"/>
      <c r="AW26" s="150"/>
      <c r="AX26" s="150"/>
      <c r="AY26" s="153"/>
      <c r="AZ26" s="147"/>
      <c r="BA26" s="150"/>
      <c r="BB26" s="150"/>
      <c r="BC26" s="153"/>
      <c r="BD26" s="147"/>
      <c r="BE26" s="150"/>
      <c r="BF26" s="150"/>
      <c r="BG26" s="153"/>
      <c r="BH26" s="147"/>
      <c r="BI26" s="150"/>
      <c r="BJ26" s="150"/>
      <c r="BK26" s="153"/>
      <c r="BL26" s="147"/>
      <c r="BM26" s="150"/>
      <c r="BN26" s="150"/>
      <c r="BO26" s="153"/>
      <c r="BP26" s="147"/>
      <c r="BQ26" s="150"/>
      <c r="BR26" s="150"/>
      <c r="BS26" s="153"/>
      <c r="BT26" s="147"/>
      <c r="BU26" s="150"/>
      <c r="BV26" s="150"/>
      <c r="BW26" s="153"/>
      <c r="BX26" s="147"/>
      <c r="BY26" s="150"/>
      <c r="BZ26" s="150"/>
      <c r="CA26" s="153"/>
      <c r="CB26" s="147"/>
      <c r="CC26" s="150"/>
      <c r="CD26" s="150"/>
      <c r="CE26" s="153"/>
      <c r="CF26" s="147"/>
      <c r="CG26" s="150"/>
      <c r="CH26" s="150"/>
      <c r="CI26" s="153"/>
      <c r="CJ26" s="147"/>
      <c r="CK26" s="150"/>
      <c r="CL26" s="150"/>
      <c r="CM26" s="153"/>
      <c r="CN26" s="147"/>
      <c r="CO26" s="150"/>
      <c r="CP26" s="150"/>
      <c r="CQ26" s="153"/>
      <c r="CR26" s="147"/>
      <c r="CS26" s="150"/>
      <c r="CT26" s="150"/>
      <c r="CU26" s="153"/>
      <c r="CV26" s="147"/>
      <c r="CW26" s="150"/>
      <c r="CX26" s="150"/>
      <c r="CY26" s="153"/>
      <c r="CZ26" s="147"/>
      <c r="DA26" s="150"/>
      <c r="DB26" s="150"/>
      <c r="DC26" s="153"/>
    </row>
  </sheetData>
  <mergeCells count="199">
    <mergeCell ref="P1:S1"/>
    <mergeCell ref="T1:W1"/>
    <mergeCell ref="X1:AA1"/>
    <mergeCell ref="BH1:BK1"/>
    <mergeCell ref="BL1:BO1"/>
    <mergeCell ref="H2:K2"/>
    <mergeCell ref="L2:O2"/>
    <mergeCell ref="P2:S2"/>
    <mergeCell ref="T2:W2"/>
    <mergeCell ref="X2:AA2"/>
    <mergeCell ref="AB2:AE2"/>
    <mergeCell ref="AF2:AI2"/>
    <mergeCell ref="AJ2:AM2"/>
    <mergeCell ref="AN2:AQ2"/>
    <mergeCell ref="AB1:AE1"/>
    <mergeCell ref="AF1:AI1"/>
    <mergeCell ref="AJ1:AM1"/>
    <mergeCell ref="AN1:AQ1"/>
    <mergeCell ref="AR1:AU1"/>
    <mergeCell ref="AV1:AY1"/>
    <mergeCell ref="CZ1:DC1"/>
    <mergeCell ref="BX1:CA1"/>
    <mergeCell ref="CB1:CE1"/>
    <mergeCell ref="CF1:CI1"/>
    <mergeCell ref="CJ1:CM1"/>
    <mergeCell ref="CN1:CQ1"/>
    <mergeCell ref="CR1:CU1"/>
    <mergeCell ref="AZ1:BC1"/>
    <mergeCell ref="BD1:BG1"/>
    <mergeCell ref="BP1:BS1"/>
    <mergeCell ref="BT1:BW1"/>
    <mergeCell ref="CV1:CY1"/>
    <mergeCell ref="A4:A18"/>
    <mergeCell ref="B4:C4"/>
    <mergeCell ref="B5:C5"/>
    <mergeCell ref="B6:C6"/>
    <mergeCell ref="B7:C7"/>
    <mergeCell ref="B8:C8"/>
    <mergeCell ref="B9:C9"/>
    <mergeCell ref="CN3:CQ3"/>
    <mergeCell ref="CR3:CU3"/>
    <mergeCell ref="BP3:BS3"/>
    <mergeCell ref="BT3:BW3"/>
    <mergeCell ref="BX3:CA3"/>
    <mergeCell ref="CB3:CE3"/>
    <mergeCell ref="CF3:CI3"/>
    <mergeCell ref="CJ3:CM3"/>
    <mergeCell ref="AR3:AU3"/>
    <mergeCell ref="AV3:AY3"/>
    <mergeCell ref="AZ3:BC3"/>
    <mergeCell ref="BD3:BG3"/>
    <mergeCell ref="BH3:BK3"/>
    <mergeCell ref="BL3:BO3"/>
    <mergeCell ref="A1:C3"/>
    <mergeCell ref="H1:K1"/>
    <mergeCell ref="L1:O1"/>
    <mergeCell ref="B10:C10"/>
    <mergeCell ref="B11:C11"/>
    <mergeCell ref="B12:C12"/>
    <mergeCell ref="B13:C13"/>
    <mergeCell ref="B14:C14"/>
    <mergeCell ref="B15:C15"/>
    <mergeCell ref="CV3:CY3"/>
    <mergeCell ref="CZ3:DC3"/>
    <mergeCell ref="H3:K3"/>
    <mergeCell ref="L3:O3"/>
    <mergeCell ref="P3:S3"/>
    <mergeCell ref="T3:W3"/>
    <mergeCell ref="X3:AA3"/>
    <mergeCell ref="AB3:AE3"/>
    <mergeCell ref="AF3:AI3"/>
    <mergeCell ref="AJ3:AM3"/>
    <mergeCell ref="AN3:AQ3"/>
    <mergeCell ref="H23:H26"/>
    <mergeCell ref="I23:I26"/>
    <mergeCell ref="J23:J26"/>
    <mergeCell ref="K23:K26"/>
    <mergeCell ref="L23:L26"/>
    <mergeCell ref="M23:M26"/>
    <mergeCell ref="B16:C16"/>
    <mergeCell ref="B18:C18"/>
    <mergeCell ref="B19:G19"/>
    <mergeCell ref="B20:G20"/>
    <mergeCell ref="B21:G21"/>
    <mergeCell ref="D23:D26"/>
    <mergeCell ref="E23:E26"/>
    <mergeCell ref="F23:F26"/>
    <mergeCell ref="G23:G26"/>
    <mergeCell ref="B17:C17"/>
    <mergeCell ref="T23:T26"/>
    <mergeCell ref="U23:U26"/>
    <mergeCell ref="V23:V26"/>
    <mergeCell ref="W23:W26"/>
    <mergeCell ref="X23:X26"/>
    <mergeCell ref="Y23:Y26"/>
    <mergeCell ref="N23:N26"/>
    <mergeCell ref="O23:O26"/>
    <mergeCell ref="P23:P26"/>
    <mergeCell ref="Q23:Q26"/>
    <mergeCell ref="R23:R26"/>
    <mergeCell ref="S23:S26"/>
    <mergeCell ref="AF23:AF26"/>
    <mergeCell ref="AG23:AG26"/>
    <mergeCell ref="AH23:AH26"/>
    <mergeCell ref="AI23:AI26"/>
    <mergeCell ref="AJ23:AJ26"/>
    <mergeCell ref="AK23:AK26"/>
    <mergeCell ref="Z23:Z26"/>
    <mergeCell ref="AA23:AA26"/>
    <mergeCell ref="AB23:AB26"/>
    <mergeCell ref="AC23:AC26"/>
    <mergeCell ref="AD23:AD26"/>
    <mergeCell ref="AE23:AE26"/>
    <mergeCell ref="AR23:AR26"/>
    <mergeCell ref="AS23:AS26"/>
    <mergeCell ref="AT23:AT26"/>
    <mergeCell ref="AU23:AU26"/>
    <mergeCell ref="AV23:AV26"/>
    <mergeCell ref="AW23:AW26"/>
    <mergeCell ref="AL23:AL26"/>
    <mergeCell ref="AM23:AM26"/>
    <mergeCell ref="AN23:AN26"/>
    <mergeCell ref="AO23:AO26"/>
    <mergeCell ref="AP23:AP26"/>
    <mergeCell ref="AQ23:AQ26"/>
    <mergeCell ref="BD23:BD26"/>
    <mergeCell ref="BE23:BE26"/>
    <mergeCell ref="BF23:BF26"/>
    <mergeCell ref="BG23:BG26"/>
    <mergeCell ref="BH23:BH26"/>
    <mergeCell ref="BI23:BI26"/>
    <mergeCell ref="AX23:AX26"/>
    <mergeCell ref="AY23:AY26"/>
    <mergeCell ref="AZ23:AZ26"/>
    <mergeCell ref="BA23:BA26"/>
    <mergeCell ref="BB23:BB26"/>
    <mergeCell ref="BC23:BC26"/>
    <mergeCell ref="BP23:BP26"/>
    <mergeCell ref="BQ23:BQ26"/>
    <mergeCell ref="BR23:BR26"/>
    <mergeCell ref="BS23:BS26"/>
    <mergeCell ref="BT23:BT26"/>
    <mergeCell ref="BU23:BU26"/>
    <mergeCell ref="BJ23:BJ26"/>
    <mergeCell ref="BK23:BK26"/>
    <mergeCell ref="BL23:BL26"/>
    <mergeCell ref="BM23:BM26"/>
    <mergeCell ref="BN23:BN26"/>
    <mergeCell ref="BO23:BO26"/>
    <mergeCell ref="CB23:CB26"/>
    <mergeCell ref="CC23:CC26"/>
    <mergeCell ref="CD23:CD26"/>
    <mergeCell ref="CE23:CE26"/>
    <mergeCell ref="CF23:CF26"/>
    <mergeCell ref="CG23:CG26"/>
    <mergeCell ref="BV23:BV26"/>
    <mergeCell ref="BW23:BW26"/>
    <mergeCell ref="BX23:BX26"/>
    <mergeCell ref="BY23:BY26"/>
    <mergeCell ref="BZ23:BZ26"/>
    <mergeCell ref="CA23:CA26"/>
    <mergeCell ref="CN23:CN26"/>
    <mergeCell ref="CO23:CO26"/>
    <mergeCell ref="CP23:CP26"/>
    <mergeCell ref="CQ23:CQ26"/>
    <mergeCell ref="CR23:CR26"/>
    <mergeCell ref="CS23:CS26"/>
    <mergeCell ref="CH23:CH26"/>
    <mergeCell ref="CI23:CI26"/>
    <mergeCell ref="CJ23:CJ26"/>
    <mergeCell ref="CK23:CK26"/>
    <mergeCell ref="CL23:CL26"/>
    <mergeCell ref="CM23:CM26"/>
    <mergeCell ref="CZ23:CZ26"/>
    <mergeCell ref="DA23:DA26"/>
    <mergeCell ref="DB23:DB26"/>
    <mergeCell ref="DC23:DC26"/>
    <mergeCell ref="CT23:CT26"/>
    <mergeCell ref="CU23:CU26"/>
    <mergeCell ref="CV23:CV26"/>
    <mergeCell ref="CW23:CW26"/>
    <mergeCell ref="CX23:CX26"/>
    <mergeCell ref="CY23:CY26"/>
    <mergeCell ref="CN2:CQ2"/>
    <mergeCell ref="CR2:CU2"/>
    <mergeCell ref="CV2:CY2"/>
    <mergeCell ref="D2:G2"/>
    <mergeCell ref="BH2:BK2"/>
    <mergeCell ref="BL2:BO2"/>
    <mergeCell ref="BP2:BS2"/>
    <mergeCell ref="BT2:BW2"/>
    <mergeCell ref="BX2:CA2"/>
    <mergeCell ref="CB2:CE2"/>
    <mergeCell ref="CF2:CI2"/>
    <mergeCell ref="CJ2:CM2"/>
    <mergeCell ref="AR2:AU2"/>
    <mergeCell ref="AV2:AY2"/>
    <mergeCell ref="AZ2:BC2"/>
    <mergeCell ref="BD2:BG2"/>
  </mergeCells>
  <hyperlinks>
    <hyperlink ref="A1:C3" location="Equipos!A1" display="Equipos!A1" xr:uid="{00000000-0004-0000-0C00-000000000000}"/>
    <hyperlink ref="A4:A18" location="Jugadores!A1" display="Jugador" xr:uid="{43FB38A6-1191-4C77-BBC2-E2D9D2DA4395}"/>
  </hyperlinks>
  <pageMargins left="0.7" right="0.7" top="0.75" bottom="0.75" header="0.3" footer="0.3"/>
  <pageSetup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C27"/>
  <sheetViews>
    <sheetView tabSelected="1" zoomScale="90" zoomScaleNormal="90" zoomScaleSheetLayoutView="90" workbookViewId="0">
      <pane xSplit="7" ySplit="3" topLeftCell="H4" activePane="bottomRight" state="frozen"/>
      <selection pane="topRight" activeCell="H1" sqref="H1"/>
      <selection pane="bottomLeft" activeCell="A3" sqref="A3"/>
      <selection pane="bottomRight" activeCell="CM14" sqref="CM14"/>
    </sheetView>
  </sheetViews>
  <sheetFormatPr baseColWidth="10" defaultColWidth="11.42578125" defaultRowHeight="15" x14ac:dyDescent="0.25"/>
  <cols>
    <col min="1" max="1" width="4.85546875" customWidth="1"/>
    <col min="2" max="2" width="9.42578125" customWidth="1"/>
    <col min="3" max="3" width="11.5703125" style="3" customWidth="1"/>
    <col min="4" max="7" width="4.28515625" style="3" customWidth="1"/>
    <col min="8" max="8" width="3.42578125" style="3" customWidth="1"/>
    <col min="9" max="11" width="2.7109375" style="3" customWidth="1"/>
    <col min="12" max="12" width="2.5703125" style="3" customWidth="1"/>
    <col min="13" max="107" width="2.7109375" style="3" customWidth="1"/>
    <col min="108" max="16384" width="11.42578125" style="3"/>
  </cols>
  <sheetData>
    <row r="1" spans="1:107" ht="13.9" customHeight="1" x14ac:dyDescent="0.25">
      <c r="A1" s="171" t="str">
        <f>Equipos!B6</f>
        <v>Konami</v>
      </c>
      <c r="B1" s="171"/>
      <c r="C1" s="171"/>
      <c r="H1" s="172" t="s">
        <v>5</v>
      </c>
      <c r="I1" s="173"/>
      <c r="J1" s="173"/>
      <c r="K1" s="174"/>
      <c r="L1" s="228" t="s">
        <v>6</v>
      </c>
      <c r="M1" s="229"/>
      <c r="N1" s="229"/>
      <c r="O1" s="230"/>
      <c r="P1" s="228" t="s">
        <v>7</v>
      </c>
      <c r="Q1" s="229"/>
      <c r="R1" s="229"/>
      <c r="S1" s="230"/>
      <c r="T1" s="228" t="s">
        <v>8</v>
      </c>
      <c r="U1" s="229"/>
      <c r="V1" s="229"/>
      <c r="W1" s="230"/>
      <c r="X1" s="228" t="s">
        <v>9</v>
      </c>
      <c r="Y1" s="229"/>
      <c r="Z1" s="229"/>
      <c r="AA1" s="230"/>
      <c r="AB1" s="228" t="s">
        <v>10</v>
      </c>
      <c r="AC1" s="229"/>
      <c r="AD1" s="229"/>
      <c r="AE1" s="230"/>
      <c r="AF1" s="228" t="s">
        <v>11</v>
      </c>
      <c r="AG1" s="229"/>
      <c r="AH1" s="229"/>
      <c r="AI1" s="230"/>
      <c r="AJ1" s="228" t="s">
        <v>12</v>
      </c>
      <c r="AK1" s="229"/>
      <c r="AL1" s="229"/>
      <c r="AM1" s="230"/>
      <c r="AN1" s="228" t="s">
        <v>13</v>
      </c>
      <c r="AO1" s="229"/>
      <c r="AP1" s="229"/>
      <c r="AQ1" s="230"/>
      <c r="AR1" s="228" t="s">
        <v>14</v>
      </c>
      <c r="AS1" s="229"/>
      <c r="AT1" s="229"/>
      <c r="AU1" s="230"/>
      <c r="AV1" s="228" t="s">
        <v>15</v>
      </c>
      <c r="AW1" s="229"/>
      <c r="AX1" s="229"/>
      <c r="AY1" s="230"/>
      <c r="AZ1" s="228" t="s">
        <v>16</v>
      </c>
      <c r="BA1" s="229"/>
      <c r="BB1" s="229"/>
      <c r="BC1" s="230"/>
      <c r="BD1" s="228" t="s">
        <v>17</v>
      </c>
      <c r="BE1" s="229"/>
      <c r="BF1" s="229"/>
      <c r="BG1" s="230"/>
      <c r="BH1" s="228" t="s">
        <v>18</v>
      </c>
      <c r="BI1" s="229"/>
      <c r="BJ1" s="229"/>
      <c r="BK1" s="230"/>
      <c r="BL1" s="228" t="s">
        <v>19</v>
      </c>
      <c r="BM1" s="229"/>
      <c r="BN1" s="229"/>
      <c r="BO1" s="230"/>
      <c r="BP1" s="228" t="s">
        <v>20</v>
      </c>
      <c r="BQ1" s="229"/>
      <c r="BR1" s="229"/>
      <c r="BS1" s="230"/>
      <c r="BT1" s="172" t="s">
        <v>51</v>
      </c>
      <c r="BU1" s="173"/>
      <c r="BV1" s="173"/>
      <c r="BW1" s="174"/>
      <c r="BX1" s="228" t="s">
        <v>81</v>
      </c>
      <c r="BY1" s="229"/>
      <c r="BZ1" s="229"/>
      <c r="CA1" s="230"/>
      <c r="CB1" s="228" t="s">
        <v>83</v>
      </c>
      <c r="CC1" s="229"/>
      <c r="CD1" s="229"/>
      <c r="CE1" s="230"/>
      <c r="CF1" s="228" t="s">
        <v>84</v>
      </c>
      <c r="CG1" s="229"/>
      <c r="CH1" s="229"/>
      <c r="CI1" s="230"/>
      <c r="CJ1" s="172" t="s">
        <v>85</v>
      </c>
      <c r="CK1" s="173"/>
      <c r="CL1" s="173"/>
      <c r="CM1" s="174"/>
      <c r="CN1" s="228" t="s">
        <v>93</v>
      </c>
      <c r="CO1" s="229"/>
      <c r="CP1" s="229"/>
      <c r="CQ1" s="230"/>
      <c r="CR1" s="228" t="s">
        <v>94</v>
      </c>
      <c r="CS1" s="229"/>
      <c r="CT1" s="229"/>
      <c r="CU1" s="230"/>
      <c r="CV1" s="228" t="s">
        <v>95</v>
      </c>
      <c r="CW1" s="229"/>
      <c r="CX1" s="229"/>
      <c r="CY1" s="230"/>
      <c r="CZ1" s="172" t="s">
        <v>96</v>
      </c>
      <c r="DA1" s="173"/>
      <c r="DB1" s="173"/>
      <c r="DC1" s="174"/>
    </row>
    <row r="2" spans="1:107" ht="13.9" customHeight="1" x14ac:dyDescent="0.25">
      <c r="A2" s="171"/>
      <c r="B2" s="171"/>
      <c r="C2" s="171"/>
      <c r="D2" s="143" t="s">
        <v>272</v>
      </c>
      <c r="E2" s="143"/>
      <c r="F2" s="143"/>
      <c r="G2" s="144"/>
      <c r="H2" s="140" t="str">
        <f>+_xlfn.XLOOKUP($A$1,Fixture!$D$2:$D$9,Fixture!$F$2:$F$9,_xlfn.XLOOKUP($A$1,Fixture!$F$2:$F$9,Fixture!$D$2:$D$9,"Descansa",FALSE))</f>
        <v>CD El Corozo</v>
      </c>
      <c r="I2" s="141"/>
      <c r="J2" s="141"/>
      <c r="K2" s="142"/>
      <c r="L2" s="140" t="str">
        <f>+_xlfn.XLOOKUP($A$1,Fixture!$D$10:$D$17,Fixture!$F$10:$F$17,_xlfn.XLOOKUP($A$1,Fixture!$F$10:$F$17,Fixture!$D$10:$D$17,"Descansa",FALSE))</f>
        <v>Atalanta</v>
      </c>
      <c r="M2" s="141"/>
      <c r="N2" s="141"/>
      <c r="O2" s="142"/>
      <c r="P2" s="175" t="str">
        <f>+_xlfn.XLOOKUP($A$1,Fixture!$D$18:$D$25,Fixture!$F$18:$F$25,_xlfn.XLOOKUP($A$1,Fixture!$F$18:$F$25,Fixture!$D$18:$D$25,"Descansa",FALSE))</f>
        <v>Rayos FC</v>
      </c>
      <c r="Q2" s="176"/>
      <c r="R2" s="176"/>
      <c r="S2" s="177"/>
      <c r="T2" s="140" t="str">
        <f>+_xlfn.XLOOKUP($A$1,Fixture!$D$26:$D$33,Fixture!$F$26:$F$33,_xlfn.XLOOKUP($A$1,Fixture!$F$26:$F$33,Fixture!$D$26:$D$33,"Descansa",FALSE))</f>
        <v>La Nueva Era</v>
      </c>
      <c r="U2" s="141"/>
      <c r="V2" s="141"/>
      <c r="W2" s="142"/>
      <c r="X2" s="140" t="str">
        <f>+_xlfn.XLOOKUP($A$1,Fixture!$D$34:$D$41,Fixture!$F$34:$F$41,_xlfn.XLOOKUP($A$1,Fixture!$F$34:$F$41,Fixture!$D$34:$D$41,"Descansa",FALSE))</f>
        <v>La Amistad</v>
      </c>
      <c r="Y2" s="141"/>
      <c r="Z2" s="141"/>
      <c r="AA2" s="142"/>
      <c r="AB2" s="140" t="str">
        <f>+_xlfn.XLOOKUP($A$1,Fixture!$D$42:$D$49,Fixture!$F$42:$F$49,_xlfn.XLOOKUP($A$1,Fixture!$F$42:$F$49,Fixture!$D$42:$D$49,"Descansa",FALSE))</f>
        <v>Valentín FC</v>
      </c>
      <c r="AC2" s="141"/>
      <c r="AD2" s="141"/>
      <c r="AE2" s="142"/>
      <c r="AF2" s="140" t="str">
        <f>+_xlfn.XLOOKUP($A$1,Fixture!$D$50:$D$57,Fixture!$F$50:$F$57,_xlfn.XLOOKUP($A$1,Fixture!$F$50:$F$57,Fixture!$D$50:$D$57,"Descansa",FALSE))</f>
        <v>Villanueva</v>
      </c>
      <c r="AG2" s="141"/>
      <c r="AH2" s="141"/>
      <c r="AI2" s="142"/>
      <c r="AJ2" s="140" t="str">
        <f>+_xlfn.XLOOKUP($A$1,Fixture!$D$58:$D$65,Fixture!$F$58:$F$65,_xlfn.XLOOKUP($A$1,Fixture!$F$58:$F$65,Fixture!$D$58:$D$65,"Descansa",FALSE))</f>
        <v>Ron Star</v>
      </c>
      <c r="AK2" s="141"/>
      <c r="AL2" s="141"/>
      <c r="AM2" s="142"/>
      <c r="AN2" s="140" t="str">
        <f>+_xlfn.XLOOKUP($A$1,Fixture!$D$66:$D$73,Fixture!$F$66:$F$73,_xlfn.XLOOKUP($A$1,Fixture!$F$66:$F$73,Fixture!$D$66:$D$73,"Descansa",FALSE))</f>
        <v>Amenadim</v>
      </c>
      <c r="AO2" s="141"/>
      <c r="AP2" s="141"/>
      <c r="AQ2" s="142"/>
      <c r="AR2" s="140" t="str">
        <f>+_xlfn.XLOOKUP($A$1,Fixture!$D$74:$D$81,Fixture!$F$74:$F$81,_xlfn.XLOOKUP($A$1,Fixture!$F$74:$F$81,Fixture!$D$74:$D$81,"Descansa",FALSE))</f>
        <v>Hojas Anchas</v>
      </c>
      <c r="AS2" s="141"/>
      <c r="AT2" s="141"/>
      <c r="AU2" s="142"/>
      <c r="AV2" s="140" t="str">
        <f>+_xlfn.XLOOKUP($A$1,Fixture!$D$82:$D$89,Fixture!$F$82:$F$89,_xlfn.XLOOKUP($A$1,Fixture!$F$82:$F$89,Fixture!$D$82:$D$89,"Descansa",FALSE))</f>
        <v>Los Aliados</v>
      </c>
      <c r="AW2" s="141"/>
      <c r="AX2" s="141"/>
      <c r="AY2" s="142"/>
      <c r="AZ2" s="140" t="str">
        <f>+_xlfn.XLOOKUP($A$1,Fixture!$D$90:$D$97,Fixture!$F$90:$F$97,_xlfn.XLOOKUP($A$1,Fixture!$F$90:$F$97,Fixture!$D$90:$D$97,"Descansa",FALSE))</f>
        <v>Boca Juniors</v>
      </c>
      <c r="BA2" s="141"/>
      <c r="BB2" s="141"/>
      <c r="BC2" s="142"/>
      <c r="BD2" s="140" t="str">
        <f>+_xlfn.XLOOKUP($A$1,Fixture!$D$98:$D$105,Fixture!$F$98:$F$105,_xlfn.XLOOKUP($A$1,Fixture!$F$98:$F$105,Fixture!$D$98:$D$105,"Descansa",FALSE))</f>
        <v>Deportivo Fénix</v>
      </c>
      <c r="BE2" s="141"/>
      <c r="BF2" s="141"/>
      <c r="BG2" s="142"/>
      <c r="BH2" s="140" t="str">
        <f>+_xlfn.XLOOKUP($A$1,Fixture!$D$106:$D$113,Fixture!$F$106:$F$113,_xlfn.XLOOKUP($A$1,Fixture!$F$106:$F$113,Fixture!$D$106:$D$113,"Descansa",FALSE))</f>
        <v>Los Amigos</v>
      </c>
      <c r="BI2" s="141"/>
      <c r="BJ2" s="141"/>
      <c r="BK2" s="142"/>
      <c r="BL2" s="140" t="str">
        <f>+_xlfn.XLOOKUP($A$1,Fixture!$D$114:$D$121,Fixture!$F$114:$F$121,_xlfn.XLOOKUP($A$1,Fixture!$F$114:$F$121,Fixture!$D$114:$D$121,"Descansa",FALSE))</f>
        <v>La Unión FC</v>
      </c>
      <c r="BM2" s="141"/>
      <c r="BN2" s="141"/>
      <c r="BO2" s="142"/>
      <c r="BP2" s="140" t="str">
        <f>+_xlfn.XLOOKUP($A$1,Fixture!$D$122:$D$128,Fixture!$F$122:$F$128,_xlfn.XLOOKUP($A$1,Fixture!$F$122:$F$128,Fixture!$D$122:$D$128,"Descansa",FALSE))</f>
        <v>Villanueva</v>
      </c>
      <c r="BQ2" s="141"/>
      <c r="BR2" s="141"/>
      <c r="BS2" s="142"/>
      <c r="BT2" s="140" t="str">
        <f>+_xlfn.XLOOKUP($A$1,Fixture!$D$129:$D$135,Fixture!$F$129:$F$135,_xlfn.XLOOKUP($A$1,Fixture!$F$129:$F$135,Fixture!$D$129:$D$135,"Descansa",FALSE))</f>
        <v>Descansa</v>
      </c>
      <c r="BU2" s="141"/>
      <c r="BV2" s="141"/>
      <c r="BW2" s="142"/>
      <c r="BX2" s="140" t="str">
        <f>+_xlfn.XLOOKUP($A$1,Fixture!$D$136:$D$141,Fixture!$F$136:$F$141,_xlfn.XLOOKUP($A$1,Fixture!$F$136:$F$141,Fixture!$D$136:$D$141,"Descansa",FALSE))</f>
        <v>La Nueva Era</v>
      </c>
      <c r="BY2" s="141"/>
      <c r="BZ2" s="141"/>
      <c r="CA2" s="142"/>
      <c r="CB2" s="225" t="str">
        <f>+_xlfn.XLOOKUP($A$1,Fixture!$D$142:$D$149,Fixture!$F$142:$F$149,_xlfn.XLOOKUP($A$1,Fixture!$F$142:$F$149,Fixture!$D$142:$D$149,"Descansa",FALSE))</f>
        <v>Amenadim</v>
      </c>
      <c r="CC2" s="226"/>
      <c r="CD2" s="226"/>
      <c r="CE2" s="227"/>
      <c r="CF2" s="140" t="str">
        <f>+_xlfn.XLOOKUP($A$1,Fixture!$D$150:$D$155,Fixture!$F$150:$F$155,_xlfn.XLOOKUP($A$1,Fixture!$F$150:$F$155,Fixture!$D$150:$D$155,"Descansa",FALSE))</f>
        <v>Deportivo Fénix</v>
      </c>
      <c r="CG2" s="141"/>
      <c r="CH2" s="141"/>
      <c r="CI2" s="142"/>
      <c r="CJ2" s="140" t="str">
        <f>+_xlfn.XLOOKUP($A$1,Fixture!$D$156:$D$161,Fixture!$F$156:$F$161,_xlfn.XLOOKUP($A$1,Fixture!$F$156:$F$161,Fixture!$D$156:$D$161,"Descansa",FALSE))</f>
        <v>Descansa</v>
      </c>
      <c r="CK2" s="141"/>
      <c r="CL2" s="141"/>
      <c r="CM2" s="142"/>
      <c r="CN2" s="225" t="str">
        <f>+_xlfn.XLOOKUP($A$1,Fixture!$D$162:$D$167,Fixture!$F$162:$F$167,_xlfn.XLOOKUP($A$1,Fixture!$F$162:$F$167,Fixture!$D$162:$D$167,"Descansa",FALSE))</f>
        <v>La Amistad</v>
      </c>
      <c r="CO2" s="226"/>
      <c r="CP2" s="226"/>
      <c r="CQ2" s="227"/>
      <c r="CR2" s="140" t="str">
        <f>+_xlfn.XLOOKUP($A$1,Fixture!$D$168:$D$169,Fixture!$F$168:$F$169,_xlfn.XLOOKUP($A$1,Fixture!$F$168:$F$169,Fixture!$D$168:$D$169,"Descanssa",FALSE))</f>
        <v>Descanssa</v>
      </c>
      <c r="CS2" s="141"/>
      <c r="CT2" s="141"/>
      <c r="CU2" s="142"/>
      <c r="CV2" s="140" t="str">
        <f>+_xlfn.XLOOKUP($A$1,Fixture!$D$170:$D$171,Fixture!$F$170:$F$171,_xlfn.XLOOKUP($A$1,Fixture!$F$170:$F$171,Fixture!$D$170:$D$171,"Descansa",FALSE))</f>
        <v>Descansa</v>
      </c>
      <c r="CW2" s="141"/>
      <c r="CX2" s="141"/>
      <c r="CY2" s="142"/>
      <c r="CZ2" s="184"/>
      <c r="DA2" s="185"/>
      <c r="DB2" s="185"/>
      <c r="DC2" s="186"/>
    </row>
    <row r="3" spans="1:107" ht="14.45" customHeight="1" x14ac:dyDescent="0.25">
      <c r="A3" s="171"/>
      <c r="B3" s="171"/>
      <c r="C3" s="171"/>
      <c r="D3" s="22" t="s">
        <v>89</v>
      </c>
      <c r="E3" s="22" t="s">
        <v>90</v>
      </c>
      <c r="F3" s="22" t="s">
        <v>91</v>
      </c>
      <c r="G3" s="24" t="s">
        <v>92</v>
      </c>
      <c r="H3" s="166">
        <f>IF(Fixture!$C5=0,"",Fixture!$C5)</f>
        <v>45676</v>
      </c>
      <c r="I3" s="167"/>
      <c r="J3" s="167"/>
      <c r="K3" s="168"/>
      <c r="L3" s="166">
        <f>IF(Fixture!$C15=0,"",Fixture!$C15)</f>
        <v>45683</v>
      </c>
      <c r="M3" s="167"/>
      <c r="N3" s="167"/>
      <c r="O3" s="168"/>
      <c r="P3" s="166">
        <f>IF(Fixture!$C20=0,"",Fixture!$C20)</f>
        <v>45690</v>
      </c>
      <c r="Q3" s="167"/>
      <c r="R3" s="167"/>
      <c r="S3" s="168"/>
      <c r="T3" s="166">
        <f>IF(Fixture!$C28=0,"",Fixture!$C28)</f>
        <v>45697</v>
      </c>
      <c r="U3" s="167"/>
      <c r="V3" s="167"/>
      <c r="W3" s="168"/>
      <c r="X3" s="166">
        <f>IF(Fixture!$C41=0,"",Fixture!$C41)</f>
        <v>45704</v>
      </c>
      <c r="Y3" s="167"/>
      <c r="Z3" s="167"/>
      <c r="AA3" s="168"/>
      <c r="AB3" s="166">
        <f>IF(Fixture!$C47=0,"",Fixture!$C47)</f>
        <v>45711</v>
      </c>
      <c r="AC3" s="167"/>
      <c r="AD3" s="167"/>
      <c r="AE3" s="168"/>
      <c r="AF3" s="166">
        <f>IF(Fixture!$C53=0,"",Fixture!$C53)</f>
        <v>45718</v>
      </c>
      <c r="AG3" s="167"/>
      <c r="AH3" s="167"/>
      <c r="AI3" s="168"/>
      <c r="AJ3" s="166">
        <f>IF(Fixture!$C63=0,"",Fixture!$C63)</f>
        <v>45725</v>
      </c>
      <c r="AK3" s="167"/>
      <c r="AL3" s="167"/>
      <c r="AM3" s="168"/>
      <c r="AN3" s="166">
        <f>IF(Fixture!$C70=0,"",Fixture!$C70)</f>
        <v>45809</v>
      </c>
      <c r="AO3" s="167"/>
      <c r="AP3" s="167"/>
      <c r="AQ3" s="168"/>
      <c r="AR3" s="166">
        <f>IF(Fixture!$C77=0,"",Fixture!$C77)</f>
        <v>45746</v>
      </c>
      <c r="AS3" s="167"/>
      <c r="AT3" s="167"/>
      <c r="AU3" s="168"/>
      <c r="AV3" s="166">
        <f>IF(Fixture!$C85=0,"",Fixture!$C85)</f>
        <v>45753</v>
      </c>
      <c r="AW3" s="167"/>
      <c r="AX3" s="167"/>
      <c r="AY3" s="168"/>
      <c r="AZ3" s="166">
        <f>IF(Fixture!$C92=0,"",Fixture!$C92)</f>
        <v>45774</v>
      </c>
      <c r="BA3" s="167"/>
      <c r="BB3" s="167"/>
      <c r="BC3" s="168"/>
      <c r="BD3" s="166">
        <f>IF(Fixture!$C100=0,"",Fixture!$C100)</f>
        <v>45781</v>
      </c>
      <c r="BE3" s="167"/>
      <c r="BF3" s="167"/>
      <c r="BG3" s="168"/>
      <c r="BH3" s="166" t="e">
        <f>+VLOOKUP(BH1,Resultados!$A$3:$B$71,2,FALSE)</f>
        <v>#N/A</v>
      </c>
      <c r="BI3" s="167"/>
      <c r="BJ3" s="167"/>
      <c r="BK3" s="168"/>
      <c r="BL3" s="166" t="e">
        <f>+VLOOKUP(BL1,Resultados!$A$3:$B$71,2,FALSE)</f>
        <v>#N/A</v>
      </c>
      <c r="BM3" s="167"/>
      <c r="BN3" s="167"/>
      <c r="BO3" s="168"/>
      <c r="BP3" s="163" t="e">
        <f>+VLOOKUP(BP1,Resultados!$A$3:$B$71,2,FALSE)</f>
        <v>#N/A</v>
      </c>
      <c r="BQ3" s="164"/>
      <c r="BR3" s="164"/>
      <c r="BS3" s="165"/>
      <c r="BT3" s="163" t="e">
        <f>+VLOOKUP(BT1,Resultados!$A$3:$B$71,2,FALSE)</f>
        <v>#N/A</v>
      </c>
      <c r="BU3" s="164"/>
      <c r="BV3" s="164"/>
      <c r="BW3" s="165"/>
      <c r="BX3" s="163" t="e">
        <f>+VLOOKUP(BX1,Resultados!$A$3:$B$71,2,FALSE)</f>
        <v>#N/A</v>
      </c>
      <c r="BY3" s="164"/>
      <c r="BZ3" s="164"/>
      <c r="CA3" s="165"/>
      <c r="CB3" s="163" t="e">
        <f>+VLOOKUP(CB1,Resultados!$A$3:$B$71,2,FALSE)</f>
        <v>#N/A</v>
      </c>
      <c r="CC3" s="164"/>
      <c r="CD3" s="164"/>
      <c r="CE3" s="165"/>
      <c r="CF3" s="163" t="e">
        <f>+VLOOKUP(CF1,Resultados!$A$3:$B$71,2,FALSE)</f>
        <v>#N/A</v>
      </c>
      <c r="CG3" s="164"/>
      <c r="CH3" s="164"/>
      <c r="CI3" s="165"/>
      <c r="CJ3" s="163" t="e">
        <f>+VLOOKUP(CJ1,Resultados!$A$3:$B$71,2,FALSE)</f>
        <v>#N/A</v>
      </c>
      <c r="CK3" s="164"/>
      <c r="CL3" s="164"/>
      <c r="CM3" s="165"/>
      <c r="CN3" s="163" t="e">
        <f>+VLOOKUP(CN1,Resultados!$A$3:$B$71,2,FALSE)</f>
        <v>#N/A</v>
      </c>
      <c r="CO3" s="164"/>
      <c r="CP3" s="164"/>
      <c r="CQ3" s="165"/>
      <c r="CR3" s="163" t="e">
        <f>+VLOOKUP(CR1,Resultados!$A$3:$B$71,2,FALSE)</f>
        <v>#N/A</v>
      </c>
      <c r="CS3" s="164"/>
      <c r="CT3" s="164"/>
      <c r="CU3" s="165"/>
      <c r="CV3" s="163" t="e">
        <f>+VLOOKUP(CV1,Resultados!$A$3:$B$71,2,FALSE)</f>
        <v>#N/A</v>
      </c>
      <c r="CW3" s="164"/>
      <c r="CX3" s="164"/>
      <c r="CY3" s="165"/>
      <c r="CZ3" s="163" t="e">
        <f>+VLOOKUP(CZ1,Resultados!$A$3:$B$71,2,FALSE)</f>
        <v>#N/A</v>
      </c>
      <c r="DA3" s="164"/>
      <c r="DB3" s="164"/>
      <c r="DC3" s="165"/>
    </row>
    <row r="4" spans="1:107" ht="19.899999999999999" customHeight="1" x14ac:dyDescent="0.25">
      <c r="A4" s="187" t="s">
        <v>3</v>
      </c>
      <c r="B4" s="154" t="str">
        <f>Jugadores!D3</f>
        <v>Santiago Lopera</v>
      </c>
      <c r="C4" s="155"/>
      <c r="D4" s="24">
        <f>H4+L4+P4+T4+X4+AB4+AF4+AJ4+AN4+AR4+AV4+AZ4+BD4+BH4+BL4+BP4+BT4+BX4+CB4+CF4+CJ4+CN4+CR4+CV4+CZ4</f>
        <v>25</v>
      </c>
      <c r="E4" s="24">
        <f>I4+M4+Q4+U4+Y4+AC4+AG4+AK4+AO4+AS4+AW4+BA4+BE4+BI4+BM4+BQ4+BU4+BY4+CC4+CG4+CK4+CO4+CS4+CW4+DA4</f>
        <v>0</v>
      </c>
      <c r="F4" s="115">
        <f>J4+N4+R4+V4+Z4+AD4+AH4+AL4+AP4+AT4+AX4+BB4+BF4+BJ4+BN4+BR4+BV4+BZ4+CD4+CH4+CL4+CP4+CT4+CX4</f>
        <v>0</v>
      </c>
      <c r="G4" s="115">
        <f>K4+O4+S4+W4+AA4+AE4+AI4+AM4+AQ4+AU4+AY4+BC4+BG4+BK4+BO4+BS4+BW4+CA4+CE4+CI4+CM4+CQ4+CU4+CY4</f>
        <v>0</v>
      </c>
      <c r="H4" s="28">
        <v>1</v>
      </c>
      <c r="I4" s="26"/>
      <c r="J4" s="26"/>
      <c r="K4" s="29"/>
      <c r="L4" s="28">
        <v>1</v>
      </c>
      <c r="M4" s="26"/>
      <c r="N4" s="26"/>
      <c r="O4" s="29"/>
      <c r="P4" s="28">
        <v>4</v>
      </c>
      <c r="Q4" s="26"/>
      <c r="R4" s="26"/>
      <c r="S4" s="29"/>
      <c r="T4" s="28">
        <v>4</v>
      </c>
      <c r="U4" s="26"/>
      <c r="V4" s="26"/>
      <c r="W4" s="29"/>
      <c r="X4" s="28"/>
      <c r="Y4" s="26"/>
      <c r="Z4" s="26"/>
      <c r="AA4" s="29"/>
      <c r="AB4" s="28"/>
      <c r="AC4" s="26"/>
      <c r="AD4" s="26"/>
      <c r="AE4" s="29"/>
      <c r="AF4" s="28">
        <v>1</v>
      </c>
      <c r="AG4" s="26"/>
      <c r="AH4" s="26"/>
      <c r="AI4" s="29"/>
      <c r="AJ4" s="28">
        <v>3</v>
      </c>
      <c r="AK4" s="26"/>
      <c r="AL4" s="26"/>
      <c r="AM4" s="29"/>
      <c r="AN4" s="28">
        <v>1</v>
      </c>
      <c r="AO4" s="26"/>
      <c r="AP4" s="26"/>
      <c r="AQ4" s="29"/>
      <c r="AR4" s="28"/>
      <c r="AS4" s="26"/>
      <c r="AT4" s="26"/>
      <c r="AU4" s="29"/>
      <c r="AV4" s="28"/>
      <c r="AW4" s="26"/>
      <c r="AX4" s="26"/>
      <c r="AY4" s="29"/>
      <c r="AZ4" s="28">
        <v>3</v>
      </c>
      <c r="BA4" s="26"/>
      <c r="BB4" s="26"/>
      <c r="BC4" s="29"/>
      <c r="BD4" s="28">
        <v>3</v>
      </c>
      <c r="BE4" s="26"/>
      <c r="BF4" s="26"/>
      <c r="BG4" s="29"/>
      <c r="BH4" s="28">
        <v>2</v>
      </c>
      <c r="BI4" s="26"/>
      <c r="BJ4" s="26"/>
      <c r="BK4" s="29"/>
      <c r="BL4" s="28"/>
      <c r="BM4" s="26"/>
      <c r="BN4" s="26"/>
      <c r="BO4" s="29"/>
      <c r="BP4" s="28"/>
      <c r="BQ4" s="26"/>
      <c r="BR4" s="26"/>
      <c r="BS4" s="29"/>
      <c r="BT4" s="28"/>
      <c r="BU4" s="26"/>
      <c r="BV4" s="26"/>
      <c r="BW4" s="29"/>
      <c r="BX4" s="28"/>
      <c r="BY4" s="26"/>
      <c r="BZ4" s="26"/>
      <c r="CA4" s="29"/>
      <c r="CB4" s="28"/>
      <c r="CC4" s="26"/>
      <c r="CD4" s="26"/>
      <c r="CE4" s="29"/>
      <c r="CF4" s="28">
        <v>1</v>
      </c>
      <c r="CG4" s="26"/>
      <c r="CH4" s="26"/>
      <c r="CI4" s="29"/>
      <c r="CJ4" s="28"/>
      <c r="CK4" s="26"/>
      <c r="CL4" s="26"/>
      <c r="CM4" s="29"/>
      <c r="CN4" s="28"/>
      <c r="CO4" s="26"/>
      <c r="CP4" s="26"/>
      <c r="CQ4" s="29"/>
      <c r="CR4" s="28">
        <v>1</v>
      </c>
      <c r="CS4" s="26"/>
      <c r="CT4" s="26"/>
      <c r="CU4" s="29"/>
      <c r="CV4" s="28"/>
      <c r="CW4" s="26"/>
      <c r="CX4" s="26"/>
      <c r="CY4" s="29"/>
      <c r="CZ4" s="28"/>
      <c r="DA4" s="26"/>
      <c r="DB4" s="26"/>
      <c r="DC4" s="29"/>
    </row>
    <row r="5" spans="1:107" ht="19.899999999999999" customHeight="1" x14ac:dyDescent="0.25">
      <c r="A5" s="187"/>
      <c r="B5" s="154" t="str">
        <f>Jugadores!D4</f>
        <v>Norbey Flórez</v>
      </c>
      <c r="C5" s="155"/>
      <c r="D5" s="24">
        <f t="shared" ref="D5:D18" si="0">H5+L5+P5+T5+X5+AB5+AF5+AJ5+AN5+AR5+AV5+AZ5+BD5+BH5+BL5+BP5+BT5+BX5+CB5+CF5+CJ5+CN5+CR5+CV5+CZ5</f>
        <v>8</v>
      </c>
      <c r="E5" s="24">
        <f t="shared" ref="E5:E18" si="1">I5+M5+Q5+U5+Y5+AC5+AG5+AK5+AO5+AS5+AW5+BA5+BE5+BI5+BM5+BQ5+BU5+BY5+CC5+CG5+CK5+CO5+CS5+CW5+DA5</f>
        <v>2</v>
      </c>
      <c r="F5" s="115">
        <f t="shared" ref="F5:F18" si="2">J5+N5+R5+V5+Z5+AD5+AH5+AL5+AP5+AT5+AX5+BB5+BF5+BJ5+BN5+BR5+BV5+BZ5+CD5+CH5+CL5+CP5+CT5+CX5</f>
        <v>0</v>
      </c>
      <c r="G5" s="115">
        <f t="shared" ref="G5:G18" si="3">K5+O5+S5+W5+AA5+AE5+AI5+AM5+AQ5+AU5+AY5+BC5+BG5+BK5+BO5+BS5+BW5+CA5+CE5+CI5+CM5+CQ5+CU5+CY5</f>
        <v>0</v>
      </c>
      <c r="H5" s="28"/>
      <c r="I5" s="26"/>
      <c r="J5" s="26"/>
      <c r="K5" s="29"/>
      <c r="L5" s="28">
        <v>1</v>
      </c>
      <c r="M5" s="26"/>
      <c r="N5" s="26"/>
      <c r="O5" s="106"/>
      <c r="P5" s="28">
        <v>3</v>
      </c>
      <c r="Q5" s="26"/>
      <c r="R5" s="26"/>
      <c r="S5" s="29"/>
      <c r="T5" s="28"/>
      <c r="U5" s="26"/>
      <c r="V5" s="26"/>
      <c r="W5" s="29"/>
      <c r="X5" s="28"/>
      <c r="Y5" s="26"/>
      <c r="Z5" s="26"/>
      <c r="AA5" s="29"/>
      <c r="AB5" s="28"/>
      <c r="AC5" s="26">
        <v>1</v>
      </c>
      <c r="AD5" s="26"/>
      <c r="AE5" s="29"/>
      <c r="AF5" s="28"/>
      <c r="AG5" s="26"/>
      <c r="AH5" s="26"/>
      <c r="AI5" s="29"/>
      <c r="AJ5" s="28"/>
      <c r="AK5" s="26"/>
      <c r="AL5" s="26"/>
      <c r="AM5" s="29"/>
      <c r="AN5" s="28"/>
      <c r="AO5" s="26"/>
      <c r="AP5" s="26"/>
      <c r="AQ5" s="29"/>
      <c r="AR5" s="28"/>
      <c r="AS5" s="26"/>
      <c r="AT5" s="26"/>
      <c r="AU5" s="29"/>
      <c r="AV5" s="28"/>
      <c r="AW5" s="26"/>
      <c r="AX5" s="26"/>
      <c r="AY5" s="29"/>
      <c r="AZ5" s="28"/>
      <c r="BA5" s="26"/>
      <c r="BB5" s="26"/>
      <c r="BC5" s="29"/>
      <c r="BD5" s="28">
        <v>1</v>
      </c>
      <c r="BE5" s="26"/>
      <c r="BF5" s="26"/>
      <c r="BG5" s="29"/>
      <c r="BH5" s="28">
        <v>1</v>
      </c>
      <c r="BI5" s="26">
        <v>1</v>
      </c>
      <c r="BJ5" s="26"/>
      <c r="BK5" s="29"/>
      <c r="BL5" s="28"/>
      <c r="BM5" s="26"/>
      <c r="BN5" s="26"/>
      <c r="BO5" s="29"/>
      <c r="BP5" s="28"/>
      <c r="BQ5" s="26"/>
      <c r="BR5" s="26"/>
      <c r="BS5" s="29"/>
      <c r="BT5" s="28"/>
      <c r="BU5" s="26"/>
      <c r="BV5" s="26"/>
      <c r="BW5" s="29"/>
      <c r="BX5" s="28">
        <v>2</v>
      </c>
      <c r="BY5" s="26"/>
      <c r="BZ5" s="26"/>
      <c r="CA5" s="29"/>
      <c r="CB5" s="28"/>
      <c r="CC5" s="26"/>
      <c r="CD5" s="26"/>
      <c r="CE5" s="29"/>
      <c r="CF5" s="28"/>
      <c r="CG5" s="26"/>
      <c r="CH5" s="26"/>
      <c r="CI5" s="29"/>
      <c r="CJ5" s="28"/>
      <c r="CK5" s="26"/>
      <c r="CL5" s="26"/>
      <c r="CM5" s="29"/>
      <c r="CN5" s="28"/>
      <c r="CO5" s="26"/>
      <c r="CP5" s="26"/>
      <c r="CQ5" s="29"/>
      <c r="CR5" s="28"/>
      <c r="CS5" s="26"/>
      <c r="CT5" s="26"/>
      <c r="CU5" s="29"/>
      <c r="CV5" s="28"/>
      <c r="CW5" s="26"/>
      <c r="CX5" s="26"/>
      <c r="CY5" s="29"/>
      <c r="CZ5" s="28"/>
      <c r="DA5" s="26"/>
      <c r="DB5" s="26"/>
      <c r="DC5" s="29"/>
    </row>
    <row r="6" spans="1:107" ht="19.899999999999999" customHeight="1" x14ac:dyDescent="0.25">
      <c r="A6" s="187"/>
      <c r="B6" s="154" t="str">
        <f>Jugadores!D5</f>
        <v xml:space="preserve">Andrés Cifuentes </v>
      </c>
      <c r="C6" s="155"/>
      <c r="D6" s="24">
        <f t="shared" si="0"/>
        <v>1</v>
      </c>
      <c r="E6" s="24">
        <f t="shared" si="1"/>
        <v>0</v>
      </c>
      <c r="F6" s="115">
        <f t="shared" si="2"/>
        <v>0</v>
      </c>
      <c r="G6" s="115">
        <f t="shared" si="3"/>
        <v>0</v>
      </c>
      <c r="H6" s="28"/>
      <c r="I6" s="26"/>
      <c r="J6" s="26"/>
      <c r="K6" s="29"/>
      <c r="L6" s="28"/>
      <c r="M6" s="26"/>
      <c r="N6" s="26"/>
      <c r="O6" s="29"/>
      <c r="P6" s="28"/>
      <c r="Q6" s="26"/>
      <c r="R6" s="26"/>
      <c r="S6" s="29"/>
      <c r="T6" s="28"/>
      <c r="U6" s="26"/>
      <c r="V6" s="26"/>
      <c r="W6" s="29"/>
      <c r="X6" s="28"/>
      <c r="Y6" s="26"/>
      <c r="Z6" s="26"/>
      <c r="AA6" s="29"/>
      <c r="AB6" s="28"/>
      <c r="AC6" s="26"/>
      <c r="AD6" s="26"/>
      <c r="AE6" s="29"/>
      <c r="AF6" s="28"/>
      <c r="AG6" s="26"/>
      <c r="AH6" s="26"/>
      <c r="AI6" s="29"/>
      <c r="AJ6" s="28"/>
      <c r="AK6" s="26"/>
      <c r="AL6" s="26"/>
      <c r="AM6" s="29"/>
      <c r="AN6" s="28"/>
      <c r="AO6" s="26"/>
      <c r="AP6" s="26"/>
      <c r="AQ6" s="29"/>
      <c r="AR6" s="28"/>
      <c r="AS6" s="26"/>
      <c r="AT6" s="26"/>
      <c r="AU6" s="29"/>
      <c r="AV6" s="28">
        <v>1</v>
      </c>
      <c r="AW6" s="26"/>
      <c r="AX6" s="26"/>
      <c r="AY6" s="29"/>
      <c r="AZ6" s="28"/>
      <c r="BA6" s="26"/>
      <c r="BB6" s="26"/>
      <c r="BC6" s="29"/>
      <c r="BD6" s="28"/>
      <c r="BE6" s="26"/>
      <c r="BF6" s="26"/>
      <c r="BG6" s="29"/>
      <c r="BH6" s="28"/>
      <c r="BI6" s="26"/>
      <c r="BJ6" s="26"/>
      <c r="BK6" s="29"/>
      <c r="BL6" s="28"/>
      <c r="BM6" s="26"/>
      <c r="BN6" s="26"/>
      <c r="BO6" s="29"/>
      <c r="BP6" s="28"/>
      <c r="BQ6" s="26"/>
      <c r="BR6" s="26"/>
      <c r="BS6" s="29"/>
      <c r="BT6" s="28"/>
      <c r="BU6" s="26"/>
      <c r="BV6" s="26"/>
      <c r="BW6" s="29"/>
      <c r="BX6" s="28"/>
      <c r="BY6" s="26"/>
      <c r="BZ6" s="26"/>
      <c r="CA6" s="29"/>
      <c r="CB6" s="28"/>
      <c r="CC6" s="26"/>
      <c r="CD6" s="26"/>
      <c r="CE6" s="29"/>
      <c r="CF6" s="28"/>
      <c r="CG6" s="26"/>
      <c r="CH6" s="26"/>
      <c r="CI6" s="29"/>
      <c r="CJ6" s="28"/>
      <c r="CK6" s="26"/>
      <c r="CL6" s="26"/>
      <c r="CM6" s="29"/>
      <c r="CN6" s="28"/>
      <c r="CO6" s="26"/>
      <c r="CP6" s="26"/>
      <c r="CQ6" s="29"/>
      <c r="CR6" s="28"/>
      <c r="CS6" s="26"/>
      <c r="CT6" s="26"/>
      <c r="CU6" s="29"/>
      <c r="CV6" s="28"/>
      <c r="CW6" s="26"/>
      <c r="CX6" s="26"/>
      <c r="CY6" s="29"/>
      <c r="CZ6" s="28"/>
      <c r="DA6" s="26"/>
      <c r="DB6" s="26"/>
      <c r="DC6" s="29"/>
    </row>
    <row r="7" spans="1:107" ht="19.899999999999999" customHeight="1" x14ac:dyDescent="0.25">
      <c r="A7" s="187"/>
      <c r="B7" s="154" t="str">
        <f>Jugadores!D6</f>
        <v>Santiago Piedrahíta</v>
      </c>
      <c r="C7" s="155"/>
      <c r="D7" s="24">
        <f>H7+L7+P7+T7+X7+AB7+AF7+AJ7+AN7+AR7+AV7+AZ7+BD7+BH7+BL7+BP7+BT7+BX7+CB7+CF7+CJ7+CN7+CR7+CV7+CZ7</f>
        <v>1</v>
      </c>
      <c r="E7" s="24">
        <f t="shared" si="1"/>
        <v>1</v>
      </c>
      <c r="F7" s="115">
        <f t="shared" si="2"/>
        <v>0</v>
      </c>
      <c r="G7" s="115">
        <f t="shared" si="3"/>
        <v>0</v>
      </c>
      <c r="H7" s="28"/>
      <c r="I7" s="26"/>
      <c r="J7" s="26"/>
      <c r="K7" s="29"/>
      <c r="L7" s="28"/>
      <c r="M7" s="26"/>
      <c r="N7" s="26"/>
      <c r="O7" s="29"/>
      <c r="P7" s="28"/>
      <c r="Q7" s="26"/>
      <c r="R7" s="26"/>
      <c r="S7" s="29"/>
      <c r="T7" s="28">
        <v>1</v>
      </c>
      <c r="U7" s="26"/>
      <c r="V7" s="26"/>
      <c r="W7" s="29"/>
      <c r="X7" s="28"/>
      <c r="Y7" s="26"/>
      <c r="Z7" s="26"/>
      <c r="AA7" s="29"/>
      <c r="AB7" s="28"/>
      <c r="AC7" s="26"/>
      <c r="AD7" s="26"/>
      <c r="AE7" s="29"/>
      <c r="AF7" s="28"/>
      <c r="AG7" s="26"/>
      <c r="AH7" s="26"/>
      <c r="AI7" s="29"/>
      <c r="AJ7" s="28"/>
      <c r="AK7" s="26"/>
      <c r="AL7" s="26"/>
      <c r="AM7" s="29"/>
      <c r="AN7" s="28"/>
      <c r="AO7" s="26"/>
      <c r="AP7" s="26"/>
      <c r="AQ7" s="29"/>
      <c r="AR7" s="28"/>
      <c r="AS7" s="26"/>
      <c r="AT7" s="26"/>
      <c r="AU7" s="29"/>
      <c r="AV7" s="28"/>
      <c r="AW7" s="26"/>
      <c r="AX7" s="26"/>
      <c r="AY7" s="29"/>
      <c r="AZ7" s="28"/>
      <c r="BA7" s="26"/>
      <c r="BB7" s="26"/>
      <c r="BC7" s="29"/>
      <c r="BD7" s="28"/>
      <c r="BE7" s="26"/>
      <c r="BF7" s="26"/>
      <c r="BG7" s="29"/>
      <c r="BH7" s="28"/>
      <c r="BI7" s="26"/>
      <c r="BJ7" s="26"/>
      <c r="BK7" s="29"/>
      <c r="BL7" s="28"/>
      <c r="BM7" s="26"/>
      <c r="BN7" s="26"/>
      <c r="BO7" s="29"/>
      <c r="BP7" s="28"/>
      <c r="BQ7" s="26">
        <v>1</v>
      </c>
      <c r="BR7" s="26"/>
      <c r="BS7" s="29"/>
      <c r="BT7" s="28"/>
      <c r="BU7" s="26"/>
      <c r="BV7" s="26"/>
      <c r="BW7" s="29"/>
      <c r="BX7" s="28"/>
      <c r="BY7" s="26"/>
      <c r="BZ7" s="26"/>
      <c r="CA7" s="29"/>
      <c r="CB7" s="28"/>
      <c r="CC7" s="26"/>
      <c r="CD7" s="26"/>
      <c r="CE7" s="29"/>
      <c r="CF7" s="28"/>
      <c r="CG7" s="26"/>
      <c r="CH7" s="26"/>
      <c r="CI7" s="29"/>
      <c r="CJ7" s="28"/>
      <c r="CK7" s="26"/>
      <c r="CL7" s="26"/>
      <c r="CM7" s="29"/>
      <c r="CN7" s="28"/>
      <c r="CO7" s="26"/>
      <c r="CP7" s="26"/>
      <c r="CQ7" s="29"/>
      <c r="CR7" s="28"/>
      <c r="CS7" s="26"/>
      <c r="CT7" s="26"/>
      <c r="CU7" s="29"/>
      <c r="CV7" s="28"/>
      <c r="CW7" s="26"/>
      <c r="CX7" s="26"/>
      <c r="CY7" s="29"/>
      <c r="CZ7" s="28"/>
      <c r="DA7" s="26"/>
      <c r="DB7" s="26"/>
      <c r="DC7" s="29"/>
    </row>
    <row r="8" spans="1:107" ht="19.899999999999999" customHeight="1" x14ac:dyDescent="0.25">
      <c r="A8" s="187"/>
      <c r="B8" s="154" t="str">
        <f>Jugadores!D7</f>
        <v>Jorge Briceño</v>
      </c>
      <c r="C8" s="155"/>
      <c r="D8" s="24">
        <f t="shared" si="0"/>
        <v>2</v>
      </c>
      <c r="E8" s="24">
        <f t="shared" si="1"/>
        <v>1</v>
      </c>
      <c r="F8" s="115">
        <f t="shared" si="2"/>
        <v>0</v>
      </c>
      <c r="G8" s="115">
        <f t="shared" si="3"/>
        <v>0</v>
      </c>
      <c r="H8" s="28"/>
      <c r="I8" s="26"/>
      <c r="J8" s="26"/>
      <c r="K8" s="29"/>
      <c r="L8" s="28"/>
      <c r="M8" s="26"/>
      <c r="N8" s="26"/>
      <c r="O8" s="29"/>
      <c r="P8" s="28"/>
      <c r="Q8" s="26"/>
      <c r="R8" s="26"/>
      <c r="S8" s="29"/>
      <c r="T8" s="28">
        <v>1</v>
      </c>
      <c r="U8" s="26"/>
      <c r="V8" s="26"/>
      <c r="W8" s="29"/>
      <c r="X8" s="28"/>
      <c r="Y8" s="26"/>
      <c r="Z8" s="26"/>
      <c r="AA8" s="29"/>
      <c r="AB8" s="28"/>
      <c r="AC8" s="26"/>
      <c r="AD8" s="26"/>
      <c r="AE8" s="29"/>
      <c r="AF8" s="28"/>
      <c r="AG8" s="26">
        <v>1</v>
      </c>
      <c r="AH8" s="26"/>
      <c r="AI8" s="29"/>
      <c r="AJ8" s="28"/>
      <c r="AK8" s="26"/>
      <c r="AL8" s="26"/>
      <c r="AM8" s="29"/>
      <c r="AN8" s="28"/>
      <c r="AO8" s="26"/>
      <c r="AP8" s="26"/>
      <c r="AQ8" s="29"/>
      <c r="AR8" s="28"/>
      <c r="AS8" s="26"/>
      <c r="AT8" s="26"/>
      <c r="AU8" s="29"/>
      <c r="AV8" s="28"/>
      <c r="AW8" s="26"/>
      <c r="AX8" s="26"/>
      <c r="AY8" s="29"/>
      <c r="AZ8" s="28"/>
      <c r="BA8" s="26"/>
      <c r="BB8" s="26"/>
      <c r="BC8" s="29"/>
      <c r="BD8" s="28"/>
      <c r="BE8" s="26"/>
      <c r="BF8" s="26"/>
      <c r="BG8" s="29"/>
      <c r="BH8" s="28"/>
      <c r="BI8" s="26"/>
      <c r="BJ8" s="26"/>
      <c r="BK8" s="29"/>
      <c r="BL8" s="28"/>
      <c r="BM8" s="26"/>
      <c r="BN8" s="26"/>
      <c r="BO8" s="29"/>
      <c r="BP8" s="28"/>
      <c r="BQ8" s="26"/>
      <c r="BR8" s="26"/>
      <c r="BS8" s="29"/>
      <c r="BT8" s="28"/>
      <c r="BU8" s="26"/>
      <c r="BV8" s="26"/>
      <c r="BW8" s="29"/>
      <c r="BX8" s="28"/>
      <c r="BY8" s="26"/>
      <c r="BZ8" s="26"/>
      <c r="CA8" s="29"/>
      <c r="CB8" s="28"/>
      <c r="CC8" s="26"/>
      <c r="CD8" s="26"/>
      <c r="CE8" s="29"/>
      <c r="CF8" s="28">
        <v>1</v>
      </c>
      <c r="CG8" s="26"/>
      <c r="CH8" s="26"/>
      <c r="CI8" s="29"/>
      <c r="CJ8" s="28"/>
      <c r="CK8" s="26"/>
      <c r="CL8" s="26"/>
      <c r="CM8" s="29"/>
      <c r="CN8" s="28"/>
      <c r="CO8" s="26"/>
      <c r="CP8" s="26"/>
      <c r="CQ8" s="29"/>
      <c r="CR8" s="28"/>
      <c r="CS8" s="26"/>
      <c r="CT8" s="26"/>
      <c r="CU8" s="29"/>
      <c r="CV8" s="28"/>
      <c r="CW8" s="26"/>
      <c r="CX8" s="26"/>
      <c r="CY8" s="29"/>
      <c r="CZ8" s="28"/>
      <c r="DA8" s="26"/>
      <c r="DB8" s="26"/>
      <c r="DC8" s="29"/>
    </row>
    <row r="9" spans="1:107" ht="19.899999999999999" customHeight="1" x14ac:dyDescent="0.25">
      <c r="A9" s="187"/>
      <c r="B9" s="154" t="str">
        <f>Jugadores!D8</f>
        <v>Robinson Rivera</v>
      </c>
      <c r="C9" s="155"/>
      <c r="D9" s="24">
        <f t="shared" si="0"/>
        <v>2</v>
      </c>
      <c r="E9" s="24">
        <f t="shared" si="1"/>
        <v>0</v>
      </c>
      <c r="F9" s="115">
        <f t="shared" si="2"/>
        <v>0</v>
      </c>
      <c r="G9" s="115">
        <f t="shared" si="3"/>
        <v>0</v>
      </c>
      <c r="H9" s="28"/>
      <c r="I9" s="26"/>
      <c r="J9" s="26"/>
      <c r="K9" s="29"/>
      <c r="L9" s="28">
        <v>1</v>
      </c>
      <c r="M9" s="26"/>
      <c r="N9" s="26"/>
      <c r="O9" s="29"/>
      <c r="P9" s="28"/>
      <c r="Q9" s="26"/>
      <c r="R9" s="26"/>
      <c r="S9" s="29"/>
      <c r="T9" s="28"/>
      <c r="U9" s="26"/>
      <c r="V9" s="26"/>
      <c r="W9" s="29"/>
      <c r="X9" s="28"/>
      <c r="Y9" s="26"/>
      <c r="Z9" s="26"/>
      <c r="AA9" s="29"/>
      <c r="AB9" s="28"/>
      <c r="AC9" s="26"/>
      <c r="AD9" s="26"/>
      <c r="AE9" s="29"/>
      <c r="AF9" s="28"/>
      <c r="AG9" s="26"/>
      <c r="AH9" s="26"/>
      <c r="AI9" s="29"/>
      <c r="AJ9" s="28"/>
      <c r="AK9" s="26"/>
      <c r="AL9" s="26"/>
      <c r="AM9" s="29"/>
      <c r="AN9" s="28"/>
      <c r="AO9" s="26"/>
      <c r="AP9" s="26"/>
      <c r="AQ9" s="29"/>
      <c r="AR9" s="28"/>
      <c r="AS9" s="26"/>
      <c r="AT9" s="26"/>
      <c r="AU9" s="29"/>
      <c r="AV9" s="28"/>
      <c r="AW9" s="26"/>
      <c r="AX9" s="26"/>
      <c r="AY9" s="29"/>
      <c r="AZ9" s="28"/>
      <c r="BA9" s="26"/>
      <c r="BB9" s="26"/>
      <c r="BC9" s="29"/>
      <c r="BD9" s="28"/>
      <c r="BE9" s="26"/>
      <c r="BF9" s="26"/>
      <c r="BG9" s="29"/>
      <c r="BH9" s="28"/>
      <c r="BI9" s="26"/>
      <c r="BJ9" s="26"/>
      <c r="BK9" s="29"/>
      <c r="BL9" s="28"/>
      <c r="BM9" s="26"/>
      <c r="BN9" s="26"/>
      <c r="BO9" s="29"/>
      <c r="BP9" s="28"/>
      <c r="BQ9" s="26"/>
      <c r="BR9" s="26"/>
      <c r="BS9" s="29"/>
      <c r="BT9" s="28"/>
      <c r="BU9" s="26"/>
      <c r="BV9" s="26"/>
      <c r="BW9" s="29"/>
      <c r="BX9" s="28"/>
      <c r="BY9" s="26"/>
      <c r="BZ9" s="26"/>
      <c r="CA9" s="29"/>
      <c r="CB9" s="28"/>
      <c r="CC9" s="26"/>
      <c r="CD9" s="26"/>
      <c r="CE9" s="29"/>
      <c r="CF9" s="28">
        <v>1</v>
      </c>
      <c r="CG9" s="26"/>
      <c r="CH9" s="26"/>
      <c r="CI9" s="29"/>
      <c r="CJ9" s="28"/>
      <c r="CK9" s="26"/>
      <c r="CL9" s="26"/>
      <c r="CM9" s="29"/>
      <c r="CN9" s="28"/>
      <c r="CO9" s="26"/>
      <c r="CP9" s="26"/>
      <c r="CQ9" s="29"/>
      <c r="CR9" s="28"/>
      <c r="CS9" s="26"/>
      <c r="CT9" s="26"/>
      <c r="CU9" s="29"/>
      <c r="CV9" s="28"/>
      <c r="CW9" s="26"/>
      <c r="CX9" s="26"/>
      <c r="CY9" s="29"/>
      <c r="CZ9" s="28"/>
      <c r="DA9" s="26"/>
      <c r="DB9" s="26"/>
      <c r="DC9" s="29"/>
    </row>
    <row r="10" spans="1:107" ht="19.899999999999999" customHeight="1" x14ac:dyDescent="0.25">
      <c r="A10" s="187"/>
      <c r="B10" s="154" t="str">
        <f>Jugadores!D9</f>
        <v xml:space="preserve">Jorge Estrada </v>
      </c>
      <c r="C10" s="155"/>
      <c r="D10" s="24">
        <f t="shared" si="0"/>
        <v>1</v>
      </c>
      <c r="E10" s="24">
        <f t="shared" si="1"/>
        <v>0</v>
      </c>
      <c r="F10" s="115">
        <f t="shared" si="2"/>
        <v>0</v>
      </c>
      <c r="G10" s="115">
        <f t="shared" si="3"/>
        <v>0</v>
      </c>
      <c r="H10" s="28"/>
      <c r="I10" s="26"/>
      <c r="J10" s="26"/>
      <c r="K10" s="29"/>
      <c r="L10" s="28"/>
      <c r="M10" s="26"/>
      <c r="N10" s="26"/>
      <c r="O10" s="29"/>
      <c r="P10" s="28"/>
      <c r="Q10" s="26"/>
      <c r="R10" s="26"/>
      <c r="S10" s="29"/>
      <c r="T10" s="28"/>
      <c r="U10" s="26"/>
      <c r="V10" s="26"/>
      <c r="W10" s="29"/>
      <c r="X10" s="28"/>
      <c r="Y10" s="26"/>
      <c r="Z10" s="26"/>
      <c r="AA10" s="29"/>
      <c r="AB10" s="28"/>
      <c r="AC10" s="26"/>
      <c r="AD10" s="26"/>
      <c r="AE10" s="29"/>
      <c r="AF10" s="28"/>
      <c r="AG10" s="26"/>
      <c r="AH10" s="26"/>
      <c r="AI10" s="29"/>
      <c r="AJ10" s="28"/>
      <c r="AK10" s="26"/>
      <c r="AL10" s="26"/>
      <c r="AM10" s="29"/>
      <c r="AN10" s="28"/>
      <c r="AO10" s="26"/>
      <c r="AP10" s="26"/>
      <c r="AQ10" s="29"/>
      <c r="AR10" s="28"/>
      <c r="AS10" s="26"/>
      <c r="AT10" s="26"/>
      <c r="AU10" s="29"/>
      <c r="AV10" s="28"/>
      <c r="AW10" s="26"/>
      <c r="AX10" s="26"/>
      <c r="AY10" s="29"/>
      <c r="AZ10" s="28"/>
      <c r="BA10" s="26"/>
      <c r="BB10" s="26"/>
      <c r="BC10" s="29"/>
      <c r="BD10" s="28"/>
      <c r="BE10" s="26"/>
      <c r="BF10" s="26"/>
      <c r="BG10" s="29"/>
      <c r="BH10" s="28"/>
      <c r="BI10" s="26"/>
      <c r="BJ10" s="26"/>
      <c r="BK10" s="29"/>
      <c r="BL10" s="28">
        <v>1</v>
      </c>
      <c r="BM10" s="26"/>
      <c r="BN10" s="26"/>
      <c r="BO10" s="29"/>
      <c r="BP10" s="28"/>
      <c r="BQ10" s="26"/>
      <c r="BR10" s="26"/>
      <c r="BS10" s="29"/>
      <c r="BT10" s="28"/>
      <c r="BU10" s="26"/>
      <c r="BV10" s="26"/>
      <c r="BW10" s="29"/>
      <c r="BX10" s="28"/>
      <c r="BY10" s="26"/>
      <c r="BZ10" s="26"/>
      <c r="CA10" s="29"/>
      <c r="CB10" s="28"/>
      <c r="CC10" s="26"/>
      <c r="CD10" s="26"/>
      <c r="CE10" s="29"/>
      <c r="CF10" s="28"/>
      <c r="CG10" s="26"/>
      <c r="CH10" s="26"/>
      <c r="CI10" s="29"/>
      <c r="CJ10" s="28"/>
      <c r="CK10" s="26"/>
      <c r="CL10" s="26"/>
      <c r="CM10" s="29"/>
      <c r="CN10" s="28"/>
      <c r="CO10" s="26"/>
      <c r="CP10" s="26"/>
      <c r="CQ10" s="29"/>
      <c r="CR10" s="28"/>
      <c r="CS10" s="26"/>
      <c r="CT10" s="26"/>
      <c r="CU10" s="29"/>
      <c r="CV10" s="28"/>
      <c r="CW10" s="26"/>
      <c r="CX10" s="26"/>
      <c r="CY10" s="29"/>
      <c r="CZ10" s="28"/>
      <c r="DA10" s="26"/>
      <c r="DB10" s="26"/>
      <c r="DC10" s="29"/>
    </row>
    <row r="11" spans="1:107" ht="19.899999999999999" customHeight="1" x14ac:dyDescent="0.25">
      <c r="A11" s="187"/>
      <c r="B11" s="154" t="str">
        <f>Jugadores!D10</f>
        <v>Norbey Marín</v>
      </c>
      <c r="C11" s="155"/>
      <c r="D11" s="24">
        <f t="shared" si="0"/>
        <v>2</v>
      </c>
      <c r="E11" s="24">
        <f t="shared" si="1"/>
        <v>0</v>
      </c>
      <c r="F11" s="115">
        <f t="shared" si="2"/>
        <v>0</v>
      </c>
      <c r="G11" s="115">
        <f t="shared" si="3"/>
        <v>0</v>
      </c>
      <c r="H11" s="28">
        <v>1</v>
      </c>
      <c r="I11" s="26"/>
      <c r="J11" s="26"/>
      <c r="K11" s="29"/>
      <c r="L11" s="28">
        <v>1</v>
      </c>
      <c r="M11" s="26"/>
      <c r="N11" s="26"/>
      <c r="O11" s="29"/>
      <c r="P11" s="28"/>
      <c r="Q11" s="26"/>
      <c r="R11" s="26"/>
      <c r="S11" s="29"/>
      <c r="T11" s="28"/>
      <c r="U11" s="26"/>
      <c r="V11" s="26"/>
      <c r="W11" s="29"/>
      <c r="X11" s="28"/>
      <c r="Y11" s="26"/>
      <c r="Z11" s="26"/>
      <c r="AA11" s="29"/>
      <c r="AB11" s="28"/>
      <c r="AC11" s="26"/>
      <c r="AD11" s="26"/>
      <c r="AE11" s="29"/>
      <c r="AF11" s="28"/>
      <c r="AG11" s="26"/>
      <c r="AH11" s="26"/>
      <c r="AI11" s="29"/>
      <c r="AJ11" s="28"/>
      <c r="AK11" s="26"/>
      <c r="AL11" s="26"/>
      <c r="AM11" s="29"/>
      <c r="AN11" s="28"/>
      <c r="AO11" s="26"/>
      <c r="AP11" s="26"/>
      <c r="AQ11" s="29"/>
      <c r="AR11" s="28"/>
      <c r="AS11" s="26"/>
      <c r="AT11" s="26"/>
      <c r="AU11" s="29"/>
      <c r="AV11" s="28"/>
      <c r="AW11" s="26"/>
      <c r="AX11" s="26"/>
      <c r="AY11" s="29"/>
      <c r="AZ11" s="28"/>
      <c r="BA11" s="26"/>
      <c r="BB11" s="26"/>
      <c r="BC11" s="29"/>
      <c r="BD11" s="28"/>
      <c r="BE11" s="26"/>
      <c r="BF11" s="26"/>
      <c r="BG11" s="29"/>
      <c r="BH11" s="28"/>
      <c r="BI11" s="26"/>
      <c r="BJ11" s="26"/>
      <c r="BK11" s="29"/>
      <c r="BL11" s="28"/>
      <c r="BM11" s="26"/>
      <c r="BN11" s="26"/>
      <c r="BO11" s="29"/>
      <c r="BP11" s="28"/>
      <c r="BQ11" s="26"/>
      <c r="BR11" s="26"/>
      <c r="BS11" s="29"/>
      <c r="BT11" s="28"/>
      <c r="BU11" s="26"/>
      <c r="BV11" s="26"/>
      <c r="BW11" s="29"/>
      <c r="BX11" s="28"/>
      <c r="BY11" s="26"/>
      <c r="BZ11" s="26"/>
      <c r="CA11" s="29"/>
      <c r="CB11" s="28"/>
      <c r="CC11" s="26"/>
      <c r="CD11" s="26"/>
      <c r="CE11" s="29"/>
      <c r="CF11" s="28"/>
      <c r="CG11" s="26"/>
      <c r="CH11" s="26"/>
      <c r="CI11" s="29"/>
      <c r="CJ11" s="28"/>
      <c r="CK11" s="26"/>
      <c r="CL11" s="26"/>
      <c r="CM11" s="29"/>
      <c r="CN11" s="28"/>
      <c r="CO11" s="26"/>
      <c r="CP11" s="26"/>
      <c r="CQ11" s="29"/>
      <c r="CR11" s="28"/>
      <c r="CS11" s="26"/>
      <c r="CT11" s="26"/>
      <c r="CU11" s="29"/>
      <c r="CV11" s="28"/>
      <c r="CW11" s="26"/>
      <c r="CX11" s="26"/>
      <c r="CY11" s="29"/>
      <c r="CZ11" s="28"/>
      <c r="DA11" s="26"/>
      <c r="DB11" s="26"/>
      <c r="DC11" s="29"/>
    </row>
    <row r="12" spans="1:107" ht="19.899999999999999" customHeight="1" x14ac:dyDescent="0.25">
      <c r="A12" s="187"/>
      <c r="B12" s="154" t="str">
        <f>Jugadores!D11</f>
        <v xml:space="preserve">Miguel Ladino </v>
      </c>
      <c r="C12" s="155"/>
      <c r="D12" s="24">
        <f t="shared" si="0"/>
        <v>4</v>
      </c>
      <c r="E12" s="24">
        <f t="shared" si="1"/>
        <v>1</v>
      </c>
      <c r="F12" s="115">
        <f t="shared" si="2"/>
        <v>0</v>
      </c>
      <c r="G12" s="115">
        <f t="shared" si="3"/>
        <v>0</v>
      </c>
      <c r="H12" s="28"/>
      <c r="I12" s="26"/>
      <c r="J12" s="26"/>
      <c r="K12" s="29"/>
      <c r="L12" s="28"/>
      <c r="M12" s="26"/>
      <c r="N12" s="26"/>
      <c r="O12" s="29"/>
      <c r="P12" s="28"/>
      <c r="Q12" s="26"/>
      <c r="R12" s="26"/>
      <c r="S12" s="29"/>
      <c r="T12" s="28"/>
      <c r="U12" s="26"/>
      <c r="V12" s="26"/>
      <c r="W12" s="29"/>
      <c r="X12" s="28"/>
      <c r="Y12" s="26"/>
      <c r="Z12" s="26"/>
      <c r="AA12" s="29"/>
      <c r="AB12" s="28">
        <v>1</v>
      </c>
      <c r="AC12" s="26"/>
      <c r="AD12" s="26"/>
      <c r="AE12" s="29"/>
      <c r="AF12" s="28"/>
      <c r="AG12" s="26"/>
      <c r="AH12" s="26"/>
      <c r="AI12" s="29"/>
      <c r="AJ12" s="28"/>
      <c r="AK12" s="26"/>
      <c r="AL12" s="26"/>
      <c r="AM12" s="29"/>
      <c r="AN12" s="28">
        <v>2</v>
      </c>
      <c r="AO12" s="26"/>
      <c r="AP12" s="26"/>
      <c r="AQ12" s="29"/>
      <c r="AR12" s="28">
        <v>1</v>
      </c>
      <c r="AS12" s="26">
        <v>1</v>
      </c>
      <c r="AT12" s="26"/>
      <c r="AU12" s="29"/>
      <c r="AV12" s="28"/>
      <c r="AW12" s="26"/>
      <c r="AX12" s="26"/>
      <c r="AY12" s="29"/>
      <c r="AZ12" s="28"/>
      <c r="BA12" s="26"/>
      <c r="BB12" s="26"/>
      <c r="BC12" s="29"/>
      <c r="BD12" s="28"/>
      <c r="BE12" s="26"/>
      <c r="BF12" s="26"/>
      <c r="BG12" s="29"/>
      <c r="BH12" s="28"/>
      <c r="BI12" s="26"/>
      <c r="BJ12" s="26"/>
      <c r="BK12" s="29"/>
      <c r="BL12" s="28"/>
      <c r="BM12" s="26"/>
      <c r="BN12" s="26"/>
      <c r="BO12" s="29"/>
      <c r="BP12" s="28"/>
      <c r="BQ12" s="26"/>
      <c r="BR12" s="26"/>
      <c r="BS12" s="29"/>
      <c r="BT12" s="28"/>
      <c r="BU12" s="26"/>
      <c r="BV12" s="26"/>
      <c r="BW12" s="29"/>
      <c r="BX12" s="28"/>
      <c r="BY12" s="26"/>
      <c r="BZ12" s="26"/>
      <c r="CA12" s="29"/>
      <c r="CB12" s="28"/>
      <c r="CC12" s="26"/>
      <c r="CD12" s="26"/>
      <c r="CE12" s="29"/>
      <c r="CF12" s="28"/>
      <c r="CG12" s="26"/>
      <c r="CH12" s="26"/>
      <c r="CI12" s="29"/>
      <c r="CJ12" s="28"/>
      <c r="CK12" s="26"/>
      <c r="CL12" s="26"/>
      <c r="CM12" s="29"/>
      <c r="CN12" s="28"/>
      <c r="CO12" s="26"/>
      <c r="CP12" s="26"/>
      <c r="CQ12" s="29"/>
      <c r="CR12" s="28"/>
      <c r="CS12" s="26"/>
      <c r="CT12" s="26"/>
      <c r="CU12" s="29"/>
      <c r="CV12" s="28"/>
      <c r="CW12" s="26"/>
      <c r="CX12" s="26"/>
      <c r="CY12" s="29"/>
      <c r="CZ12" s="28"/>
      <c r="DA12" s="26"/>
      <c r="DB12" s="26"/>
      <c r="DC12" s="29"/>
    </row>
    <row r="13" spans="1:107" ht="19.899999999999999" customHeight="1" x14ac:dyDescent="0.25">
      <c r="A13" s="187"/>
      <c r="B13" s="154" t="str">
        <f>Jugadores!D12</f>
        <v>Cesar Vanegas</v>
      </c>
      <c r="C13" s="155"/>
      <c r="D13" s="24">
        <f t="shared" si="0"/>
        <v>1</v>
      </c>
      <c r="E13" s="24">
        <f t="shared" si="1"/>
        <v>1</v>
      </c>
      <c r="F13" s="115">
        <f t="shared" si="2"/>
        <v>0</v>
      </c>
      <c r="G13" s="115">
        <f t="shared" si="3"/>
        <v>0</v>
      </c>
      <c r="H13" s="28"/>
      <c r="I13" s="26"/>
      <c r="J13" s="26"/>
      <c r="K13" s="29"/>
      <c r="L13" s="28"/>
      <c r="M13" s="26"/>
      <c r="N13" s="26"/>
      <c r="O13" s="29"/>
      <c r="P13" s="28"/>
      <c r="Q13" s="26"/>
      <c r="R13" s="26"/>
      <c r="S13" s="29"/>
      <c r="T13" s="28"/>
      <c r="U13" s="26"/>
      <c r="V13" s="26"/>
      <c r="W13" s="29"/>
      <c r="X13" s="28"/>
      <c r="Y13" s="26"/>
      <c r="Z13" s="26"/>
      <c r="AA13" s="29"/>
      <c r="AB13" s="28">
        <v>1</v>
      </c>
      <c r="AC13" s="26"/>
      <c r="AD13" s="26"/>
      <c r="AE13" s="29"/>
      <c r="AF13" s="28"/>
      <c r="AG13" s="26"/>
      <c r="AH13" s="26"/>
      <c r="AI13" s="29"/>
      <c r="AJ13" s="28"/>
      <c r="AK13" s="26"/>
      <c r="AL13" s="26"/>
      <c r="AM13" s="29"/>
      <c r="AN13" s="28"/>
      <c r="AO13" s="26"/>
      <c r="AP13" s="26"/>
      <c r="AQ13" s="29"/>
      <c r="AR13" s="28"/>
      <c r="AS13" s="26"/>
      <c r="AT13" s="26"/>
      <c r="AU13" s="29"/>
      <c r="AV13" s="28"/>
      <c r="AW13" s="26"/>
      <c r="AX13" s="26"/>
      <c r="AY13" s="29"/>
      <c r="AZ13" s="28"/>
      <c r="BA13" s="26"/>
      <c r="BB13" s="26"/>
      <c r="BC13" s="29"/>
      <c r="BD13" s="28"/>
      <c r="BE13" s="26"/>
      <c r="BF13" s="26"/>
      <c r="BG13" s="29"/>
      <c r="BH13" s="28"/>
      <c r="BI13" s="26"/>
      <c r="BJ13" s="26"/>
      <c r="BK13" s="29"/>
      <c r="BL13" s="28"/>
      <c r="BM13" s="26"/>
      <c r="BN13" s="26"/>
      <c r="BO13" s="29"/>
      <c r="BP13" s="28"/>
      <c r="BQ13" s="26"/>
      <c r="BR13" s="26"/>
      <c r="BS13" s="29"/>
      <c r="BT13" s="28"/>
      <c r="BU13" s="26"/>
      <c r="BV13" s="26"/>
      <c r="BW13" s="29"/>
      <c r="BX13" s="28"/>
      <c r="BY13" s="26"/>
      <c r="BZ13" s="26"/>
      <c r="CA13" s="29"/>
      <c r="CB13" s="28"/>
      <c r="CC13" s="26">
        <v>1</v>
      </c>
      <c r="CD13" s="26"/>
      <c r="CE13" s="29"/>
      <c r="CF13" s="28"/>
      <c r="CG13" s="26"/>
      <c r="CH13" s="26"/>
      <c r="CI13" s="29"/>
      <c r="CJ13" s="28"/>
      <c r="CK13" s="26"/>
      <c r="CL13" s="26"/>
      <c r="CM13" s="29"/>
      <c r="CN13" s="28"/>
      <c r="CO13" s="26"/>
      <c r="CP13" s="26"/>
      <c r="CQ13" s="29"/>
      <c r="CR13" s="28"/>
      <c r="CS13" s="26"/>
      <c r="CT13" s="26"/>
      <c r="CU13" s="29"/>
      <c r="CV13" s="28"/>
      <c r="CW13" s="26"/>
      <c r="CX13" s="26"/>
      <c r="CY13" s="29"/>
      <c r="CZ13" s="28"/>
      <c r="DA13" s="26"/>
      <c r="DB13" s="26"/>
      <c r="DC13" s="29"/>
    </row>
    <row r="14" spans="1:107" ht="19.899999999999999" customHeight="1" x14ac:dyDescent="0.25">
      <c r="A14" s="187"/>
      <c r="B14" s="154" t="str">
        <f>Jugadores!D13</f>
        <v>Robinson Franco</v>
      </c>
      <c r="C14" s="155"/>
      <c r="D14" s="24">
        <f t="shared" si="0"/>
        <v>0</v>
      </c>
      <c r="E14" s="24">
        <f t="shared" si="1"/>
        <v>0</v>
      </c>
      <c r="F14" s="115">
        <f t="shared" si="2"/>
        <v>0</v>
      </c>
      <c r="G14" s="115">
        <f t="shared" si="3"/>
        <v>0</v>
      </c>
      <c r="H14" s="28"/>
      <c r="I14" s="26"/>
      <c r="J14" s="26"/>
      <c r="K14" s="29"/>
      <c r="L14" s="28"/>
      <c r="M14" s="26"/>
      <c r="N14" s="26"/>
      <c r="O14" s="29"/>
      <c r="P14" s="28"/>
      <c r="Q14" s="26"/>
      <c r="R14" s="26"/>
      <c r="S14" s="29"/>
      <c r="T14" s="28"/>
      <c r="U14" s="26"/>
      <c r="V14" s="26"/>
      <c r="W14" s="29"/>
      <c r="X14" s="28"/>
      <c r="Y14" s="26"/>
      <c r="Z14" s="26"/>
      <c r="AA14" s="29"/>
      <c r="AB14" s="28"/>
      <c r="AC14" s="26"/>
      <c r="AD14" s="26"/>
      <c r="AE14" s="29"/>
      <c r="AF14" s="28"/>
      <c r="AG14" s="26"/>
      <c r="AH14" s="26"/>
      <c r="AI14" s="29"/>
      <c r="AJ14" s="28"/>
      <c r="AK14" s="26"/>
      <c r="AL14" s="26"/>
      <c r="AM14" s="29"/>
      <c r="AN14" s="28"/>
      <c r="AO14" s="26"/>
      <c r="AP14" s="26"/>
      <c r="AQ14" s="29"/>
      <c r="AR14" s="28"/>
      <c r="AS14" s="26"/>
      <c r="AT14" s="26"/>
      <c r="AU14" s="29"/>
      <c r="AV14" s="28"/>
      <c r="AW14" s="26"/>
      <c r="AX14" s="26"/>
      <c r="AY14" s="29"/>
      <c r="AZ14" s="28"/>
      <c r="BA14" s="26"/>
      <c r="BB14" s="26"/>
      <c r="BC14" s="29"/>
      <c r="BD14" s="28"/>
      <c r="BE14" s="26"/>
      <c r="BF14" s="26"/>
      <c r="BG14" s="29"/>
      <c r="BH14" s="28"/>
      <c r="BI14" s="26"/>
      <c r="BJ14" s="26"/>
      <c r="BK14" s="29"/>
      <c r="BL14" s="28"/>
      <c r="BM14" s="26"/>
      <c r="BN14" s="26"/>
      <c r="BO14" s="29"/>
      <c r="BP14" s="28"/>
      <c r="BQ14" s="26"/>
      <c r="BR14" s="26"/>
      <c r="BS14" s="29"/>
      <c r="BT14" s="28"/>
      <c r="BU14" s="26"/>
      <c r="BV14" s="26"/>
      <c r="BW14" s="29"/>
      <c r="BX14" s="28"/>
      <c r="BY14" s="26"/>
      <c r="BZ14" s="26"/>
      <c r="CA14" s="29"/>
      <c r="CB14" s="28"/>
      <c r="CC14" s="26"/>
      <c r="CD14" s="26"/>
      <c r="CE14" s="29"/>
      <c r="CF14" s="28"/>
      <c r="CG14" s="26"/>
      <c r="CH14" s="26"/>
      <c r="CI14" s="29"/>
      <c r="CJ14" s="28"/>
      <c r="CK14" s="26"/>
      <c r="CL14" s="26"/>
      <c r="CM14" s="29"/>
      <c r="CN14" s="28"/>
      <c r="CO14" s="26"/>
      <c r="CP14" s="26"/>
      <c r="CQ14" s="29"/>
      <c r="CR14" s="28"/>
      <c r="CS14" s="26"/>
      <c r="CT14" s="26"/>
      <c r="CU14" s="29"/>
      <c r="CV14" s="28"/>
      <c r="CW14" s="26"/>
      <c r="CX14" s="26"/>
      <c r="CY14" s="29"/>
      <c r="CZ14" s="28"/>
      <c r="DA14" s="26"/>
      <c r="DB14" s="26"/>
      <c r="DC14" s="29"/>
    </row>
    <row r="15" spans="1:107" ht="19.899999999999999" customHeight="1" x14ac:dyDescent="0.25">
      <c r="A15" s="187"/>
      <c r="B15" s="154" t="str">
        <f>Jugadores!D14</f>
        <v>Brayan López</v>
      </c>
      <c r="C15" s="155"/>
      <c r="D15" s="24">
        <f t="shared" si="0"/>
        <v>5</v>
      </c>
      <c r="E15" s="24">
        <f t="shared" si="1"/>
        <v>0</v>
      </c>
      <c r="F15" s="115">
        <f t="shared" si="2"/>
        <v>0</v>
      </c>
      <c r="G15" s="115">
        <f t="shared" si="3"/>
        <v>0</v>
      </c>
      <c r="H15" s="28"/>
      <c r="I15" s="26"/>
      <c r="J15" s="26"/>
      <c r="K15" s="29"/>
      <c r="L15" s="28"/>
      <c r="M15" s="26"/>
      <c r="N15" s="26"/>
      <c r="O15" s="29"/>
      <c r="P15" s="28"/>
      <c r="Q15" s="26"/>
      <c r="R15" s="26"/>
      <c r="S15" s="29"/>
      <c r="T15" s="28"/>
      <c r="U15" s="26"/>
      <c r="V15" s="26"/>
      <c r="W15" s="29"/>
      <c r="X15" s="28"/>
      <c r="Y15" s="26"/>
      <c r="Z15" s="26"/>
      <c r="AA15" s="29"/>
      <c r="AB15" s="28"/>
      <c r="AC15" s="26"/>
      <c r="AD15" s="26"/>
      <c r="AE15" s="29"/>
      <c r="AF15" s="28"/>
      <c r="AG15" s="26"/>
      <c r="AH15" s="26"/>
      <c r="AI15" s="29"/>
      <c r="AJ15" s="28"/>
      <c r="AK15" s="26"/>
      <c r="AL15" s="26"/>
      <c r="AM15" s="29"/>
      <c r="AN15" s="28"/>
      <c r="AO15" s="26"/>
      <c r="AP15" s="26"/>
      <c r="AQ15" s="29"/>
      <c r="AR15" s="28"/>
      <c r="AS15" s="26"/>
      <c r="AT15" s="26"/>
      <c r="AU15" s="29"/>
      <c r="AV15" s="28">
        <v>2</v>
      </c>
      <c r="AW15" s="26"/>
      <c r="AX15" s="26"/>
      <c r="AY15" s="29"/>
      <c r="AZ15" s="28"/>
      <c r="BA15" s="26"/>
      <c r="BB15" s="26"/>
      <c r="BC15" s="29"/>
      <c r="BD15" s="28">
        <v>1</v>
      </c>
      <c r="BE15" s="26"/>
      <c r="BF15" s="26"/>
      <c r="BG15" s="29"/>
      <c r="BH15" s="28"/>
      <c r="BI15" s="26"/>
      <c r="BJ15" s="26"/>
      <c r="BK15" s="29"/>
      <c r="BL15" s="28"/>
      <c r="BM15" s="26"/>
      <c r="BN15" s="26"/>
      <c r="BO15" s="29"/>
      <c r="BP15" s="28"/>
      <c r="BQ15" s="26"/>
      <c r="BR15" s="26"/>
      <c r="BS15" s="29"/>
      <c r="BT15" s="28"/>
      <c r="BU15" s="26"/>
      <c r="BV15" s="26"/>
      <c r="BW15" s="29"/>
      <c r="BX15" s="28"/>
      <c r="BY15" s="26"/>
      <c r="BZ15" s="26"/>
      <c r="CA15" s="29"/>
      <c r="CB15" s="28">
        <v>1</v>
      </c>
      <c r="CC15" s="26"/>
      <c r="CD15" s="26"/>
      <c r="CE15" s="29"/>
      <c r="CF15" s="28"/>
      <c r="CG15" s="26"/>
      <c r="CH15" s="26"/>
      <c r="CI15" s="29"/>
      <c r="CJ15" s="28"/>
      <c r="CK15" s="26"/>
      <c r="CL15" s="26"/>
      <c r="CM15" s="29"/>
      <c r="CN15" s="28"/>
      <c r="CO15" s="26"/>
      <c r="CP15" s="26"/>
      <c r="CQ15" s="29"/>
      <c r="CR15" s="28">
        <v>1</v>
      </c>
      <c r="CS15" s="26"/>
      <c r="CT15" s="26"/>
      <c r="CU15" s="29"/>
      <c r="CV15" s="28"/>
      <c r="CW15" s="26"/>
      <c r="CX15" s="26"/>
      <c r="CY15" s="29"/>
      <c r="CZ15" s="28"/>
      <c r="DA15" s="26"/>
      <c r="DB15" s="26"/>
      <c r="DC15" s="29"/>
    </row>
    <row r="16" spans="1:107" ht="19.899999999999999" customHeight="1" x14ac:dyDescent="0.25">
      <c r="A16" s="187"/>
      <c r="B16" s="154" t="str">
        <f>Jugadores!D15</f>
        <v>Alejandro Vergara</v>
      </c>
      <c r="C16" s="155"/>
      <c r="D16" s="24">
        <f t="shared" si="0"/>
        <v>4</v>
      </c>
      <c r="E16" s="24">
        <f t="shared" si="1"/>
        <v>0</v>
      </c>
      <c r="F16" s="115">
        <f t="shared" si="2"/>
        <v>0</v>
      </c>
      <c r="G16" s="115">
        <f t="shared" si="3"/>
        <v>0</v>
      </c>
      <c r="H16" s="28"/>
      <c r="I16" s="26"/>
      <c r="J16" s="26"/>
      <c r="K16" s="29"/>
      <c r="L16" s="28"/>
      <c r="M16" s="26"/>
      <c r="N16" s="26"/>
      <c r="O16" s="29"/>
      <c r="P16" s="28">
        <v>1</v>
      </c>
      <c r="Q16" s="26"/>
      <c r="R16" s="26"/>
      <c r="S16" s="29"/>
      <c r="T16" s="28"/>
      <c r="U16" s="26"/>
      <c r="V16" s="26"/>
      <c r="W16" s="29"/>
      <c r="X16" s="28">
        <v>3</v>
      </c>
      <c r="Y16" s="26"/>
      <c r="Z16" s="26"/>
      <c r="AA16" s="29"/>
      <c r="AB16" s="28"/>
      <c r="AC16" s="26"/>
      <c r="AD16" s="26"/>
      <c r="AE16" s="29"/>
      <c r="AF16" s="28"/>
      <c r="AG16" s="26"/>
      <c r="AH16" s="26"/>
      <c r="AI16" s="29"/>
      <c r="AJ16" s="28"/>
      <c r="AK16" s="26"/>
      <c r="AL16" s="26"/>
      <c r="AM16" s="29"/>
      <c r="AN16" s="28"/>
      <c r="AO16" s="26"/>
      <c r="AP16" s="26"/>
      <c r="AQ16" s="29"/>
      <c r="AR16" s="28"/>
      <c r="AS16" s="26"/>
      <c r="AT16" s="26"/>
      <c r="AU16" s="29"/>
      <c r="AV16" s="28"/>
      <c r="AW16" s="26"/>
      <c r="AX16" s="26"/>
      <c r="AY16" s="29"/>
      <c r="AZ16" s="28"/>
      <c r="BA16" s="26"/>
      <c r="BB16" s="26"/>
      <c r="BC16" s="29"/>
      <c r="BD16" s="28"/>
      <c r="BE16" s="26"/>
      <c r="BF16" s="26"/>
      <c r="BG16" s="29"/>
      <c r="BH16" s="28"/>
      <c r="BI16" s="26"/>
      <c r="BJ16" s="26"/>
      <c r="BK16" s="29"/>
      <c r="BL16" s="28"/>
      <c r="BM16" s="26"/>
      <c r="BN16" s="26"/>
      <c r="BO16" s="29"/>
      <c r="BP16" s="28"/>
      <c r="BQ16" s="26"/>
      <c r="BR16" s="26"/>
      <c r="BS16" s="29"/>
      <c r="BT16" s="28"/>
      <c r="BU16" s="26"/>
      <c r="BV16" s="26"/>
      <c r="BW16" s="29"/>
      <c r="BX16" s="28"/>
      <c r="BY16" s="26"/>
      <c r="BZ16" s="26"/>
      <c r="CA16" s="29"/>
      <c r="CB16" s="28"/>
      <c r="CC16" s="26"/>
      <c r="CD16" s="26"/>
      <c r="CE16" s="29"/>
      <c r="CF16" s="28"/>
      <c r="CG16" s="26"/>
      <c r="CH16" s="26"/>
      <c r="CI16" s="29"/>
      <c r="CJ16" s="28"/>
      <c r="CK16" s="26"/>
      <c r="CL16" s="26"/>
      <c r="CM16" s="29"/>
      <c r="CN16" s="28"/>
      <c r="CO16" s="26"/>
      <c r="CP16" s="26"/>
      <c r="CQ16" s="29"/>
      <c r="CR16" s="28"/>
      <c r="CS16" s="26"/>
      <c r="CT16" s="26"/>
      <c r="CU16" s="29"/>
      <c r="CV16" s="28"/>
      <c r="CW16" s="26"/>
      <c r="CX16" s="26"/>
      <c r="CY16" s="29"/>
      <c r="CZ16" s="28"/>
      <c r="DA16" s="26"/>
      <c r="DB16" s="26"/>
      <c r="DC16" s="29"/>
    </row>
    <row r="17" spans="1:107" ht="19.899999999999999" customHeight="1" x14ac:dyDescent="0.25">
      <c r="A17" s="187"/>
      <c r="B17" s="154" t="str">
        <f>Jugadores!D16</f>
        <v xml:space="preserve">Fabián Serna </v>
      </c>
      <c r="C17" s="155"/>
      <c r="D17" s="24">
        <f t="shared" si="0"/>
        <v>6</v>
      </c>
      <c r="E17" s="24">
        <f t="shared" si="1"/>
        <v>2</v>
      </c>
      <c r="F17" s="115">
        <f t="shared" si="2"/>
        <v>0</v>
      </c>
      <c r="G17" s="115">
        <f t="shared" si="3"/>
        <v>0</v>
      </c>
      <c r="H17" s="28"/>
      <c r="I17" s="26"/>
      <c r="J17" s="26"/>
      <c r="K17" s="29"/>
      <c r="L17" s="28"/>
      <c r="M17" s="26"/>
      <c r="N17" s="26"/>
      <c r="O17" s="29"/>
      <c r="P17" s="28"/>
      <c r="Q17" s="26"/>
      <c r="R17" s="26"/>
      <c r="S17" s="29"/>
      <c r="T17" s="28"/>
      <c r="U17" s="26"/>
      <c r="V17" s="26"/>
      <c r="W17" s="29"/>
      <c r="X17" s="28"/>
      <c r="Y17" s="26"/>
      <c r="Z17" s="26"/>
      <c r="AA17" s="29"/>
      <c r="AB17" s="28"/>
      <c r="AC17" s="26"/>
      <c r="AD17" s="26"/>
      <c r="AE17" s="29"/>
      <c r="AF17" s="28"/>
      <c r="AG17" s="26"/>
      <c r="AH17" s="26"/>
      <c r="AI17" s="29"/>
      <c r="AJ17" s="28"/>
      <c r="AK17" s="26">
        <v>1</v>
      </c>
      <c r="AL17" s="26"/>
      <c r="AM17" s="29"/>
      <c r="AN17" s="28"/>
      <c r="AO17" s="26"/>
      <c r="AP17" s="26"/>
      <c r="AQ17" s="29"/>
      <c r="AR17" s="28"/>
      <c r="AS17" s="26"/>
      <c r="AT17" s="26"/>
      <c r="AU17" s="29"/>
      <c r="AV17" s="28">
        <v>3</v>
      </c>
      <c r="AW17" s="26"/>
      <c r="AX17" s="26"/>
      <c r="AY17" s="29"/>
      <c r="AZ17" s="28"/>
      <c r="BA17" s="26"/>
      <c r="BB17" s="26"/>
      <c r="BC17" s="29"/>
      <c r="BD17" s="28"/>
      <c r="BE17" s="26"/>
      <c r="BF17" s="26"/>
      <c r="BG17" s="29"/>
      <c r="BH17" s="28"/>
      <c r="BI17" s="26"/>
      <c r="BJ17" s="26"/>
      <c r="BK17" s="29"/>
      <c r="BL17" s="28">
        <v>3</v>
      </c>
      <c r="BM17" s="26">
        <v>1</v>
      </c>
      <c r="BN17" s="26"/>
      <c r="BO17" s="29"/>
      <c r="BP17" s="28"/>
      <c r="BQ17" s="26"/>
      <c r="BR17" s="26"/>
      <c r="BS17" s="29"/>
      <c r="BT17" s="28"/>
      <c r="BU17" s="26"/>
      <c r="BV17" s="26"/>
      <c r="BW17" s="29"/>
      <c r="BX17" s="28"/>
      <c r="BY17" s="26"/>
      <c r="BZ17" s="26"/>
      <c r="CA17" s="29"/>
      <c r="CB17" s="28"/>
      <c r="CC17" s="26"/>
      <c r="CD17" s="26"/>
      <c r="CE17" s="29"/>
      <c r="CF17" s="28"/>
      <c r="CG17" s="26"/>
      <c r="CH17" s="26"/>
      <c r="CI17" s="29"/>
      <c r="CJ17" s="28"/>
      <c r="CK17" s="26"/>
      <c r="CL17" s="26"/>
      <c r="CM17" s="29"/>
      <c r="CN17" s="28"/>
      <c r="CO17" s="26"/>
      <c r="CP17" s="26"/>
      <c r="CQ17" s="29"/>
      <c r="CR17" s="28"/>
      <c r="CS17" s="26"/>
      <c r="CT17" s="26"/>
      <c r="CU17" s="29"/>
      <c r="CV17" s="28"/>
      <c r="CW17" s="26"/>
      <c r="CX17" s="26"/>
      <c r="CY17" s="29"/>
      <c r="CZ17" s="28"/>
      <c r="DA17" s="26"/>
      <c r="DB17" s="26"/>
      <c r="DC17" s="29"/>
    </row>
    <row r="18" spans="1:107" ht="19.899999999999999" customHeight="1" x14ac:dyDescent="0.25">
      <c r="A18" s="188"/>
      <c r="B18" s="154" t="str">
        <f>Jugadores!D17</f>
        <v xml:space="preserve">Francisco Morales </v>
      </c>
      <c r="C18" s="155"/>
      <c r="D18" s="24">
        <f t="shared" si="0"/>
        <v>1</v>
      </c>
      <c r="E18" s="24">
        <f t="shared" si="1"/>
        <v>1</v>
      </c>
      <c r="F18" s="115">
        <f t="shared" si="2"/>
        <v>0</v>
      </c>
      <c r="G18" s="115">
        <f t="shared" si="3"/>
        <v>0</v>
      </c>
      <c r="H18" s="28"/>
      <c r="I18" s="26"/>
      <c r="J18" s="26"/>
      <c r="K18" s="29"/>
      <c r="L18" s="28"/>
      <c r="M18" s="26"/>
      <c r="N18" s="26"/>
      <c r="O18" s="29"/>
      <c r="P18" s="28"/>
      <c r="Q18" s="26"/>
      <c r="R18" s="26"/>
      <c r="S18" s="29"/>
      <c r="T18" s="28"/>
      <c r="U18" s="26"/>
      <c r="V18" s="26"/>
      <c r="W18" s="29"/>
      <c r="X18" s="28"/>
      <c r="Y18" s="26"/>
      <c r="Z18" s="26"/>
      <c r="AA18" s="29"/>
      <c r="AB18" s="28"/>
      <c r="AC18" s="26"/>
      <c r="AD18" s="26"/>
      <c r="AE18" s="29"/>
      <c r="AF18" s="28"/>
      <c r="AG18" s="26"/>
      <c r="AH18" s="26"/>
      <c r="AI18" s="29"/>
      <c r="AJ18" s="28"/>
      <c r="AK18" s="26"/>
      <c r="AL18" s="26"/>
      <c r="AM18" s="29"/>
      <c r="AN18" s="28"/>
      <c r="AO18" s="26"/>
      <c r="AP18" s="26"/>
      <c r="AQ18" s="29"/>
      <c r="AR18" s="28"/>
      <c r="AS18" s="26"/>
      <c r="AT18" s="26"/>
      <c r="AU18" s="29"/>
      <c r="AV18" s="28"/>
      <c r="AW18" s="26"/>
      <c r="AX18" s="26"/>
      <c r="AY18" s="29"/>
      <c r="AZ18" s="28"/>
      <c r="BA18" s="26"/>
      <c r="BB18" s="26"/>
      <c r="BC18" s="29"/>
      <c r="BD18" s="28"/>
      <c r="BE18" s="26"/>
      <c r="BF18" s="26"/>
      <c r="BG18" s="29"/>
      <c r="BH18" s="28">
        <v>1</v>
      </c>
      <c r="BI18" s="26"/>
      <c r="BJ18" s="26"/>
      <c r="BK18" s="29"/>
      <c r="BL18" s="28"/>
      <c r="BM18" s="26"/>
      <c r="BN18" s="26"/>
      <c r="BO18" s="29"/>
      <c r="BP18" s="28"/>
      <c r="BQ18" s="26"/>
      <c r="BR18" s="26"/>
      <c r="BS18" s="29"/>
      <c r="BT18" s="28"/>
      <c r="BU18" s="26"/>
      <c r="BV18" s="26"/>
      <c r="BW18" s="29"/>
      <c r="BX18" s="28"/>
      <c r="BY18" s="26">
        <v>1</v>
      </c>
      <c r="BZ18" s="26"/>
      <c r="CA18" s="29"/>
      <c r="CB18" s="28"/>
      <c r="CC18" s="26"/>
      <c r="CD18" s="26"/>
      <c r="CE18" s="29"/>
      <c r="CF18" s="28"/>
      <c r="CG18" s="26"/>
      <c r="CH18" s="26"/>
      <c r="CI18" s="29"/>
      <c r="CJ18" s="28"/>
      <c r="CK18" s="26"/>
      <c r="CL18" s="26"/>
      <c r="CM18" s="29"/>
      <c r="CN18" s="28"/>
      <c r="CO18" s="26"/>
      <c r="CP18" s="26"/>
      <c r="CQ18" s="29"/>
      <c r="CR18" s="28"/>
      <c r="CS18" s="26"/>
      <c r="CT18" s="26"/>
      <c r="CU18" s="29"/>
      <c r="CV18" s="28"/>
      <c r="CW18" s="26"/>
      <c r="CX18" s="26"/>
      <c r="CY18" s="29"/>
      <c r="CZ18" s="28"/>
      <c r="DA18" s="26"/>
      <c r="DB18" s="26"/>
      <c r="DC18" s="29"/>
    </row>
    <row r="19" spans="1:107" ht="14.45" customHeight="1" x14ac:dyDescent="0.25">
      <c r="B19" s="158" t="s">
        <v>105</v>
      </c>
      <c r="C19" s="159"/>
      <c r="D19" s="160"/>
      <c r="E19" s="160"/>
      <c r="F19" s="160"/>
      <c r="G19" s="160"/>
      <c r="H19" s="28"/>
      <c r="I19" s="26"/>
      <c r="J19" s="26"/>
      <c r="K19" s="29"/>
      <c r="L19" s="28"/>
      <c r="M19" s="26"/>
      <c r="N19" s="26"/>
      <c r="O19" s="29"/>
      <c r="P19" s="28"/>
      <c r="Q19" s="26"/>
      <c r="R19" s="26"/>
      <c r="S19" s="29"/>
      <c r="T19" s="28"/>
      <c r="U19" s="26"/>
      <c r="V19" s="26"/>
      <c r="W19" s="29"/>
      <c r="X19" s="28">
        <v>2</v>
      </c>
      <c r="Y19" s="26"/>
      <c r="Z19" s="26"/>
      <c r="AA19" s="29"/>
      <c r="AB19" s="28"/>
      <c r="AC19" s="26"/>
      <c r="AD19" s="26"/>
      <c r="AE19" s="29"/>
      <c r="AF19" s="28"/>
      <c r="AG19" s="26"/>
      <c r="AH19" s="26"/>
      <c r="AI19" s="29"/>
      <c r="AJ19" s="28"/>
      <c r="AK19" s="26"/>
      <c r="AL19" s="26"/>
      <c r="AM19" s="29"/>
      <c r="AN19" s="28"/>
      <c r="AO19" s="26"/>
      <c r="AP19" s="26"/>
      <c r="AQ19" s="29"/>
      <c r="AR19" s="28"/>
      <c r="AS19" s="26"/>
      <c r="AT19" s="26"/>
      <c r="AU19" s="29"/>
      <c r="AV19" s="28"/>
      <c r="AW19" s="26"/>
      <c r="AX19" s="26"/>
      <c r="AY19" s="29"/>
      <c r="AZ19" s="28"/>
      <c r="BA19" s="26"/>
      <c r="BB19" s="26"/>
      <c r="BC19" s="29"/>
      <c r="BD19" s="28"/>
      <c r="BE19" s="26"/>
      <c r="BF19" s="26"/>
      <c r="BG19" s="29"/>
      <c r="BH19" s="28"/>
      <c r="BI19" s="26"/>
      <c r="BJ19" s="26"/>
      <c r="BK19" s="29"/>
      <c r="BL19" s="28"/>
      <c r="BM19" s="26"/>
      <c r="BN19" s="26"/>
      <c r="BO19" s="29"/>
      <c r="BP19" s="28"/>
      <c r="BQ19" s="26"/>
      <c r="BR19" s="26"/>
      <c r="BS19" s="29"/>
      <c r="BT19" s="28"/>
      <c r="BU19" s="26"/>
      <c r="BV19" s="26"/>
      <c r="BW19" s="29"/>
      <c r="BX19" s="28"/>
      <c r="BY19" s="26"/>
      <c r="BZ19" s="26"/>
      <c r="CA19" s="29"/>
      <c r="CB19" s="28">
        <v>1</v>
      </c>
      <c r="CC19" s="26"/>
      <c r="CD19" s="26"/>
      <c r="CE19" s="29"/>
      <c r="CF19" s="28">
        <v>2</v>
      </c>
      <c r="CG19" s="26"/>
      <c r="CH19" s="26"/>
      <c r="CI19" s="29"/>
      <c r="CJ19" s="28"/>
      <c r="CK19" s="26"/>
      <c r="CL19" s="26"/>
      <c r="CM19" s="29"/>
      <c r="CN19" s="28"/>
      <c r="CO19" s="26"/>
      <c r="CP19" s="26"/>
      <c r="CQ19" s="29"/>
      <c r="CR19" s="28">
        <v>3</v>
      </c>
      <c r="CS19" s="26"/>
      <c r="CT19" s="26"/>
      <c r="CU19" s="29"/>
      <c r="CV19" s="28">
        <v>1</v>
      </c>
      <c r="CW19" s="26"/>
      <c r="CX19" s="26"/>
      <c r="CY19" s="29"/>
      <c r="CZ19" s="28"/>
      <c r="DA19" s="26"/>
      <c r="DB19" s="26"/>
      <c r="DC19" s="29"/>
    </row>
    <row r="20" spans="1:107" x14ac:dyDescent="0.25">
      <c r="B20" s="158" t="s">
        <v>104</v>
      </c>
      <c r="C20" s="159"/>
      <c r="D20" s="159"/>
      <c r="E20" s="159"/>
      <c r="F20" s="159"/>
      <c r="G20" s="159"/>
      <c r="H20" s="28"/>
      <c r="I20" s="26"/>
      <c r="J20" s="26"/>
      <c r="K20" s="29"/>
      <c r="L20" s="28"/>
      <c r="M20" s="26"/>
      <c r="N20" s="26"/>
      <c r="O20" s="29"/>
      <c r="P20" s="28"/>
      <c r="Q20" s="26"/>
      <c r="R20" s="26"/>
      <c r="S20" s="29"/>
      <c r="T20" s="28"/>
      <c r="U20" s="26"/>
      <c r="V20" s="26"/>
      <c r="W20" s="29"/>
      <c r="X20" s="28"/>
      <c r="Y20" s="26"/>
      <c r="Z20" s="26"/>
      <c r="AA20" s="29"/>
      <c r="AB20" s="28"/>
      <c r="AC20" s="26"/>
      <c r="AD20" s="26"/>
      <c r="AE20" s="29"/>
      <c r="AF20" s="28"/>
      <c r="AG20" s="26"/>
      <c r="AH20" s="26"/>
      <c r="AI20" s="29"/>
      <c r="AJ20" s="28"/>
      <c r="AK20" s="26"/>
      <c r="AL20" s="26"/>
      <c r="AM20" s="29"/>
      <c r="AN20" s="28"/>
      <c r="AO20" s="26"/>
      <c r="AP20" s="26"/>
      <c r="AQ20" s="29"/>
      <c r="AR20" s="28"/>
      <c r="AS20" s="26"/>
      <c r="AT20" s="26"/>
      <c r="AU20" s="29"/>
      <c r="AV20" s="28"/>
      <c r="AW20" s="26"/>
      <c r="AX20" s="26"/>
      <c r="AY20" s="29"/>
      <c r="AZ20" s="28"/>
      <c r="BA20" s="26"/>
      <c r="BB20" s="26"/>
      <c r="BC20" s="29"/>
      <c r="BD20" s="28"/>
      <c r="BE20" s="26"/>
      <c r="BF20" s="26"/>
      <c r="BG20" s="29"/>
      <c r="BH20" s="28"/>
      <c r="BI20" s="26"/>
      <c r="BJ20" s="26"/>
      <c r="BK20" s="29"/>
      <c r="BL20" s="28"/>
      <c r="BM20" s="26"/>
      <c r="BN20" s="26"/>
      <c r="BO20" s="29"/>
      <c r="BP20" s="28"/>
      <c r="BQ20" s="26"/>
      <c r="BR20" s="26"/>
      <c r="BS20" s="29"/>
      <c r="BT20" s="28"/>
      <c r="BU20" s="26"/>
      <c r="BV20" s="26"/>
      <c r="BW20" s="29"/>
      <c r="BX20" s="28"/>
      <c r="BY20" s="26"/>
      <c r="BZ20" s="26"/>
      <c r="CA20" s="29"/>
      <c r="CB20" s="28"/>
      <c r="CC20" s="26"/>
      <c r="CD20" s="26"/>
      <c r="CE20" s="29"/>
      <c r="CF20" s="28"/>
      <c r="CG20" s="26"/>
      <c r="CH20" s="26"/>
      <c r="CI20" s="29"/>
      <c r="CJ20" s="28">
        <v>3</v>
      </c>
      <c r="CK20" s="26"/>
      <c r="CL20" s="26"/>
      <c r="CM20" s="29"/>
      <c r="CN20" s="28"/>
      <c r="CO20" s="26"/>
      <c r="CP20" s="26"/>
      <c r="CQ20" s="29"/>
      <c r="CR20" s="28"/>
      <c r="CS20" s="26"/>
      <c r="CT20" s="26"/>
      <c r="CU20" s="29"/>
      <c r="CV20" s="28"/>
      <c r="CW20" s="26"/>
      <c r="CX20" s="26"/>
      <c r="CY20" s="29"/>
      <c r="CZ20" s="28"/>
      <c r="DA20" s="26"/>
      <c r="DB20" s="26"/>
      <c r="DC20" s="29"/>
    </row>
    <row r="21" spans="1:107" ht="15.75" thickBot="1" x14ac:dyDescent="0.3">
      <c r="B21" s="161" t="s">
        <v>106</v>
      </c>
      <c r="C21" s="162"/>
      <c r="D21" s="162"/>
      <c r="E21" s="162"/>
      <c r="F21" s="162"/>
      <c r="G21" s="162"/>
      <c r="H21" s="30"/>
      <c r="I21" s="31"/>
      <c r="J21" s="31"/>
      <c r="K21" s="32"/>
      <c r="L21" s="30"/>
      <c r="M21" s="31"/>
      <c r="N21" s="31"/>
      <c r="O21" s="32"/>
      <c r="P21" s="30"/>
      <c r="Q21" s="31"/>
      <c r="R21" s="31"/>
      <c r="S21" s="32"/>
      <c r="T21" s="30"/>
      <c r="U21" s="31"/>
      <c r="V21" s="31"/>
      <c r="W21" s="32"/>
      <c r="X21" s="30"/>
      <c r="Y21" s="31"/>
      <c r="Z21" s="31"/>
      <c r="AA21" s="32"/>
      <c r="AB21" s="30"/>
      <c r="AC21" s="31"/>
      <c r="AD21" s="31"/>
      <c r="AE21" s="32"/>
      <c r="AF21" s="30"/>
      <c r="AG21" s="31"/>
      <c r="AH21" s="31"/>
      <c r="AI21" s="32"/>
      <c r="AJ21" s="30"/>
      <c r="AK21" s="31"/>
      <c r="AL21" s="31"/>
      <c r="AM21" s="32"/>
      <c r="AN21" s="30"/>
      <c r="AO21" s="31"/>
      <c r="AP21" s="31"/>
      <c r="AQ21" s="32"/>
      <c r="AR21" s="30"/>
      <c r="AS21" s="31"/>
      <c r="AT21" s="31"/>
      <c r="AU21" s="32"/>
      <c r="AV21" s="30"/>
      <c r="AW21" s="31"/>
      <c r="AX21" s="31"/>
      <c r="AY21" s="32"/>
      <c r="AZ21" s="30"/>
      <c r="BA21" s="31"/>
      <c r="BB21" s="31"/>
      <c r="BC21" s="32"/>
      <c r="BD21" s="30"/>
      <c r="BE21" s="31"/>
      <c r="BF21" s="31"/>
      <c r="BG21" s="32"/>
      <c r="BH21" s="30"/>
      <c r="BI21" s="31"/>
      <c r="BJ21" s="31"/>
      <c r="BK21" s="32"/>
      <c r="BL21" s="30"/>
      <c r="BM21" s="31"/>
      <c r="BN21" s="31"/>
      <c r="BO21" s="32"/>
      <c r="BP21" s="30"/>
      <c r="BQ21" s="31"/>
      <c r="BR21" s="31"/>
      <c r="BS21" s="32"/>
      <c r="BT21" s="30"/>
      <c r="BU21" s="31"/>
      <c r="BV21" s="31"/>
      <c r="BW21" s="32"/>
      <c r="BX21" s="30"/>
      <c r="BY21" s="31"/>
      <c r="BZ21" s="31"/>
      <c r="CA21" s="32"/>
      <c r="CB21" s="30"/>
      <c r="CC21" s="31"/>
      <c r="CD21" s="31"/>
      <c r="CE21" s="32"/>
      <c r="CF21" s="30"/>
      <c r="CG21" s="31"/>
      <c r="CH21" s="31"/>
      <c r="CI21" s="32"/>
      <c r="CJ21" s="30"/>
      <c r="CK21" s="31"/>
      <c r="CL21" s="31"/>
      <c r="CM21" s="32"/>
      <c r="CN21" s="30"/>
      <c r="CO21" s="31"/>
      <c r="CP21" s="31"/>
      <c r="CQ21" s="32"/>
      <c r="CR21" s="30"/>
      <c r="CS21" s="31"/>
      <c r="CT21" s="31"/>
      <c r="CU21" s="32"/>
      <c r="CV21" s="30"/>
      <c r="CW21" s="31"/>
      <c r="CX21" s="31"/>
      <c r="CY21" s="32"/>
      <c r="CZ21" s="30"/>
      <c r="DA21" s="31"/>
      <c r="DB21" s="31"/>
      <c r="DC21" s="32"/>
    </row>
    <row r="22" spans="1:107" x14ac:dyDescent="0.25">
      <c r="B22" s="3"/>
      <c r="C22" s="27"/>
      <c r="D22" s="23">
        <f>H22+L22+P22+T22+X22+AB22+AF22+AJ22+AN22+AR22+AV22+AZ22+BD22+BH22+BL22+BP22+BT22+BX22+CB22+CF22+CJ22+CN22+CR22+CV22+CZ22</f>
        <v>75</v>
      </c>
      <c r="E22" s="23">
        <f>I22+M22+Q22+U22+Y22+AC22+AG22+AK22+AO22+AS22+AW22+BA22+BE22+BI22+BM22+BQ22+BV22+BY22+CD22+CG22+CL22+CO22+CT22+CW22+DB22</f>
        <v>8</v>
      </c>
      <c r="F22" s="23">
        <f>J22+N22+R22+V22+Z22+AD22+AH22+AL22+AP22+AT22+AX22+BB22+BF22+BJ22+BN22+BT22+BX22+CB22+CF22+CJ22+CN22+CR22+CV22+CZ22</f>
        <v>18</v>
      </c>
      <c r="G22" s="23">
        <f>K22+O22+S22+W22+AA22+AE22+AI22+AM22+AQ22+AU22+AY22+BC22+BG22+BK22+BO22+BV22+BY22+CD22+CG22+CL22+CO22+CT22+CW22+DB22</f>
        <v>1</v>
      </c>
      <c r="H22" s="33">
        <f>SUM(H4:H21)</f>
        <v>2</v>
      </c>
      <c r="I22" s="34">
        <f>SUM(I4:I21)</f>
        <v>0</v>
      </c>
      <c r="J22" s="34">
        <f>SUM(J4:J21)</f>
        <v>0</v>
      </c>
      <c r="K22" s="35">
        <f>SUM(K4:K21)</f>
        <v>0</v>
      </c>
      <c r="L22" s="33">
        <f t="shared" ref="L22:BW22" si="4">SUM(L4:L21)</f>
        <v>4</v>
      </c>
      <c r="M22" s="34">
        <f t="shared" si="4"/>
        <v>0</v>
      </c>
      <c r="N22" s="34">
        <f t="shared" si="4"/>
        <v>0</v>
      </c>
      <c r="O22" s="35">
        <f t="shared" si="4"/>
        <v>0</v>
      </c>
      <c r="P22" s="33">
        <f t="shared" si="4"/>
        <v>8</v>
      </c>
      <c r="Q22" s="34">
        <f t="shared" si="4"/>
        <v>0</v>
      </c>
      <c r="R22" s="34">
        <f t="shared" si="4"/>
        <v>0</v>
      </c>
      <c r="S22" s="35">
        <f t="shared" si="4"/>
        <v>0</v>
      </c>
      <c r="T22" s="33">
        <f t="shared" si="4"/>
        <v>6</v>
      </c>
      <c r="U22" s="34">
        <f t="shared" si="4"/>
        <v>0</v>
      </c>
      <c r="V22" s="34">
        <f t="shared" si="4"/>
        <v>0</v>
      </c>
      <c r="W22" s="35">
        <f t="shared" si="4"/>
        <v>0</v>
      </c>
      <c r="X22" s="33">
        <f t="shared" si="4"/>
        <v>5</v>
      </c>
      <c r="Y22" s="34">
        <f t="shared" si="4"/>
        <v>0</v>
      </c>
      <c r="Z22" s="34">
        <f t="shared" si="4"/>
        <v>0</v>
      </c>
      <c r="AA22" s="35">
        <f t="shared" si="4"/>
        <v>0</v>
      </c>
      <c r="AB22" s="33">
        <f t="shared" si="4"/>
        <v>2</v>
      </c>
      <c r="AC22" s="34">
        <f t="shared" si="4"/>
        <v>1</v>
      </c>
      <c r="AD22" s="34">
        <f t="shared" si="4"/>
        <v>0</v>
      </c>
      <c r="AE22" s="35">
        <f t="shared" si="4"/>
        <v>0</v>
      </c>
      <c r="AF22" s="33">
        <f t="shared" si="4"/>
        <v>1</v>
      </c>
      <c r="AG22" s="34">
        <f t="shared" si="4"/>
        <v>1</v>
      </c>
      <c r="AH22" s="34">
        <f t="shared" si="4"/>
        <v>0</v>
      </c>
      <c r="AI22" s="35">
        <f t="shared" si="4"/>
        <v>0</v>
      </c>
      <c r="AJ22" s="33">
        <f t="shared" si="4"/>
        <v>3</v>
      </c>
      <c r="AK22" s="34">
        <f t="shared" si="4"/>
        <v>1</v>
      </c>
      <c r="AL22" s="34">
        <f t="shared" si="4"/>
        <v>0</v>
      </c>
      <c r="AM22" s="35">
        <f t="shared" si="4"/>
        <v>0</v>
      </c>
      <c r="AN22" s="33">
        <f t="shared" si="4"/>
        <v>3</v>
      </c>
      <c r="AO22" s="34">
        <f t="shared" si="4"/>
        <v>0</v>
      </c>
      <c r="AP22" s="34">
        <f t="shared" si="4"/>
        <v>0</v>
      </c>
      <c r="AQ22" s="35">
        <f t="shared" si="4"/>
        <v>0</v>
      </c>
      <c r="AR22" s="33">
        <f t="shared" si="4"/>
        <v>1</v>
      </c>
      <c r="AS22" s="34">
        <f t="shared" si="4"/>
        <v>1</v>
      </c>
      <c r="AT22" s="34">
        <f t="shared" si="4"/>
        <v>0</v>
      </c>
      <c r="AU22" s="35">
        <f t="shared" si="4"/>
        <v>0</v>
      </c>
      <c r="AV22" s="33">
        <f t="shared" si="4"/>
        <v>6</v>
      </c>
      <c r="AW22" s="34">
        <f t="shared" si="4"/>
        <v>0</v>
      </c>
      <c r="AX22" s="34">
        <f t="shared" si="4"/>
        <v>0</v>
      </c>
      <c r="AY22" s="35">
        <f t="shared" si="4"/>
        <v>0</v>
      </c>
      <c r="AZ22" s="33">
        <f t="shared" si="4"/>
        <v>3</v>
      </c>
      <c r="BA22" s="34">
        <f t="shared" si="4"/>
        <v>0</v>
      </c>
      <c r="BB22" s="34">
        <f t="shared" si="4"/>
        <v>0</v>
      </c>
      <c r="BC22" s="35">
        <f t="shared" si="4"/>
        <v>0</v>
      </c>
      <c r="BD22" s="33">
        <f t="shared" si="4"/>
        <v>5</v>
      </c>
      <c r="BE22" s="34">
        <f t="shared" si="4"/>
        <v>0</v>
      </c>
      <c r="BF22" s="34">
        <f t="shared" si="4"/>
        <v>0</v>
      </c>
      <c r="BG22" s="35">
        <f t="shared" si="4"/>
        <v>0</v>
      </c>
      <c r="BH22" s="33">
        <f t="shared" si="4"/>
        <v>4</v>
      </c>
      <c r="BI22" s="34">
        <f t="shared" si="4"/>
        <v>1</v>
      </c>
      <c r="BJ22" s="34">
        <f t="shared" si="4"/>
        <v>0</v>
      </c>
      <c r="BK22" s="35">
        <f t="shared" si="4"/>
        <v>0</v>
      </c>
      <c r="BL22" s="33">
        <f t="shared" si="4"/>
        <v>4</v>
      </c>
      <c r="BM22" s="34">
        <f>SUM(BM4:BM21)</f>
        <v>1</v>
      </c>
      <c r="BN22" s="34">
        <f t="shared" si="4"/>
        <v>0</v>
      </c>
      <c r="BO22" s="35">
        <f t="shared" si="4"/>
        <v>0</v>
      </c>
      <c r="BP22" s="33">
        <f t="shared" si="4"/>
        <v>0</v>
      </c>
      <c r="BQ22" s="34">
        <f t="shared" si="4"/>
        <v>1</v>
      </c>
      <c r="BR22" s="34">
        <f t="shared" si="4"/>
        <v>0</v>
      </c>
      <c r="BS22" s="35">
        <f t="shared" si="4"/>
        <v>0</v>
      </c>
      <c r="BT22" s="33">
        <f t="shared" si="4"/>
        <v>0</v>
      </c>
      <c r="BU22" s="34">
        <f t="shared" si="4"/>
        <v>0</v>
      </c>
      <c r="BV22" s="34">
        <f t="shared" si="4"/>
        <v>0</v>
      </c>
      <c r="BW22" s="35">
        <f t="shared" si="4"/>
        <v>0</v>
      </c>
      <c r="BX22" s="33">
        <f t="shared" ref="BX22:DC22" si="5">SUM(BX4:BX21)</f>
        <v>2</v>
      </c>
      <c r="BY22" s="34">
        <f t="shared" si="5"/>
        <v>1</v>
      </c>
      <c r="BZ22" s="34">
        <f t="shared" si="5"/>
        <v>0</v>
      </c>
      <c r="CA22" s="35">
        <f t="shared" si="5"/>
        <v>0</v>
      </c>
      <c r="CB22" s="33">
        <f t="shared" si="5"/>
        <v>2</v>
      </c>
      <c r="CC22" s="34">
        <f t="shared" si="5"/>
        <v>1</v>
      </c>
      <c r="CD22" s="34">
        <f t="shared" si="5"/>
        <v>0</v>
      </c>
      <c r="CE22" s="35">
        <f t="shared" si="5"/>
        <v>0</v>
      </c>
      <c r="CF22" s="33">
        <f t="shared" si="5"/>
        <v>5</v>
      </c>
      <c r="CG22" s="34">
        <f t="shared" si="5"/>
        <v>0</v>
      </c>
      <c r="CH22" s="34">
        <f t="shared" si="5"/>
        <v>0</v>
      </c>
      <c r="CI22" s="35">
        <f t="shared" si="5"/>
        <v>0</v>
      </c>
      <c r="CJ22" s="33">
        <f t="shared" si="5"/>
        <v>3</v>
      </c>
      <c r="CK22" s="34">
        <f t="shared" si="5"/>
        <v>0</v>
      </c>
      <c r="CL22" s="34">
        <f t="shared" si="5"/>
        <v>0</v>
      </c>
      <c r="CM22" s="35">
        <f t="shared" si="5"/>
        <v>0</v>
      </c>
      <c r="CN22" s="33">
        <f t="shared" si="5"/>
        <v>0</v>
      </c>
      <c r="CO22" s="34">
        <f t="shared" si="5"/>
        <v>0</v>
      </c>
      <c r="CP22" s="34">
        <f t="shared" si="5"/>
        <v>0</v>
      </c>
      <c r="CQ22" s="35">
        <f t="shared" si="5"/>
        <v>0</v>
      </c>
      <c r="CR22" s="33">
        <f t="shared" si="5"/>
        <v>5</v>
      </c>
      <c r="CS22" s="34">
        <f t="shared" si="5"/>
        <v>0</v>
      </c>
      <c r="CT22" s="34">
        <f t="shared" si="5"/>
        <v>0</v>
      </c>
      <c r="CU22" s="35">
        <f t="shared" si="5"/>
        <v>0</v>
      </c>
      <c r="CV22" s="33">
        <f t="shared" si="5"/>
        <v>1</v>
      </c>
      <c r="CW22" s="34">
        <f t="shared" si="5"/>
        <v>0</v>
      </c>
      <c r="CX22" s="34">
        <f t="shared" si="5"/>
        <v>0</v>
      </c>
      <c r="CY22" s="35">
        <f t="shared" si="5"/>
        <v>0</v>
      </c>
      <c r="CZ22" s="33">
        <f t="shared" si="5"/>
        <v>0</v>
      </c>
      <c r="DA22" s="34">
        <f t="shared" si="5"/>
        <v>0</v>
      </c>
      <c r="DB22" s="34">
        <f t="shared" si="5"/>
        <v>0</v>
      </c>
      <c r="DC22" s="35">
        <f t="shared" si="5"/>
        <v>0</v>
      </c>
    </row>
    <row r="23" spans="1:107" ht="14.45" customHeight="1" x14ac:dyDescent="0.25">
      <c r="B23" s="3"/>
      <c r="C23" s="27"/>
      <c r="D23" s="148" t="s">
        <v>86</v>
      </c>
      <c r="E23" s="148" t="s">
        <v>97</v>
      </c>
      <c r="F23" s="148" t="s">
        <v>99</v>
      </c>
      <c r="G23" s="148" t="s">
        <v>98</v>
      </c>
      <c r="H23" s="145" t="s">
        <v>86</v>
      </c>
      <c r="I23" s="148" t="s">
        <v>97</v>
      </c>
      <c r="J23" s="148" t="s">
        <v>99</v>
      </c>
      <c r="K23" s="151" t="s">
        <v>98</v>
      </c>
      <c r="L23" s="145" t="s">
        <v>86</v>
      </c>
      <c r="M23" s="148" t="s">
        <v>97</v>
      </c>
      <c r="N23" s="148" t="s">
        <v>99</v>
      </c>
      <c r="O23" s="151" t="s">
        <v>98</v>
      </c>
      <c r="P23" s="145" t="s">
        <v>86</v>
      </c>
      <c r="Q23" s="148" t="s">
        <v>97</v>
      </c>
      <c r="R23" s="148" t="s">
        <v>99</v>
      </c>
      <c r="S23" s="151" t="s">
        <v>98</v>
      </c>
      <c r="T23" s="145" t="s">
        <v>86</v>
      </c>
      <c r="U23" s="148" t="s">
        <v>97</v>
      </c>
      <c r="V23" s="148" t="s">
        <v>99</v>
      </c>
      <c r="W23" s="151" t="s">
        <v>98</v>
      </c>
      <c r="X23" s="145" t="s">
        <v>86</v>
      </c>
      <c r="Y23" s="148" t="s">
        <v>97</v>
      </c>
      <c r="Z23" s="148" t="s">
        <v>99</v>
      </c>
      <c r="AA23" s="151" t="s">
        <v>98</v>
      </c>
      <c r="AB23" s="145" t="s">
        <v>86</v>
      </c>
      <c r="AC23" s="148" t="s">
        <v>97</v>
      </c>
      <c r="AD23" s="148" t="s">
        <v>99</v>
      </c>
      <c r="AE23" s="151" t="s">
        <v>98</v>
      </c>
      <c r="AF23" s="145" t="s">
        <v>86</v>
      </c>
      <c r="AG23" s="148" t="s">
        <v>97</v>
      </c>
      <c r="AH23" s="148" t="s">
        <v>99</v>
      </c>
      <c r="AI23" s="151" t="s">
        <v>98</v>
      </c>
      <c r="AJ23" s="145" t="s">
        <v>86</v>
      </c>
      <c r="AK23" s="148" t="s">
        <v>97</v>
      </c>
      <c r="AL23" s="148" t="s">
        <v>99</v>
      </c>
      <c r="AM23" s="151" t="s">
        <v>98</v>
      </c>
      <c r="AN23" s="145" t="s">
        <v>86</v>
      </c>
      <c r="AO23" s="148" t="s">
        <v>97</v>
      </c>
      <c r="AP23" s="148" t="s">
        <v>99</v>
      </c>
      <c r="AQ23" s="151" t="s">
        <v>98</v>
      </c>
      <c r="AR23" s="145" t="s">
        <v>86</v>
      </c>
      <c r="AS23" s="148" t="s">
        <v>97</v>
      </c>
      <c r="AT23" s="148" t="s">
        <v>99</v>
      </c>
      <c r="AU23" s="151" t="s">
        <v>98</v>
      </c>
      <c r="AV23" s="145" t="s">
        <v>86</v>
      </c>
      <c r="AW23" s="148" t="s">
        <v>97</v>
      </c>
      <c r="AX23" s="148" t="s">
        <v>99</v>
      </c>
      <c r="AY23" s="151" t="s">
        <v>98</v>
      </c>
      <c r="AZ23" s="145" t="s">
        <v>86</v>
      </c>
      <c r="BA23" s="148" t="s">
        <v>97</v>
      </c>
      <c r="BB23" s="148" t="s">
        <v>99</v>
      </c>
      <c r="BC23" s="151" t="s">
        <v>98</v>
      </c>
      <c r="BD23" s="145" t="s">
        <v>86</v>
      </c>
      <c r="BE23" s="148" t="s">
        <v>97</v>
      </c>
      <c r="BF23" s="148" t="s">
        <v>99</v>
      </c>
      <c r="BG23" s="151" t="s">
        <v>98</v>
      </c>
      <c r="BH23" s="145" t="s">
        <v>86</v>
      </c>
      <c r="BI23" s="148" t="s">
        <v>97</v>
      </c>
      <c r="BJ23" s="148" t="s">
        <v>99</v>
      </c>
      <c r="BK23" s="151" t="s">
        <v>98</v>
      </c>
      <c r="BL23" s="145" t="s">
        <v>86</v>
      </c>
      <c r="BM23" s="148" t="s">
        <v>97</v>
      </c>
      <c r="BN23" s="148" t="s">
        <v>99</v>
      </c>
      <c r="BO23" s="151" t="s">
        <v>98</v>
      </c>
      <c r="BP23" s="145" t="s">
        <v>86</v>
      </c>
      <c r="BQ23" s="148" t="s">
        <v>97</v>
      </c>
      <c r="BR23" s="148" t="s">
        <v>99</v>
      </c>
      <c r="BS23" s="151" t="s">
        <v>98</v>
      </c>
      <c r="BT23" s="145" t="s">
        <v>86</v>
      </c>
      <c r="BU23" s="148" t="s">
        <v>97</v>
      </c>
      <c r="BV23" s="148" t="s">
        <v>99</v>
      </c>
      <c r="BW23" s="151" t="s">
        <v>98</v>
      </c>
      <c r="BX23" s="145" t="s">
        <v>86</v>
      </c>
      <c r="BY23" s="148" t="s">
        <v>97</v>
      </c>
      <c r="BZ23" s="148" t="s">
        <v>99</v>
      </c>
      <c r="CA23" s="151" t="s">
        <v>98</v>
      </c>
      <c r="CB23" s="145" t="s">
        <v>86</v>
      </c>
      <c r="CC23" s="148" t="s">
        <v>97</v>
      </c>
      <c r="CD23" s="148" t="s">
        <v>99</v>
      </c>
      <c r="CE23" s="151" t="s">
        <v>98</v>
      </c>
      <c r="CF23" s="145" t="s">
        <v>86</v>
      </c>
      <c r="CG23" s="148" t="s">
        <v>97</v>
      </c>
      <c r="CH23" s="148" t="s">
        <v>99</v>
      </c>
      <c r="CI23" s="151" t="s">
        <v>98</v>
      </c>
      <c r="CJ23" s="145" t="s">
        <v>86</v>
      </c>
      <c r="CK23" s="148" t="s">
        <v>97</v>
      </c>
      <c r="CL23" s="148" t="s">
        <v>99</v>
      </c>
      <c r="CM23" s="151" t="s">
        <v>98</v>
      </c>
      <c r="CN23" s="145" t="s">
        <v>86</v>
      </c>
      <c r="CO23" s="148" t="s">
        <v>97</v>
      </c>
      <c r="CP23" s="148" t="s">
        <v>99</v>
      </c>
      <c r="CQ23" s="151" t="s">
        <v>98</v>
      </c>
      <c r="CR23" s="145" t="s">
        <v>86</v>
      </c>
      <c r="CS23" s="148" t="s">
        <v>97</v>
      </c>
      <c r="CT23" s="148" t="s">
        <v>99</v>
      </c>
      <c r="CU23" s="151" t="s">
        <v>98</v>
      </c>
      <c r="CV23" s="145" t="s">
        <v>86</v>
      </c>
      <c r="CW23" s="148" t="s">
        <v>97</v>
      </c>
      <c r="CX23" s="148" t="s">
        <v>99</v>
      </c>
      <c r="CY23" s="151" t="s">
        <v>98</v>
      </c>
      <c r="CZ23" s="145" t="s">
        <v>86</v>
      </c>
      <c r="DA23" s="148" t="s">
        <v>97</v>
      </c>
      <c r="DB23" s="148" t="s">
        <v>99</v>
      </c>
      <c r="DC23" s="151" t="s">
        <v>98</v>
      </c>
    </row>
    <row r="24" spans="1:107" x14ac:dyDescent="0.25">
      <c r="B24" s="3"/>
      <c r="C24" s="27"/>
      <c r="D24" s="149"/>
      <c r="E24" s="149"/>
      <c r="F24" s="149"/>
      <c r="G24" s="149"/>
      <c r="H24" s="146"/>
      <c r="I24" s="149"/>
      <c r="J24" s="149"/>
      <c r="K24" s="152"/>
      <c r="L24" s="146"/>
      <c r="M24" s="149"/>
      <c r="N24" s="149"/>
      <c r="O24" s="152"/>
      <c r="P24" s="146"/>
      <c r="Q24" s="149"/>
      <c r="R24" s="149"/>
      <c r="S24" s="152"/>
      <c r="T24" s="146"/>
      <c r="U24" s="149"/>
      <c r="V24" s="149"/>
      <c r="W24" s="152"/>
      <c r="X24" s="146"/>
      <c r="Y24" s="149"/>
      <c r="Z24" s="149"/>
      <c r="AA24" s="152"/>
      <c r="AB24" s="146"/>
      <c r="AC24" s="149"/>
      <c r="AD24" s="149"/>
      <c r="AE24" s="152"/>
      <c r="AF24" s="146"/>
      <c r="AG24" s="149"/>
      <c r="AH24" s="149"/>
      <c r="AI24" s="152"/>
      <c r="AJ24" s="146"/>
      <c r="AK24" s="149"/>
      <c r="AL24" s="149"/>
      <c r="AM24" s="152"/>
      <c r="AN24" s="146"/>
      <c r="AO24" s="149"/>
      <c r="AP24" s="149"/>
      <c r="AQ24" s="152"/>
      <c r="AR24" s="146"/>
      <c r="AS24" s="149"/>
      <c r="AT24" s="149"/>
      <c r="AU24" s="152"/>
      <c r="AV24" s="146"/>
      <c r="AW24" s="149"/>
      <c r="AX24" s="149"/>
      <c r="AY24" s="152"/>
      <c r="AZ24" s="146"/>
      <c r="BA24" s="149"/>
      <c r="BB24" s="149"/>
      <c r="BC24" s="152"/>
      <c r="BD24" s="146"/>
      <c r="BE24" s="149"/>
      <c r="BF24" s="149"/>
      <c r="BG24" s="152"/>
      <c r="BH24" s="146"/>
      <c r="BI24" s="149"/>
      <c r="BJ24" s="149"/>
      <c r="BK24" s="152"/>
      <c r="BL24" s="146"/>
      <c r="BM24" s="149"/>
      <c r="BN24" s="149"/>
      <c r="BO24" s="152"/>
      <c r="BP24" s="146"/>
      <c r="BQ24" s="149"/>
      <c r="BR24" s="149"/>
      <c r="BS24" s="152"/>
      <c r="BT24" s="146"/>
      <c r="BU24" s="149"/>
      <c r="BV24" s="149"/>
      <c r="BW24" s="152"/>
      <c r="BX24" s="146"/>
      <c r="BY24" s="149"/>
      <c r="BZ24" s="149"/>
      <c r="CA24" s="152"/>
      <c r="CB24" s="146"/>
      <c r="CC24" s="149"/>
      <c r="CD24" s="149"/>
      <c r="CE24" s="152"/>
      <c r="CF24" s="146"/>
      <c r="CG24" s="149"/>
      <c r="CH24" s="149"/>
      <c r="CI24" s="152"/>
      <c r="CJ24" s="146"/>
      <c r="CK24" s="149"/>
      <c r="CL24" s="149"/>
      <c r="CM24" s="152"/>
      <c r="CN24" s="146"/>
      <c r="CO24" s="149"/>
      <c r="CP24" s="149"/>
      <c r="CQ24" s="152"/>
      <c r="CR24" s="146"/>
      <c r="CS24" s="149"/>
      <c r="CT24" s="149"/>
      <c r="CU24" s="152"/>
      <c r="CV24" s="146"/>
      <c r="CW24" s="149"/>
      <c r="CX24" s="149"/>
      <c r="CY24" s="152"/>
      <c r="CZ24" s="146"/>
      <c r="DA24" s="149"/>
      <c r="DB24" s="149"/>
      <c r="DC24" s="152"/>
    </row>
    <row r="25" spans="1:107" x14ac:dyDescent="0.25">
      <c r="D25" s="149"/>
      <c r="E25" s="149"/>
      <c r="F25" s="149"/>
      <c r="G25" s="149"/>
      <c r="H25" s="146"/>
      <c r="I25" s="149"/>
      <c r="J25" s="149"/>
      <c r="K25" s="152"/>
      <c r="L25" s="146"/>
      <c r="M25" s="149"/>
      <c r="N25" s="149"/>
      <c r="O25" s="152"/>
      <c r="P25" s="146"/>
      <c r="Q25" s="149"/>
      <c r="R25" s="149"/>
      <c r="S25" s="152"/>
      <c r="T25" s="146"/>
      <c r="U25" s="149"/>
      <c r="V25" s="149"/>
      <c r="W25" s="152"/>
      <c r="X25" s="146"/>
      <c r="Y25" s="149"/>
      <c r="Z25" s="149"/>
      <c r="AA25" s="152"/>
      <c r="AB25" s="146"/>
      <c r="AC25" s="149"/>
      <c r="AD25" s="149"/>
      <c r="AE25" s="152"/>
      <c r="AF25" s="146"/>
      <c r="AG25" s="149"/>
      <c r="AH25" s="149"/>
      <c r="AI25" s="152"/>
      <c r="AJ25" s="146"/>
      <c r="AK25" s="149"/>
      <c r="AL25" s="149"/>
      <c r="AM25" s="152"/>
      <c r="AN25" s="146"/>
      <c r="AO25" s="149"/>
      <c r="AP25" s="149"/>
      <c r="AQ25" s="152"/>
      <c r="AR25" s="146"/>
      <c r="AS25" s="149"/>
      <c r="AT25" s="149"/>
      <c r="AU25" s="152"/>
      <c r="AV25" s="146"/>
      <c r="AW25" s="149"/>
      <c r="AX25" s="149"/>
      <c r="AY25" s="152"/>
      <c r="AZ25" s="146"/>
      <c r="BA25" s="149"/>
      <c r="BB25" s="149"/>
      <c r="BC25" s="152"/>
      <c r="BD25" s="146"/>
      <c r="BE25" s="149"/>
      <c r="BF25" s="149"/>
      <c r="BG25" s="152"/>
      <c r="BH25" s="146"/>
      <c r="BI25" s="149"/>
      <c r="BJ25" s="149"/>
      <c r="BK25" s="152"/>
      <c r="BL25" s="146"/>
      <c r="BM25" s="149"/>
      <c r="BN25" s="149"/>
      <c r="BO25" s="152"/>
      <c r="BP25" s="146"/>
      <c r="BQ25" s="149"/>
      <c r="BR25" s="149"/>
      <c r="BS25" s="152"/>
      <c r="BT25" s="146"/>
      <c r="BU25" s="149"/>
      <c r="BV25" s="149"/>
      <c r="BW25" s="152"/>
      <c r="BX25" s="146"/>
      <c r="BY25" s="149"/>
      <c r="BZ25" s="149"/>
      <c r="CA25" s="152"/>
      <c r="CB25" s="146"/>
      <c r="CC25" s="149"/>
      <c r="CD25" s="149"/>
      <c r="CE25" s="152"/>
      <c r="CF25" s="146"/>
      <c r="CG25" s="149"/>
      <c r="CH25" s="149"/>
      <c r="CI25" s="152"/>
      <c r="CJ25" s="146"/>
      <c r="CK25" s="149"/>
      <c r="CL25" s="149"/>
      <c r="CM25" s="152"/>
      <c r="CN25" s="146"/>
      <c r="CO25" s="149"/>
      <c r="CP25" s="149"/>
      <c r="CQ25" s="152"/>
      <c r="CR25" s="146"/>
      <c r="CS25" s="149"/>
      <c r="CT25" s="149"/>
      <c r="CU25" s="152"/>
      <c r="CV25" s="146"/>
      <c r="CW25" s="149"/>
      <c r="CX25" s="149"/>
      <c r="CY25" s="152"/>
      <c r="CZ25" s="146"/>
      <c r="DA25" s="149"/>
      <c r="DB25" s="149"/>
      <c r="DC25" s="152"/>
    </row>
    <row r="26" spans="1:107" ht="15.75" thickBot="1" x14ac:dyDescent="0.3">
      <c r="D26" s="149"/>
      <c r="E26" s="149"/>
      <c r="F26" s="149"/>
      <c r="G26" s="149"/>
      <c r="H26" s="147"/>
      <c r="I26" s="150"/>
      <c r="J26" s="150"/>
      <c r="K26" s="153"/>
      <c r="L26" s="147"/>
      <c r="M26" s="150"/>
      <c r="N26" s="150"/>
      <c r="O26" s="153"/>
      <c r="P26" s="147"/>
      <c r="Q26" s="150"/>
      <c r="R26" s="150"/>
      <c r="S26" s="153"/>
      <c r="T26" s="147"/>
      <c r="U26" s="150"/>
      <c r="V26" s="150"/>
      <c r="W26" s="153"/>
      <c r="X26" s="147"/>
      <c r="Y26" s="150"/>
      <c r="Z26" s="150"/>
      <c r="AA26" s="153"/>
      <c r="AB26" s="147"/>
      <c r="AC26" s="150"/>
      <c r="AD26" s="150"/>
      <c r="AE26" s="153"/>
      <c r="AF26" s="147"/>
      <c r="AG26" s="150"/>
      <c r="AH26" s="150"/>
      <c r="AI26" s="153"/>
      <c r="AJ26" s="147"/>
      <c r="AK26" s="150"/>
      <c r="AL26" s="150"/>
      <c r="AM26" s="153"/>
      <c r="AN26" s="147"/>
      <c r="AO26" s="150"/>
      <c r="AP26" s="150"/>
      <c r="AQ26" s="153"/>
      <c r="AR26" s="147"/>
      <c r="AS26" s="150"/>
      <c r="AT26" s="150"/>
      <c r="AU26" s="153"/>
      <c r="AV26" s="147"/>
      <c r="AW26" s="150"/>
      <c r="AX26" s="150"/>
      <c r="AY26" s="153"/>
      <c r="AZ26" s="147"/>
      <c r="BA26" s="150"/>
      <c r="BB26" s="150"/>
      <c r="BC26" s="153"/>
      <c r="BD26" s="147"/>
      <c r="BE26" s="150"/>
      <c r="BF26" s="150"/>
      <c r="BG26" s="153"/>
      <c r="BH26" s="147"/>
      <c r="BI26" s="150"/>
      <c r="BJ26" s="150"/>
      <c r="BK26" s="153"/>
      <c r="BL26" s="147"/>
      <c r="BM26" s="150"/>
      <c r="BN26" s="150"/>
      <c r="BO26" s="153"/>
      <c r="BP26" s="147"/>
      <c r="BQ26" s="150"/>
      <c r="BR26" s="150"/>
      <c r="BS26" s="153"/>
      <c r="BT26" s="147"/>
      <c r="BU26" s="150"/>
      <c r="BV26" s="150"/>
      <c r="BW26" s="153"/>
      <c r="BX26" s="147"/>
      <c r="BY26" s="150"/>
      <c r="BZ26" s="150"/>
      <c r="CA26" s="153"/>
      <c r="CB26" s="147"/>
      <c r="CC26" s="150"/>
      <c r="CD26" s="150"/>
      <c r="CE26" s="153"/>
      <c r="CF26" s="147"/>
      <c r="CG26" s="150"/>
      <c r="CH26" s="150"/>
      <c r="CI26" s="153"/>
      <c r="CJ26" s="147"/>
      <c r="CK26" s="150"/>
      <c r="CL26" s="150"/>
      <c r="CM26" s="153"/>
      <c r="CN26" s="147"/>
      <c r="CO26" s="150"/>
      <c r="CP26" s="150"/>
      <c r="CQ26" s="153"/>
      <c r="CR26" s="147"/>
      <c r="CS26" s="150"/>
      <c r="CT26" s="150"/>
      <c r="CU26" s="153"/>
      <c r="CV26" s="147"/>
      <c r="CW26" s="150"/>
      <c r="CX26" s="150"/>
      <c r="CY26" s="153"/>
      <c r="CZ26" s="147"/>
      <c r="DA26" s="150"/>
      <c r="DB26" s="150"/>
      <c r="DC26" s="153"/>
    </row>
    <row r="27" spans="1:107" ht="15.75" x14ac:dyDescent="0.25">
      <c r="H27" s="80"/>
      <c r="L27" s="80"/>
      <c r="P27" s="80"/>
      <c r="T27" s="80"/>
      <c r="X27" s="80"/>
      <c r="AB27" s="80"/>
      <c r="AF27" s="80"/>
      <c r="AJ27" s="80"/>
      <c r="AN27" s="80"/>
      <c r="AR27" s="80"/>
      <c r="AV27" s="80"/>
      <c r="AZ27" s="80"/>
      <c r="BD27" s="80"/>
    </row>
  </sheetData>
  <mergeCells count="200">
    <mergeCell ref="AR1:AU1"/>
    <mergeCell ref="AV1:AY1"/>
    <mergeCell ref="CV1:CY1"/>
    <mergeCell ref="CZ1:DC1"/>
    <mergeCell ref="BX1:CA1"/>
    <mergeCell ref="CB1:CE1"/>
    <mergeCell ref="CF1:CI1"/>
    <mergeCell ref="CJ1:CM1"/>
    <mergeCell ref="CN1:CQ1"/>
    <mergeCell ref="CR1:CU1"/>
    <mergeCell ref="AZ1:BC1"/>
    <mergeCell ref="BD1:BG1"/>
    <mergeCell ref="BH1:BK1"/>
    <mergeCell ref="BL1:BO1"/>
    <mergeCell ref="BP1:BS1"/>
    <mergeCell ref="BT1:BW1"/>
    <mergeCell ref="AV3:AY3"/>
    <mergeCell ref="AZ3:BC3"/>
    <mergeCell ref="BD3:BG3"/>
    <mergeCell ref="BH3:BK3"/>
    <mergeCell ref="BL3:BO3"/>
    <mergeCell ref="A1:C3"/>
    <mergeCell ref="H1:K1"/>
    <mergeCell ref="L1:O1"/>
    <mergeCell ref="H3:K3"/>
    <mergeCell ref="L3:O3"/>
    <mergeCell ref="P3:S3"/>
    <mergeCell ref="T3:W3"/>
    <mergeCell ref="X3:AA3"/>
    <mergeCell ref="AB3:AE3"/>
    <mergeCell ref="AF3:AI3"/>
    <mergeCell ref="AJ3:AM3"/>
    <mergeCell ref="AN3:AQ3"/>
    <mergeCell ref="P1:S1"/>
    <mergeCell ref="T1:W1"/>
    <mergeCell ref="X1:AA1"/>
    <mergeCell ref="AB1:AE1"/>
    <mergeCell ref="AF1:AI1"/>
    <mergeCell ref="AJ1:AM1"/>
    <mergeCell ref="AN1:AQ1"/>
    <mergeCell ref="B10:C10"/>
    <mergeCell ref="B11:C11"/>
    <mergeCell ref="B12:C12"/>
    <mergeCell ref="B13:C13"/>
    <mergeCell ref="B14:C14"/>
    <mergeCell ref="B15:C15"/>
    <mergeCell ref="CV3:CY3"/>
    <mergeCell ref="CZ3:DC3"/>
    <mergeCell ref="A4:A18"/>
    <mergeCell ref="B4:C4"/>
    <mergeCell ref="B5:C5"/>
    <mergeCell ref="B6:C6"/>
    <mergeCell ref="B7:C7"/>
    <mergeCell ref="B8:C8"/>
    <mergeCell ref="B9:C9"/>
    <mergeCell ref="CN3:CQ3"/>
    <mergeCell ref="CR3:CU3"/>
    <mergeCell ref="BP3:BS3"/>
    <mergeCell ref="BT3:BW3"/>
    <mergeCell ref="BX3:CA3"/>
    <mergeCell ref="CB3:CE3"/>
    <mergeCell ref="CF3:CI3"/>
    <mergeCell ref="CJ3:CM3"/>
    <mergeCell ref="AR3:AU3"/>
    <mergeCell ref="H23:H26"/>
    <mergeCell ref="I23:I26"/>
    <mergeCell ref="J23:J26"/>
    <mergeCell ref="K23:K26"/>
    <mergeCell ref="L23:L26"/>
    <mergeCell ref="M23:M26"/>
    <mergeCell ref="B16:C16"/>
    <mergeCell ref="B18:C18"/>
    <mergeCell ref="B19:G19"/>
    <mergeCell ref="B20:G20"/>
    <mergeCell ref="B21:G21"/>
    <mergeCell ref="D23:D26"/>
    <mergeCell ref="E23:E26"/>
    <mergeCell ref="F23:F26"/>
    <mergeCell ref="G23:G26"/>
    <mergeCell ref="B17:C17"/>
    <mergeCell ref="T23:T26"/>
    <mergeCell ref="U23:U26"/>
    <mergeCell ref="V23:V26"/>
    <mergeCell ref="W23:W26"/>
    <mergeCell ref="X23:X26"/>
    <mergeCell ref="Y23:Y26"/>
    <mergeCell ref="N23:N26"/>
    <mergeCell ref="O23:O26"/>
    <mergeCell ref="P23:P26"/>
    <mergeCell ref="Q23:Q26"/>
    <mergeCell ref="R23:R26"/>
    <mergeCell ref="S23:S26"/>
    <mergeCell ref="AF23:AF26"/>
    <mergeCell ref="AG23:AG26"/>
    <mergeCell ref="AH23:AH26"/>
    <mergeCell ref="AI23:AI26"/>
    <mergeCell ref="AJ23:AJ26"/>
    <mergeCell ref="AK23:AK26"/>
    <mergeCell ref="Z23:Z26"/>
    <mergeCell ref="AA23:AA26"/>
    <mergeCell ref="AB23:AB26"/>
    <mergeCell ref="AC23:AC26"/>
    <mergeCell ref="AD23:AD26"/>
    <mergeCell ref="AE23:AE26"/>
    <mergeCell ref="AR23:AR26"/>
    <mergeCell ref="AS23:AS26"/>
    <mergeCell ref="AT23:AT26"/>
    <mergeCell ref="AU23:AU26"/>
    <mergeCell ref="AV23:AV26"/>
    <mergeCell ref="AW23:AW26"/>
    <mergeCell ref="AL23:AL26"/>
    <mergeCell ref="AM23:AM26"/>
    <mergeCell ref="AN23:AN26"/>
    <mergeCell ref="AO23:AO26"/>
    <mergeCell ref="AP23:AP26"/>
    <mergeCell ref="AQ23:AQ26"/>
    <mergeCell ref="BD23:BD26"/>
    <mergeCell ref="BE23:BE26"/>
    <mergeCell ref="BF23:BF26"/>
    <mergeCell ref="BG23:BG26"/>
    <mergeCell ref="BH23:BH26"/>
    <mergeCell ref="BI23:BI26"/>
    <mergeCell ref="AX23:AX26"/>
    <mergeCell ref="AY23:AY26"/>
    <mergeCell ref="AZ23:AZ26"/>
    <mergeCell ref="BA23:BA26"/>
    <mergeCell ref="BB23:BB26"/>
    <mergeCell ref="BC23:BC26"/>
    <mergeCell ref="BP23:BP26"/>
    <mergeCell ref="BQ23:BQ26"/>
    <mergeCell ref="BR23:BR26"/>
    <mergeCell ref="BS23:BS26"/>
    <mergeCell ref="BT23:BT26"/>
    <mergeCell ref="BU23:BU26"/>
    <mergeCell ref="BJ23:BJ26"/>
    <mergeCell ref="BK23:BK26"/>
    <mergeCell ref="BL23:BL26"/>
    <mergeCell ref="BM23:BM26"/>
    <mergeCell ref="BN23:BN26"/>
    <mergeCell ref="BO23:BO26"/>
    <mergeCell ref="CB23:CB26"/>
    <mergeCell ref="CC23:CC26"/>
    <mergeCell ref="CD23:CD26"/>
    <mergeCell ref="CE23:CE26"/>
    <mergeCell ref="CF23:CF26"/>
    <mergeCell ref="CG23:CG26"/>
    <mergeCell ref="BV23:BV26"/>
    <mergeCell ref="BW23:BW26"/>
    <mergeCell ref="BX23:BX26"/>
    <mergeCell ref="BY23:BY26"/>
    <mergeCell ref="BZ23:BZ26"/>
    <mergeCell ref="CA23:CA26"/>
    <mergeCell ref="CN23:CN26"/>
    <mergeCell ref="CO23:CO26"/>
    <mergeCell ref="CP23:CP26"/>
    <mergeCell ref="CQ23:CQ26"/>
    <mergeCell ref="CR23:CR26"/>
    <mergeCell ref="CS23:CS26"/>
    <mergeCell ref="CH23:CH26"/>
    <mergeCell ref="CI23:CI26"/>
    <mergeCell ref="CJ23:CJ26"/>
    <mergeCell ref="CK23:CK26"/>
    <mergeCell ref="CL23:CL26"/>
    <mergeCell ref="CM23:CM26"/>
    <mergeCell ref="CZ23:CZ26"/>
    <mergeCell ref="DA23:DA26"/>
    <mergeCell ref="DB23:DB26"/>
    <mergeCell ref="DC23:DC26"/>
    <mergeCell ref="CT23:CT26"/>
    <mergeCell ref="CU23:CU26"/>
    <mergeCell ref="CV23:CV26"/>
    <mergeCell ref="CW23:CW26"/>
    <mergeCell ref="CX23:CX26"/>
    <mergeCell ref="CY23:CY26"/>
    <mergeCell ref="D2:G2"/>
    <mergeCell ref="H2:K2"/>
    <mergeCell ref="L2:O2"/>
    <mergeCell ref="P2:S2"/>
    <mergeCell ref="T2:W2"/>
    <mergeCell ref="X2:AA2"/>
    <mergeCell ref="AB2:AE2"/>
    <mergeCell ref="AF2:AI2"/>
    <mergeCell ref="AJ2:AM2"/>
    <mergeCell ref="BX2:CA2"/>
    <mergeCell ref="CB2:CE2"/>
    <mergeCell ref="CF2:CI2"/>
    <mergeCell ref="CJ2:CM2"/>
    <mergeCell ref="CN2:CQ2"/>
    <mergeCell ref="CR2:CU2"/>
    <mergeCell ref="CV2:CY2"/>
    <mergeCell ref="CZ2:DC2"/>
    <mergeCell ref="AN2:AQ2"/>
    <mergeCell ref="AR2:AU2"/>
    <mergeCell ref="AV2:AY2"/>
    <mergeCell ref="AZ2:BC2"/>
    <mergeCell ref="BD2:BG2"/>
    <mergeCell ref="BH2:BK2"/>
    <mergeCell ref="BL2:BO2"/>
    <mergeCell ref="BP2:BS2"/>
    <mergeCell ref="BT2:BW2"/>
  </mergeCells>
  <hyperlinks>
    <hyperlink ref="A1:C3" location="Equipos!A1" display="Equipos!A1" xr:uid="{00000000-0004-0000-0700-000000000000}"/>
    <hyperlink ref="A4:A18" location="Jugadores!A1" display="Jugador" xr:uid="{82BCB84B-8EB2-4DCD-A20E-20D277A2A773}"/>
  </hyperlinks>
  <pageMargins left="0.7" right="0.7" top="0.75" bottom="0.75" header="0.3" footer="0.3"/>
  <pageSetup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4759E-1132-466F-80E7-8FA94BCB8D6C}">
  <dimension ref="A1:DC26"/>
  <sheetViews>
    <sheetView zoomScale="90" zoomScaleNormal="90" zoomScaleSheetLayoutView="90" workbookViewId="0">
      <pane xSplit="7" ySplit="3" topLeftCell="AX4" activePane="bottomRight" state="frozen"/>
      <selection pane="topRight" activeCell="H1" sqref="H1"/>
      <selection pane="bottomLeft" activeCell="A3" sqref="A3"/>
      <selection pane="bottomRight" sqref="A1:C3"/>
    </sheetView>
  </sheetViews>
  <sheetFormatPr baseColWidth="10" defaultColWidth="11.42578125" defaultRowHeight="15" x14ac:dyDescent="0.25"/>
  <cols>
    <col min="1" max="1" width="4.85546875" customWidth="1"/>
    <col min="2" max="2" width="9.42578125" customWidth="1"/>
    <col min="3" max="3" width="11.5703125" style="3" customWidth="1"/>
    <col min="4" max="4" width="4.85546875" style="3" customWidth="1"/>
    <col min="5" max="7" width="4.28515625" style="3" customWidth="1"/>
    <col min="8" max="9" width="2.85546875" style="3" customWidth="1"/>
    <col min="10" max="11" width="3.140625" style="3" customWidth="1"/>
    <col min="12" max="12" width="3.7109375" style="3" customWidth="1"/>
    <col min="13" max="15" width="2.7109375" style="3" customWidth="1"/>
    <col min="16" max="16" width="3.42578125" style="3" customWidth="1"/>
    <col min="17" max="18" width="2.85546875" style="3" customWidth="1"/>
    <col min="19" max="107" width="2.7109375" style="3" customWidth="1"/>
    <col min="108" max="16384" width="11.42578125" style="3"/>
  </cols>
  <sheetData>
    <row r="1" spans="1:107" ht="13.9" customHeight="1" x14ac:dyDescent="0.25">
      <c r="A1" s="189" t="str">
        <f>Equipos!B7</f>
        <v>Villanueva</v>
      </c>
      <c r="B1" s="189"/>
      <c r="C1" s="189"/>
      <c r="H1" s="172" t="s">
        <v>5</v>
      </c>
      <c r="I1" s="173"/>
      <c r="J1" s="173"/>
      <c r="K1" s="174"/>
      <c r="L1" s="172" t="s">
        <v>6</v>
      </c>
      <c r="M1" s="173"/>
      <c r="N1" s="173"/>
      <c r="O1" s="174"/>
      <c r="P1" s="172" t="s">
        <v>7</v>
      </c>
      <c r="Q1" s="173"/>
      <c r="R1" s="173"/>
      <c r="S1" s="174"/>
      <c r="T1" s="172" t="s">
        <v>8</v>
      </c>
      <c r="U1" s="173"/>
      <c r="V1" s="173"/>
      <c r="W1" s="174"/>
      <c r="X1" s="172" t="s">
        <v>9</v>
      </c>
      <c r="Y1" s="173"/>
      <c r="Z1" s="173"/>
      <c r="AA1" s="174"/>
      <c r="AB1" s="172" t="s">
        <v>10</v>
      </c>
      <c r="AC1" s="173"/>
      <c r="AD1" s="173"/>
      <c r="AE1" s="174"/>
      <c r="AF1" s="172" t="s">
        <v>11</v>
      </c>
      <c r="AG1" s="173"/>
      <c r="AH1" s="173"/>
      <c r="AI1" s="174"/>
      <c r="AJ1" s="172" t="s">
        <v>12</v>
      </c>
      <c r="AK1" s="173"/>
      <c r="AL1" s="173"/>
      <c r="AM1" s="174"/>
      <c r="AN1" s="172" t="s">
        <v>13</v>
      </c>
      <c r="AO1" s="173"/>
      <c r="AP1" s="173"/>
      <c r="AQ1" s="174"/>
      <c r="AR1" s="172" t="s">
        <v>14</v>
      </c>
      <c r="AS1" s="173"/>
      <c r="AT1" s="173"/>
      <c r="AU1" s="174"/>
      <c r="AV1" s="172" t="s">
        <v>15</v>
      </c>
      <c r="AW1" s="173"/>
      <c r="AX1" s="173"/>
      <c r="AY1" s="174"/>
      <c r="AZ1" s="172" t="s">
        <v>16</v>
      </c>
      <c r="BA1" s="173"/>
      <c r="BB1" s="173"/>
      <c r="BC1" s="174"/>
      <c r="BD1" s="172" t="s">
        <v>17</v>
      </c>
      <c r="BE1" s="173"/>
      <c r="BF1" s="173"/>
      <c r="BG1" s="174"/>
      <c r="BH1" s="172" t="s">
        <v>18</v>
      </c>
      <c r="BI1" s="173"/>
      <c r="BJ1" s="173"/>
      <c r="BK1" s="174"/>
      <c r="BL1" s="172" t="s">
        <v>19</v>
      </c>
      <c r="BM1" s="173"/>
      <c r="BN1" s="173"/>
      <c r="BO1" s="174"/>
      <c r="BP1" s="172" t="s">
        <v>20</v>
      </c>
      <c r="BQ1" s="173"/>
      <c r="BR1" s="173"/>
      <c r="BS1" s="174"/>
      <c r="BT1" s="172" t="s">
        <v>51</v>
      </c>
      <c r="BU1" s="173"/>
      <c r="BV1" s="173"/>
      <c r="BW1" s="174"/>
      <c r="BX1" s="172" t="s">
        <v>81</v>
      </c>
      <c r="BY1" s="173"/>
      <c r="BZ1" s="173"/>
      <c r="CA1" s="174"/>
      <c r="CB1" s="172" t="s">
        <v>83</v>
      </c>
      <c r="CC1" s="173"/>
      <c r="CD1" s="173"/>
      <c r="CE1" s="174"/>
      <c r="CF1" s="172" t="s">
        <v>84</v>
      </c>
      <c r="CG1" s="173"/>
      <c r="CH1" s="173"/>
      <c r="CI1" s="174"/>
      <c r="CJ1" s="172" t="s">
        <v>85</v>
      </c>
      <c r="CK1" s="173"/>
      <c r="CL1" s="173"/>
      <c r="CM1" s="174"/>
      <c r="CN1" s="172" t="s">
        <v>93</v>
      </c>
      <c r="CO1" s="173"/>
      <c r="CP1" s="173"/>
      <c r="CQ1" s="174"/>
      <c r="CR1" s="172" t="s">
        <v>94</v>
      </c>
      <c r="CS1" s="173"/>
      <c r="CT1" s="173"/>
      <c r="CU1" s="174"/>
      <c r="CV1" s="172" t="s">
        <v>95</v>
      </c>
      <c r="CW1" s="173"/>
      <c r="CX1" s="173"/>
      <c r="CY1" s="174"/>
      <c r="CZ1" s="172" t="s">
        <v>96</v>
      </c>
      <c r="DA1" s="173"/>
      <c r="DB1" s="173"/>
      <c r="DC1" s="174"/>
    </row>
    <row r="2" spans="1:107" ht="13.9" customHeight="1" x14ac:dyDescent="0.25">
      <c r="A2" s="189"/>
      <c r="B2" s="189"/>
      <c r="C2" s="189"/>
      <c r="D2" s="143" t="s">
        <v>272</v>
      </c>
      <c r="E2" s="143"/>
      <c r="F2" s="143"/>
      <c r="G2" s="144"/>
      <c r="H2" s="140" t="str">
        <f>+_xlfn.XLOOKUP($A$1,Fixture!$D$2:$D$9,Fixture!$F$2:$F$9,_xlfn.XLOOKUP($A$1,Fixture!$F$2:$F$9,Fixture!$D$2:$D$9,"Descansa",FALSE))</f>
        <v>La Unión FC</v>
      </c>
      <c r="I2" s="141"/>
      <c r="J2" s="141"/>
      <c r="K2" s="142"/>
      <c r="L2" s="140" t="str">
        <f>+_xlfn.XLOOKUP($A$1,Fixture!$D$10:$D$17,Fixture!$F$10:$F$17,_xlfn.XLOOKUP($A$1,Fixture!$F$10:$F$17,Fixture!$D$10:$D$17,"Descansa",FALSE))</f>
        <v>CD El Corozo</v>
      </c>
      <c r="M2" s="141"/>
      <c r="N2" s="141"/>
      <c r="O2" s="142"/>
      <c r="P2" s="175" t="str">
        <f>+_xlfn.XLOOKUP($A$1,Fixture!$D$18:$D$25,Fixture!$F$18:$F$25,_xlfn.XLOOKUP($A$1,Fixture!$F$18:$F$25,Fixture!$D$18:$D$25,"Descansa",FALSE))</f>
        <v>Deportivo Fénix</v>
      </c>
      <c r="Q2" s="176"/>
      <c r="R2" s="176"/>
      <c r="S2" s="177"/>
      <c r="T2" s="140" t="str">
        <f>+_xlfn.XLOOKUP($A$1,Fixture!$D$26:$D$33,Fixture!$F$26:$F$33,_xlfn.XLOOKUP($A$1,Fixture!$F$26:$F$33,Fixture!$D$26:$D$33,"Descansa",FALSE))</f>
        <v>Los Amigos</v>
      </c>
      <c r="U2" s="141"/>
      <c r="V2" s="141"/>
      <c r="W2" s="142"/>
      <c r="X2" s="140" t="str">
        <f>+_xlfn.XLOOKUP($A$1,Fixture!$D$34:$D$41,Fixture!$F$34:$F$41,_xlfn.XLOOKUP($A$1,Fixture!$F$34:$F$41,Fixture!$D$34:$D$41,"Descansa",FALSE))</f>
        <v>La Nueva Era</v>
      </c>
      <c r="Y2" s="141"/>
      <c r="Z2" s="141"/>
      <c r="AA2" s="142"/>
      <c r="AB2" s="140" t="str">
        <f>+_xlfn.XLOOKUP($A$1,Fixture!$D$42:$D$49,Fixture!$F$42:$F$49,_xlfn.XLOOKUP($A$1,Fixture!$F$42:$F$49,Fixture!$D$42:$D$49,"Descansa",FALSE))</f>
        <v>La Amistad</v>
      </c>
      <c r="AC2" s="141"/>
      <c r="AD2" s="141"/>
      <c r="AE2" s="142"/>
      <c r="AF2" s="140" t="str">
        <f>+_xlfn.XLOOKUP($A$1,Fixture!$D$50:$D$57,Fixture!$F$50:$F$57,_xlfn.XLOOKUP($A$1,Fixture!$F$50:$F$57,Fixture!$D$50:$D$57,"Descansa",FALSE))</f>
        <v>Konami</v>
      </c>
      <c r="AG2" s="141"/>
      <c r="AH2" s="141"/>
      <c r="AI2" s="142"/>
      <c r="AJ2" s="140" t="str">
        <f>+_xlfn.XLOOKUP($A$1,Fixture!$D$58:$D$65,Fixture!$F$58:$F$65,_xlfn.XLOOKUP($A$1,Fixture!$F$58:$F$65,Fixture!$D$58:$D$65,"Descansa",FALSE))</f>
        <v>Valentín FC</v>
      </c>
      <c r="AK2" s="141"/>
      <c r="AL2" s="141"/>
      <c r="AM2" s="142"/>
      <c r="AN2" s="140" t="str">
        <f>+_xlfn.XLOOKUP($A$1,Fixture!$D$66:$D$73,Fixture!$F$66:$F$73,_xlfn.XLOOKUP($A$1,Fixture!$F$66:$F$73,Fixture!$D$66:$D$73,"Descansa",FALSE))</f>
        <v>Ron Star</v>
      </c>
      <c r="AO2" s="141"/>
      <c r="AP2" s="141"/>
      <c r="AQ2" s="142"/>
      <c r="AR2" s="140" t="str">
        <f>+_xlfn.XLOOKUP($A$1,Fixture!$D$74:$D$81,Fixture!$F$74:$F$81,_xlfn.XLOOKUP($A$1,Fixture!$F$74:$F$81,Fixture!$D$74:$D$81,"Descansa",FALSE))</f>
        <v>Amenadim</v>
      </c>
      <c r="AS2" s="141"/>
      <c r="AT2" s="141"/>
      <c r="AU2" s="142"/>
      <c r="AV2" s="140" t="str">
        <f>+_xlfn.XLOOKUP($A$1,Fixture!$D$82:$D$89,Fixture!$F$82:$F$89,_xlfn.XLOOKUP($A$1,Fixture!$F$82:$F$89,Fixture!$D$82:$D$89,"Descansa",FALSE))</f>
        <v>Hojas Anchas</v>
      </c>
      <c r="AW2" s="141"/>
      <c r="AX2" s="141"/>
      <c r="AY2" s="142"/>
      <c r="AZ2" s="140" t="str">
        <f>+_xlfn.XLOOKUP($A$1,Fixture!$D$90:$D$97,Fixture!$F$90:$F$97,_xlfn.XLOOKUP($A$1,Fixture!$F$90:$F$97,Fixture!$D$90:$D$97,"Descansa",FALSE))</f>
        <v>Los Aliados</v>
      </c>
      <c r="BA2" s="141"/>
      <c r="BB2" s="141"/>
      <c r="BC2" s="142"/>
      <c r="BD2" s="140" t="str">
        <f>+_xlfn.XLOOKUP($A$1,Fixture!$D$98:$D$105,Fixture!$F$98:$F$105,_xlfn.XLOOKUP($A$1,Fixture!$F$98:$F$105,Fixture!$D$98:$D$105,"Descansa",FALSE))</f>
        <v>Boca Juniors</v>
      </c>
      <c r="BE2" s="141"/>
      <c r="BF2" s="141"/>
      <c r="BG2" s="142"/>
      <c r="BH2" s="140" t="str">
        <f>+_xlfn.XLOOKUP($A$1,Fixture!$D$106:$D$113,Fixture!$F$106:$F$113,_xlfn.XLOOKUP($A$1,Fixture!$F$106:$F$113,Fixture!$D$106:$D$113,"Descansa",FALSE))</f>
        <v>Atalanta</v>
      </c>
      <c r="BI2" s="141"/>
      <c r="BJ2" s="141"/>
      <c r="BK2" s="142"/>
      <c r="BL2" s="140" t="str">
        <f>+_xlfn.XLOOKUP($A$1,Fixture!$D$114:$D$121,Fixture!$F$114:$F$121,_xlfn.XLOOKUP($A$1,Fixture!$F$114:$F$121,Fixture!$D$114:$D$121,"Descansa",FALSE))</f>
        <v>Rayos FC</v>
      </c>
      <c r="BM2" s="141"/>
      <c r="BN2" s="141"/>
      <c r="BO2" s="142"/>
      <c r="BP2" s="140" t="str">
        <f>+_xlfn.XLOOKUP($A$1,Fixture!$D$122:$D$128,Fixture!$F$122:$F$128,_xlfn.XLOOKUP($A$1,Fixture!$F$122:$F$128,Fixture!$D$122:$D$128,"Descansa",FALSE))</f>
        <v>Konami</v>
      </c>
      <c r="BQ2" s="141"/>
      <c r="BR2" s="141"/>
      <c r="BS2" s="142"/>
      <c r="BT2" s="140" t="str">
        <f>+_xlfn.XLOOKUP($A$1,Fixture!$D$129:$D$135,Fixture!$F$129:$F$135,_xlfn.XLOOKUP($A$1,Fixture!$F$129:$F$135,Fixture!$D$129:$D$135,"Descansa",FALSE))</f>
        <v>Amenadim</v>
      </c>
      <c r="BU2" s="141"/>
      <c r="BV2" s="141"/>
      <c r="BW2" s="142"/>
      <c r="BX2" s="140" t="str">
        <f>+_xlfn.XLOOKUP($A$1,Fixture!$D$136:$D$141,Fixture!$F$136:$F$141,_xlfn.XLOOKUP($A$1,Fixture!$F$136:$F$141,Fixture!$D$136:$D$141,"Descansa",FALSE))</f>
        <v>Descansa</v>
      </c>
      <c r="BY2" s="141"/>
      <c r="BZ2" s="141"/>
      <c r="CA2" s="142"/>
      <c r="CB2" s="140" t="str">
        <f>+_xlfn.XLOOKUP($A$1,Fixture!$D$142:$D$149,Fixture!$F$142:$F$149,_xlfn.XLOOKUP($A$1,Fixture!$F$142:$F$149,Fixture!$D$142:$D$149,"Descansa",FALSE))</f>
        <v>CD El Corozo</v>
      </c>
      <c r="CC2" s="141"/>
      <c r="CD2" s="141"/>
      <c r="CE2" s="142"/>
      <c r="CF2" s="140" t="str">
        <f>+_xlfn.XLOOKUP($A$1,Fixture!$D$150:$D$155,Fixture!$F$150:$F$155,_xlfn.XLOOKUP($A$1,Fixture!$F$150:$F$155,Fixture!$D$150:$D$155,"Descansa",FALSE))</f>
        <v>Descansa</v>
      </c>
      <c r="CG2" s="141"/>
      <c r="CH2" s="141"/>
      <c r="CI2" s="142"/>
      <c r="CJ2" s="140" t="str">
        <f>+_xlfn.XLOOKUP($A$1,Fixture!$D$156:$D$161,Fixture!$F$156:$F$161,_xlfn.XLOOKUP($A$1,Fixture!$F$156:$F$161,Fixture!$D$156:$D$161,"Descansa",FALSE))</f>
        <v>La Amistad</v>
      </c>
      <c r="CK2" s="141"/>
      <c r="CL2" s="141"/>
      <c r="CM2" s="142"/>
      <c r="CN2" s="140" t="str">
        <f>+_xlfn.XLOOKUP($A$1,Fixture!$D$162:$D$167,Fixture!$F$162:$F$167,_xlfn.XLOOKUP($A$1,Fixture!$F$162:$F$167,Fixture!$D$162:$D$167,"Descansa",FALSE))</f>
        <v>Descansa</v>
      </c>
      <c r="CO2" s="141"/>
      <c r="CP2" s="141"/>
      <c r="CQ2" s="142"/>
      <c r="CR2" s="140" t="str">
        <f>+_xlfn.XLOOKUP($A$1,Fixture!$D$168:$D$169,Fixture!$F$168:$F$169,_xlfn.XLOOKUP($A$1,Fixture!$F$168:$F$169,Fixture!$D$168:$D$169,"Descanssa",FALSE))</f>
        <v>Deportivo Fénix</v>
      </c>
      <c r="CS2" s="141"/>
      <c r="CT2" s="141"/>
      <c r="CU2" s="142"/>
      <c r="CV2" s="140" t="str">
        <f>+_xlfn.XLOOKUP($A$1,Fixture!$D$170:$D$171,Fixture!$F$170:$F$171,_xlfn.XLOOKUP($A$1,Fixture!$F$170:$F$171,Fixture!$D$170:$D$171,"Descansa",FALSE))</f>
        <v>Descansa</v>
      </c>
      <c r="CW2" s="141"/>
      <c r="CX2" s="141"/>
      <c r="CY2" s="142"/>
      <c r="CZ2" s="72"/>
      <c r="DA2" s="73"/>
      <c r="DB2" s="73"/>
      <c r="DC2" s="74"/>
    </row>
    <row r="3" spans="1:107" ht="14.45" customHeight="1" x14ac:dyDescent="0.25">
      <c r="A3" s="189"/>
      <c r="B3" s="189"/>
      <c r="C3" s="189"/>
      <c r="D3" s="22" t="s">
        <v>89</v>
      </c>
      <c r="E3" s="22" t="s">
        <v>90</v>
      </c>
      <c r="F3" s="22" t="s">
        <v>91</v>
      </c>
      <c r="G3" s="24" t="s">
        <v>92</v>
      </c>
      <c r="H3" s="163">
        <f>+VLOOKUP(H1,Resultados!$A$3:$B$71,2,FALSE)</f>
        <v>45676</v>
      </c>
      <c r="I3" s="164"/>
      <c r="J3" s="164"/>
      <c r="K3" s="165"/>
      <c r="L3" s="163">
        <f>+VLOOKUP(L1,Resultados!$A$3:$B$71,2,FALSE)</f>
        <v>45683</v>
      </c>
      <c r="M3" s="164"/>
      <c r="N3" s="164"/>
      <c r="O3" s="165"/>
      <c r="P3" s="163">
        <f>+VLOOKUP(P1,Resultados!$A$3:$B$71,2,FALSE)</f>
        <v>45690</v>
      </c>
      <c r="Q3" s="164"/>
      <c r="R3" s="164"/>
      <c r="S3" s="165"/>
      <c r="T3" s="163">
        <f>+VLOOKUP(T1,Resultados!$A$3:$B$71,2,FALSE)</f>
        <v>45697</v>
      </c>
      <c r="U3" s="164"/>
      <c r="V3" s="164"/>
      <c r="W3" s="165"/>
      <c r="X3" s="163">
        <f>+VLOOKUP(X1,Resultados!$A$3:$B$71,2,FALSE)</f>
        <v>45704</v>
      </c>
      <c r="Y3" s="164"/>
      <c r="Z3" s="164"/>
      <c r="AA3" s="165"/>
      <c r="AB3" s="163">
        <f>+VLOOKUP(AB1,Resultados!$A$3:$B$71,2,FALSE)</f>
        <v>45711</v>
      </c>
      <c r="AC3" s="164"/>
      <c r="AD3" s="164"/>
      <c r="AE3" s="165"/>
      <c r="AF3" s="163">
        <f>+VLOOKUP(AF1,Resultados!$A$3:$B$71,2,FALSE)</f>
        <v>45718</v>
      </c>
      <c r="AG3" s="164"/>
      <c r="AH3" s="164"/>
      <c r="AI3" s="165"/>
      <c r="AJ3" s="163">
        <f>+VLOOKUP(AJ1,Resultados!$A$3:$B$71,2,FALSE)</f>
        <v>45725</v>
      </c>
      <c r="AK3" s="164"/>
      <c r="AL3" s="164"/>
      <c r="AM3" s="165"/>
      <c r="AN3" s="163">
        <f>+VLOOKUP(AN1,Resultados!$A$3:$B$71,2,FALSE)</f>
        <v>45704</v>
      </c>
      <c r="AO3" s="164"/>
      <c r="AP3" s="164"/>
      <c r="AQ3" s="165"/>
      <c r="AR3" s="163" t="e">
        <f>+VLOOKUP(AR1,Resultados!$A$3:$B$71,2,FALSE)</f>
        <v>#N/A</v>
      </c>
      <c r="AS3" s="164"/>
      <c r="AT3" s="164"/>
      <c r="AU3" s="165"/>
      <c r="AV3" s="163" t="e">
        <f>+VLOOKUP(AV1,Resultados!$A$3:$B$71,2,FALSE)</f>
        <v>#N/A</v>
      </c>
      <c r="AW3" s="164"/>
      <c r="AX3" s="164"/>
      <c r="AY3" s="165"/>
      <c r="AZ3" s="163" t="e">
        <f>+VLOOKUP(AZ1,Resultados!$A$3:$B$71,2,FALSE)</f>
        <v>#N/A</v>
      </c>
      <c r="BA3" s="164"/>
      <c r="BB3" s="164"/>
      <c r="BC3" s="165"/>
      <c r="BD3" s="163" t="e">
        <f>+VLOOKUP(BD1,Resultados!$A$3:$B$71,2,FALSE)</f>
        <v>#N/A</v>
      </c>
      <c r="BE3" s="164"/>
      <c r="BF3" s="164"/>
      <c r="BG3" s="165"/>
      <c r="BH3" s="163" t="e">
        <f>+VLOOKUP(BH1,Resultados!$A$3:$B$71,2,FALSE)</f>
        <v>#N/A</v>
      </c>
      <c r="BI3" s="164"/>
      <c r="BJ3" s="164"/>
      <c r="BK3" s="165"/>
      <c r="BL3" s="163" t="e">
        <f>+VLOOKUP(BL1,Resultados!$A$3:$B$71,2,FALSE)</f>
        <v>#N/A</v>
      </c>
      <c r="BM3" s="164"/>
      <c r="BN3" s="164"/>
      <c r="BO3" s="165"/>
      <c r="BP3" s="163" t="e">
        <f>+VLOOKUP(BP1,Resultados!$A$3:$B$71,2,FALSE)</f>
        <v>#N/A</v>
      </c>
      <c r="BQ3" s="164"/>
      <c r="BR3" s="164"/>
      <c r="BS3" s="165"/>
      <c r="BT3" s="163" t="e">
        <f>+VLOOKUP(BT1,Resultados!$A$3:$B$71,2,FALSE)</f>
        <v>#N/A</v>
      </c>
      <c r="BU3" s="164"/>
      <c r="BV3" s="164"/>
      <c r="BW3" s="165"/>
      <c r="BX3" s="163" t="e">
        <f>+VLOOKUP(BX1,Resultados!$A$3:$B$71,2,FALSE)</f>
        <v>#N/A</v>
      </c>
      <c r="BY3" s="164"/>
      <c r="BZ3" s="164"/>
      <c r="CA3" s="165"/>
      <c r="CB3" s="163" t="e">
        <f>+VLOOKUP(CB1,Resultados!$A$3:$B$71,2,FALSE)</f>
        <v>#N/A</v>
      </c>
      <c r="CC3" s="164"/>
      <c r="CD3" s="164"/>
      <c r="CE3" s="165"/>
      <c r="CF3" s="163" t="e">
        <f>+VLOOKUP(CF1,Resultados!$A$3:$B$71,2,FALSE)</f>
        <v>#N/A</v>
      </c>
      <c r="CG3" s="164"/>
      <c r="CH3" s="164"/>
      <c r="CI3" s="165"/>
      <c r="CJ3" s="163" t="e">
        <f>+VLOOKUP(CJ1,Resultados!$A$3:$B$71,2,FALSE)</f>
        <v>#N/A</v>
      </c>
      <c r="CK3" s="164"/>
      <c r="CL3" s="164"/>
      <c r="CM3" s="165"/>
      <c r="CN3" s="163" t="e">
        <f>+VLOOKUP(CN1,Resultados!$A$3:$B$71,2,FALSE)</f>
        <v>#N/A</v>
      </c>
      <c r="CO3" s="164"/>
      <c r="CP3" s="164"/>
      <c r="CQ3" s="165"/>
      <c r="CR3" s="163" t="e">
        <f>+VLOOKUP(CR1,Resultados!$A$3:$B$71,2,FALSE)</f>
        <v>#N/A</v>
      </c>
      <c r="CS3" s="164"/>
      <c r="CT3" s="164"/>
      <c r="CU3" s="165"/>
      <c r="CV3" s="163" t="e">
        <f>+VLOOKUP(CV1,Resultados!$A$3:$B$71,2,FALSE)</f>
        <v>#N/A</v>
      </c>
      <c r="CW3" s="164"/>
      <c r="CX3" s="164"/>
      <c r="CY3" s="165"/>
      <c r="CZ3" s="163" t="e">
        <f>+VLOOKUP(CZ1,Resultados!$A$3:$B$71,2,FALSE)</f>
        <v>#N/A</v>
      </c>
      <c r="DA3" s="164"/>
      <c r="DB3" s="164"/>
      <c r="DC3" s="165"/>
    </row>
    <row r="4" spans="1:107" ht="19.899999999999999" customHeight="1" x14ac:dyDescent="0.25">
      <c r="A4" s="169" t="s">
        <v>3</v>
      </c>
      <c r="B4" s="154" t="str">
        <f>Jugadores!E3</f>
        <v>Alexander Silva</v>
      </c>
      <c r="C4" s="155"/>
      <c r="D4" s="24">
        <f>H4+L4+P4+T4+X4+AB4+AF4+AJ4+AN4+AR4+AV4+AZ4+BD4+BH4+BL4+BP4+BT4+BX4+CB4+CF4+CJ4+CN4+CR4+CV4+CZ4</f>
        <v>24</v>
      </c>
      <c r="E4" s="24">
        <f>I4+M4+Q4+U4+Y4+AC4+AG4+AK4+AO4+AS4+AW4+BA4+BE4+BI4+BM4+BQ4+BV4+BY4+CD4+CG4+CL4+CO4+CT4+CW4+DB4</f>
        <v>1</v>
      </c>
      <c r="F4" s="115">
        <f>J4+N4+R4+V4+Z4+AD4+AH4+AL4+AP4+AT4+AX4+BB4+BF4+BJ4+BN4+BT4+BX4+CB4+CF4+CJ4+CN4+CR4+CV4+CZ4</f>
        <v>5</v>
      </c>
      <c r="G4" s="115">
        <f>K4+O4+S4+W4+AA4+AE4+AI4+AM4+AQ4+AU4+AY4+BC4+BG4+BK4+BO4+BV4+BY4+CD4+CG4+CL4+CO4+CT4+CW4+DB4</f>
        <v>0</v>
      </c>
      <c r="H4" s="28"/>
      <c r="I4" s="26"/>
      <c r="J4" s="26"/>
      <c r="K4" s="29"/>
      <c r="L4" s="28">
        <v>1</v>
      </c>
      <c r="M4" s="26"/>
      <c r="N4" s="26"/>
      <c r="O4" s="29"/>
      <c r="P4" s="28">
        <v>3</v>
      </c>
      <c r="Q4" s="26"/>
      <c r="R4" s="26"/>
      <c r="S4" s="29"/>
      <c r="T4" s="28">
        <v>3</v>
      </c>
      <c r="U4" s="26"/>
      <c r="V4" s="26"/>
      <c r="W4" s="29"/>
      <c r="X4" s="28">
        <v>5</v>
      </c>
      <c r="Y4" s="26"/>
      <c r="Z4" s="26"/>
      <c r="AA4" s="29"/>
      <c r="AB4" s="28"/>
      <c r="AC4" s="26"/>
      <c r="AD4" s="26"/>
      <c r="AE4" s="29"/>
      <c r="AF4" s="28">
        <v>1</v>
      </c>
      <c r="AG4" s="26"/>
      <c r="AH4" s="26"/>
      <c r="AI4" s="29"/>
      <c r="AJ4" s="28"/>
      <c r="AK4" s="26"/>
      <c r="AL4" s="26"/>
      <c r="AM4" s="29"/>
      <c r="AN4" s="28"/>
      <c r="AO4" s="26"/>
      <c r="AP4" s="26"/>
      <c r="AQ4" s="29"/>
      <c r="AR4" s="28">
        <v>2</v>
      </c>
      <c r="AS4" s="26"/>
      <c r="AT4" s="26"/>
      <c r="AU4" s="29"/>
      <c r="AV4" s="28">
        <v>1</v>
      </c>
      <c r="AW4" s="26">
        <v>1</v>
      </c>
      <c r="AX4" s="26"/>
      <c r="AY4" s="29"/>
      <c r="AZ4" s="28"/>
      <c r="BA4" s="26"/>
      <c r="BB4" s="26"/>
      <c r="BC4" s="29"/>
      <c r="BD4" s="28">
        <v>3</v>
      </c>
      <c r="BE4" s="26"/>
      <c r="BF4" s="26"/>
      <c r="BG4" s="29"/>
      <c r="BH4" s="28"/>
      <c r="BI4" s="26"/>
      <c r="BJ4" s="26"/>
      <c r="BK4" s="29"/>
      <c r="BL4" s="28"/>
      <c r="BM4" s="26"/>
      <c r="BN4" s="26"/>
      <c r="BO4" s="29"/>
      <c r="BP4" s="28"/>
      <c r="BQ4" s="26"/>
      <c r="BR4" s="26"/>
      <c r="BS4" s="29"/>
      <c r="BT4" s="28">
        <v>3</v>
      </c>
      <c r="BU4" s="26"/>
      <c r="BV4" s="26"/>
      <c r="BW4" s="29"/>
      <c r="BX4" s="28">
        <v>1</v>
      </c>
      <c r="BY4" s="26"/>
      <c r="BZ4" s="26"/>
      <c r="CA4" s="29"/>
      <c r="CB4" s="28">
        <v>1</v>
      </c>
      <c r="CC4" s="26"/>
      <c r="CD4" s="26"/>
      <c r="CE4" s="29"/>
      <c r="CF4" s="28"/>
      <c r="CG4" s="26"/>
      <c r="CH4" s="26"/>
      <c r="CI4" s="29"/>
      <c r="CJ4" s="28"/>
      <c r="CK4" s="26"/>
      <c r="CL4" s="26"/>
      <c r="CM4" s="29"/>
      <c r="CN4" s="28"/>
      <c r="CO4" s="26"/>
      <c r="CP4" s="26"/>
      <c r="CQ4" s="29"/>
      <c r="CR4" s="28"/>
      <c r="CS4" s="26"/>
      <c r="CT4" s="26"/>
      <c r="CU4" s="29"/>
      <c r="CV4" s="28"/>
      <c r="CW4" s="26"/>
      <c r="CX4" s="26"/>
      <c r="CY4" s="29"/>
      <c r="CZ4" s="28"/>
      <c r="DA4" s="26"/>
      <c r="DB4" s="26"/>
      <c r="DC4" s="29"/>
    </row>
    <row r="5" spans="1:107" ht="19.899999999999999" customHeight="1" x14ac:dyDescent="0.25">
      <c r="A5" s="169"/>
      <c r="B5" s="154" t="str">
        <f>Jugadores!E4</f>
        <v>Denilson Cadena</v>
      </c>
      <c r="C5" s="155"/>
      <c r="D5" s="24">
        <f t="shared" ref="D5:D18" si="0">H5+L5+P5+T5+X5+AB5+AF5+AJ5+AN5+AR5+AV5+AZ5+BD5+BH5+BL5+BP5+BT5+BX5+CB5+CF5+CJ5+CN5+CR5+CV5+CZ5</f>
        <v>19</v>
      </c>
      <c r="E5" s="24">
        <f t="shared" ref="E5:E18" si="1">I5+M5+Q5+U5+Y5+AC5+AG5+AK5+AO5+AS5+AW5+BA5+BE5+BI5+BM5+BQ5+BV5+BY5+CD5+CG5+CL5+CO5+CT5+CW5+DB5</f>
        <v>1</v>
      </c>
      <c r="F5" s="115">
        <f t="shared" ref="F5:F18" si="2">J5+N5+R5+V5+Z5+AD5+AH5+AL5+AP5+AT5+AX5+BB5+BF5+BJ5+BN5+BT5+BX5+CB5+CF5+CJ5+CN5+CR5+CV5+CZ5</f>
        <v>7</v>
      </c>
      <c r="G5" s="115">
        <f t="shared" ref="G5:G18" si="3">K5+O5+S5+W5+AA5+AE5+AI5+AM5+AQ5+AU5+AY5+BC5+BG5+BK5+BO5+BV5+BY5+CD5+CG5+CL5+CO5+CT5+CW5+DB5</f>
        <v>0</v>
      </c>
      <c r="H5" s="28"/>
      <c r="I5" s="26"/>
      <c r="J5" s="26"/>
      <c r="K5" s="29"/>
      <c r="L5" s="28"/>
      <c r="M5" s="26"/>
      <c r="N5" s="26"/>
      <c r="O5" s="29"/>
      <c r="P5" s="28">
        <v>3</v>
      </c>
      <c r="Q5" s="26"/>
      <c r="R5" s="26"/>
      <c r="S5" s="29"/>
      <c r="T5" s="28">
        <v>1</v>
      </c>
      <c r="U5" s="26"/>
      <c r="V5" s="26"/>
      <c r="W5" s="29"/>
      <c r="X5" s="28"/>
      <c r="Y5" s="26"/>
      <c r="Z5" s="26"/>
      <c r="AA5" s="29"/>
      <c r="AB5" s="28"/>
      <c r="AC5" s="26"/>
      <c r="AD5" s="26"/>
      <c r="AE5" s="29"/>
      <c r="AF5" s="28">
        <v>1</v>
      </c>
      <c r="AG5" s="26"/>
      <c r="AH5" s="26"/>
      <c r="AI5" s="29"/>
      <c r="AJ5" s="28">
        <v>1</v>
      </c>
      <c r="AK5" s="26"/>
      <c r="AL5" s="26"/>
      <c r="AM5" s="29"/>
      <c r="AN5" s="28"/>
      <c r="AO5" s="26"/>
      <c r="AP5" s="26"/>
      <c r="AQ5" s="29"/>
      <c r="AR5" s="28"/>
      <c r="AS5" s="26"/>
      <c r="AT5" s="26"/>
      <c r="AU5" s="29"/>
      <c r="AV5" s="28">
        <v>3</v>
      </c>
      <c r="AW5" s="26"/>
      <c r="AX5" s="26"/>
      <c r="AY5" s="29"/>
      <c r="AZ5" s="28"/>
      <c r="BA5" s="26"/>
      <c r="BB5" s="26"/>
      <c r="BC5" s="29"/>
      <c r="BD5" s="28">
        <v>2</v>
      </c>
      <c r="BE5" s="26"/>
      <c r="BF5" s="26"/>
      <c r="BG5" s="29"/>
      <c r="BH5" s="28"/>
      <c r="BI5" s="26"/>
      <c r="BJ5" s="26"/>
      <c r="BK5" s="29"/>
      <c r="BL5" s="28"/>
      <c r="BM5" s="26"/>
      <c r="BN5" s="26"/>
      <c r="BO5" s="29"/>
      <c r="BP5" s="28">
        <v>1</v>
      </c>
      <c r="BQ5" s="26">
        <v>1</v>
      </c>
      <c r="BR5" s="26"/>
      <c r="BS5" s="29"/>
      <c r="BT5" s="28">
        <v>1</v>
      </c>
      <c r="BU5" s="26"/>
      <c r="BV5" s="26"/>
      <c r="BW5" s="29"/>
      <c r="BX5" s="28">
        <v>1</v>
      </c>
      <c r="BY5" s="26"/>
      <c r="BZ5" s="26"/>
      <c r="CA5" s="29"/>
      <c r="CB5" s="28">
        <v>3</v>
      </c>
      <c r="CC5" s="26"/>
      <c r="CD5" s="26"/>
      <c r="CE5" s="29"/>
      <c r="CF5" s="28"/>
      <c r="CG5" s="26"/>
      <c r="CH5" s="26"/>
      <c r="CI5" s="29"/>
      <c r="CJ5" s="28">
        <v>1</v>
      </c>
      <c r="CK5" s="26">
        <v>1</v>
      </c>
      <c r="CL5" s="26"/>
      <c r="CM5" s="29"/>
      <c r="CN5" s="28">
        <v>1</v>
      </c>
      <c r="CO5" s="26"/>
      <c r="CP5" s="26"/>
      <c r="CQ5" s="29"/>
      <c r="CR5" s="28"/>
      <c r="CS5" s="26"/>
      <c r="CT5" s="26"/>
      <c r="CU5" s="29"/>
      <c r="CV5" s="28"/>
      <c r="CW5" s="26"/>
      <c r="CX5" s="26"/>
      <c r="CY5" s="29"/>
      <c r="CZ5" s="28"/>
      <c r="DA5" s="26"/>
      <c r="DB5" s="26"/>
      <c r="DC5" s="29"/>
    </row>
    <row r="6" spans="1:107" ht="19.899999999999999" customHeight="1" x14ac:dyDescent="0.25">
      <c r="A6" s="169"/>
      <c r="B6" s="154" t="str">
        <f>Jugadores!E5</f>
        <v>Gregory Mora</v>
      </c>
      <c r="C6" s="155"/>
      <c r="D6" s="24">
        <f t="shared" si="0"/>
        <v>3</v>
      </c>
      <c r="E6" s="24">
        <f t="shared" si="1"/>
        <v>2</v>
      </c>
      <c r="F6" s="115">
        <f t="shared" si="2"/>
        <v>1</v>
      </c>
      <c r="G6" s="115">
        <f t="shared" si="3"/>
        <v>0</v>
      </c>
      <c r="H6" s="28"/>
      <c r="I6" s="26"/>
      <c r="J6" s="26"/>
      <c r="K6" s="29"/>
      <c r="L6" s="28"/>
      <c r="M6" s="26"/>
      <c r="N6" s="26"/>
      <c r="O6" s="29"/>
      <c r="P6" s="28">
        <v>2</v>
      </c>
      <c r="Q6" s="26"/>
      <c r="R6" s="26"/>
      <c r="S6" s="29"/>
      <c r="T6" s="28"/>
      <c r="U6" s="26">
        <v>1</v>
      </c>
      <c r="V6" s="26"/>
      <c r="W6" s="29"/>
      <c r="X6" s="28">
        <v>1</v>
      </c>
      <c r="Y6" s="26"/>
      <c r="Z6" s="26"/>
      <c r="AA6" s="29"/>
      <c r="AB6" s="28"/>
      <c r="AC6" s="26"/>
      <c r="AD6" s="26">
        <v>1</v>
      </c>
      <c r="AE6" s="29"/>
      <c r="AF6" s="28"/>
      <c r="AG6" s="26"/>
      <c r="AH6" s="26"/>
      <c r="AI6" s="29"/>
      <c r="AJ6" s="28"/>
      <c r="AK6" s="26"/>
      <c r="AL6" s="26"/>
      <c r="AM6" s="29"/>
      <c r="AN6" s="28"/>
      <c r="AO6" s="26">
        <v>1</v>
      </c>
      <c r="AP6" s="26"/>
      <c r="AQ6" s="29"/>
      <c r="AR6" s="28"/>
      <c r="AS6" s="26"/>
      <c r="AT6" s="26"/>
      <c r="AU6" s="29"/>
      <c r="AV6" s="28"/>
      <c r="AW6" s="26"/>
      <c r="AX6" s="26"/>
      <c r="AY6" s="29"/>
      <c r="AZ6" s="28"/>
      <c r="BA6" s="26"/>
      <c r="BB6" s="26"/>
      <c r="BC6" s="29"/>
      <c r="BD6" s="28"/>
      <c r="BE6" s="26"/>
      <c r="BF6" s="26"/>
      <c r="BG6" s="29"/>
      <c r="BH6" s="28"/>
      <c r="BI6" s="26"/>
      <c r="BJ6" s="26"/>
      <c r="BK6" s="29"/>
      <c r="BL6" s="28"/>
      <c r="BM6" s="26"/>
      <c r="BN6" s="26"/>
      <c r="BO6" s="29"/>
      <c r="BP6" s="28"/>
      <c r="BQ6" s="26"/>
      <c r="BR6" s="26"/>
      <c r="BS6" s="29"/>
      <c r="BT6" s="28"/>
      <c r="BU6" s="26"/>
      <c r="BV6" s="26"/>
      <c r="BW6" s="29"/>
      <c r="BX6" s="28"/>
      <c r="BY6" s="26"/>
      <c r="BZ6" s="26"/>
      <c r="CA6" s="29"/>
      <c r="CB6" s="28"/>
      <c r="CC6" s="26"/>
      <c r="CD6" s="26"/>
      <c r="CE6" s="29"/>
      <c r="CF6" s="28"/>
      <c r="CG6" s="26"/>
      <c r="CH6" s="26"/>
      <c r="CI6" s="29"/>
      <c r="CJ6" s="28"/>
      <c r="CK6" s="26"/>
      <c r="CL6" s="26"/>
      <c r="CM6" s="29"/>
      <c r="CN6" s="28"/>
      <c r="CO6" s="26"/>
      <c r="CP6" s="26"/>
      <c r="CQ6" s="29"/>
      <c r="CR6" s="28"/>
      <c r="CS6" s="26">
        <v>1</v>
      </c>
      <c r="CT6" s="26"/>
      <c r="CU6" s="29"/>
      <c r="CV6" s="28"/>
      <c r="CW6" s="26"/>
      <c r="CX6" s="26"/>
      <c r="CY6" s="29"/>
      <c r="CZ6" s="28"/>
      <c r="DA6" s="26"/>
      <c r="DB6" s="26"/>
      <c r="DC6" s="29"/>
    </row>
    <row r="7" spans="1:107" ht="19.899999999999999" customHeight="1" x14ac:dyDescent="0.25">
      <c r="A7" s="169"/>
      <c r="B7" s="154" t="str">
        <f>Jugadores!E6</f>
        <v>Ismael Martíz</v>
      </c>
      <c r="C7" s="155"/>
      <c r="D7" s="24">
        <f t="shared" si="0"/>
        <v>0</v>
      </c>
      <c r="E7" s="24">
        <f t="shared" si="1"/>
        <v>1</v>
      </c>
      <c r="F7" s="115">
        <f t="shared" si="2"/>
        <v>0</v>
      </c>
      <c r="G7" s="115">
        <f t="shared" si="3"/>
        <v>0</v>
      </c>
      <c r="H7" s="28"/>
      <c r="I7" s="26"/>
      <c r="J7" s="26"/>
      <c r="K7" s="29"/>
      <c r="L7" s="28"/>
      <c r="M7" s="26"/>
      <c r="N7" s="26"/>
      <c r="O7" s="29"/>
      <c r="P7" s="28"/>
      <c r="Q7" s="26"/>
      <c r="R7" s="26"/>
      <c r="S7" s="29"/>
      <c r="T7" s="28"/>
      <c r="U7" s="26"/>
      <c r="V7" s="26"/>
      <c r="W7" s="29"/>
      <c r="X7" s="28"/>
      <c r="Y7" s="26"/>
      <c r="Z7" s="26"/>
      <c r="AA7" s="29"/>
      <c r="AB7" s="28"/>
      <c r="AC7" s="26"/>
      <c r="AD7" s="26"/>
      <c r="AE7" s="29"/>
      <c r="AF7" s="28"/>
      <c r="AG7" s="26"/>
      <c r="AH7" s="26"/>
      <c r="AI7" s="29"/>
      <c r="AJ7" s="28"/>
      <c r="AK7" s="26">
        <v>1</v>
      </c>
      <c r="AL7" s="26"/>
      <c r="AM7" s="29"/>
      <c r="AN7" s="28"/>
      <c r="AO7" s="26"/>
      <c r="AP7" s="26"/>
      <c r="AQ7" s="29"/>
      <c r="AR7" s="28"/>
      <c r="AS7" s="26"/>
      <c r="AT7" s="26"/>
      <c r="AU7" s="29"/>
      <c r="AV7" s="28"/>
      <c r="AW7" s="26"/>
      <c r="AX7" s="26"/>
      <c r="AY7" s="29"/>
      <c r="AZ7" s="28"/>
      <c r="BA7" s="26"/>
      <c r="BB7" s="26"/>
      <c r="BC7" s="29"/>
      <c r="BD7" s="28"/>
      <c r="BE7" s="26"/>
      <c r="BF7" s="26"/>
      <c r="BG7" s="29"/>
      <c r="BH7" s="28"/>
      <c r="BI7" s="26"/>
      <c r="BJ7" s="26"/>
      <c r="BK7" s="29"/>
      <c r="BL7" s="28"/>
      <c r="BM7" s="26"/>
      <c r="BN7" s="26"/>
      <c r="BO7" s="29"/>
      <c r="BP7" s="28"/>
      <c r="BQ7" s="26"/>
      <c r="BR7" s="26"/>
      <c r="BS7" s="29"/>
      <c r="BT7" s="28"/>
      <c r="BU7" s="26"/>
      <c r="BV7" s="26"/>
      <c r="BW7" s="29"/>
      <c r="BX7" s="28"/>
      <c r="BY7" s="26"/>
      <c r="BZ7" s="26"/>
      <c r="CA7" s="29"/>
      <c r="CB7" s="28"/>
      <c r="CC7" s="26"/>
      <c r="CD7" s="26"/>
      <c r="CE7" s="29"/>
      <c r="CF7" s="28"/>
      <c r="CG7" s="26"/>
      <c r="CH7" s="26"/>
      <c r="CI7" s="29"/>
      <c r="CJ7" s="28"/>
      <c r="CK7" s="26"/>
      <c r="CL7" s="26"/>
      <c r="CM7" s="29"/>
      <c r="CN7" s="28"/>
      <c r="CO7" s="26"/>
      <c r="CP7" s="26"/>
      <c r="CQ7" s="29"/>
      <c r="CR7" s="28"/>
      <c r="CS7" s="26"/>
      <c r="CT7" s="26"/>
      <c r="CU7" s="29"/>
      <c r="CV7" s="28"/>
      <c r="CW7" s="26"/>
      <c r="CX7" s="26"/>
      <c r="CY7" s="29"/>
      <c r="CZ7" s="28"/>
      <c r="DA7" s="26"/>
      <c r="DB7" s="26"/>
      <c r="DC7" s="29"/>
    </row>
    <row r="8" spans="1:107" ht="19.899999999999999" customHeight="1" x14ac:dyDescent="0.25">
      <c r="A8" s="169"/>
      <c r="B8" s="154" t="str">
        <f>Jugadores!E7</f>
        <v>Jheison Cadena</v>
      </c>
      <c r="C8" s="155"/>
      <c r="D8" s="24">
        <f t="shared" si="0"/>
        <v>6</v>
      </c>
      <c r="E8" s="24">
        <f t="shared" si="1"/>
        <v>0</v>
      </c>
      <c r="F8" s="115">
        <f t="shared" si="2"/>
        <v>3</v>
      </c>
      <c r="G8" s="115">
        <f t="shared" si="3"/>
        <v>0</v>
      </c>
      <c r="H8" s="28">
        <v>1</v>
      </c>
      <c r="I8" s="26"/>
      <c r="J8" s="26"/>
      <c r="K8" s="29"/>
      <c r="L8" s="28">
        <v>1</v>
      </c>
      <c r="M8" s="26"/>
      <c r="N8" s="26"/>
      <c r="O8" s="29"/>
      <c r="P8" s="28"/>
      <c r="Q8" s="26"/>
      <c r="R8" s="26"/>
      <c r="S8" s="29"/>
      <c r="T8" s="28"/>
      <c r="U8" s="26"/>
      <c r="V8" s="26"/>
      <c r="W8" s="29"/>
      <c r="X8" s="28"/>
      <c r="Y8" s="26"/>
      <c r="Z8" s="26"/>
      <c r="AA8" s="29"/>
      <c r="AB8" s="28"/>
      <c r="AC8" s="26"/>
      <c r="AD8" s="26"/>
      <c r="AE8" s="29"/>
      <c r="AF8" s="28"/>
      <c r="AG8" s="26"/>
      <c r="AH8" s="26"/>
      <c r="AI8" s="29"/>
      <c r="AJ8" s="28"/>
      <c r="AK8" s="26"/>
      <c r="AL8" s="26"/>
      <c r="AM8" s="29"/>
      <c r="AN8" s="28"/>
      <c r="AO8" s="26"/>
      <c r="AP8" s="26"/>
      <c r="AQ8" s="29"/>
      <c r="AR8" s="28"/>
      <c r="AS8" s="26"/>
      <c r="AT8" s="26"/>
      <c r="AU8" s="29"/>
      <c r="AV8" s="28"/>
      <c r="AW8" s="26"/>
      <c r="AX8" s="26"/>
      <c r="AY8" s="29"/>
      <c r="AZ8" s="28"/>
      <c r="BA8" s="26"/>
      <c r="BB8" s="26"/>
      <c r="BC8" s="29"/>
      <c r="BD8" s="28"/>
      <c r="BE8" s="26"/>
      <c r="BF8" s="26"/>
      <c r="BG8" s="29"/>
      <c r="BH8" s="28"/>
      <c r="BI8" s="26"/>
      <c r="BJ8" s="26"/>
      <c r="BK8" s="29"/>
      <c r="BL8" s="28"/>
      <c r="BM8" s="26"/>
      <c r="BN8" s="26"/>
      <c r="BO8" s="29"/>
      <c r="BP8" s="28">
        <v>1</v>
      </c>
      <c r="BQ8" s="26"/>
      <c r="BR8" s="26"/>
      <c r="BS8" s="29"/>
      <c r="BT8" s="28"/>
      <c r="BU8" s="26"/>
      <c r="BV8" s="26"/>
      <c r="BW8" s="29"/>
      <c r="BX8" s="28"/>
      <c r="BY8" s="26"/>
      <c r="BZ8" s="26"/>
      <c r="CA8" s="29"/>
      <c r="CB8" s="28">
        <v>2</v>
      </c>
      <c r="CC8" s="26"/>
      <c r="CD8" s="26"/>
      <c r="CE8" s="29"/>
      <c r="CF8" s="28"/>
      <c r="CG8" s="26"/>
      <c r="CH8" s="26"/>
      <c r="CI8" s="29"/>
      <c r="CJ8" s="28">
        <v>1</v>
      </c>
      <c r="CK8" s="26"/>
      <c r="CL8" s="26"/>
      <c r="CM8" s="29"/>
      <c r="CN8" s="28"/>
      <c r="CO8" s="26"/>
      <c r="CP8" s="26"/>
      <c r="CQ8" s="29"/>
      <c r="CR8" s="28"/>
      <c r="CS8" s="26"/>
      <c r="CT8" s="26"/>
      <c r="CU8" s="29"/>
      <c r="CV8" s="28"/>
      <c r="CW8" s="26"/>
      <c r="CX8" s="26"/>
      <c r="CY8" s="29"/>
      <c r="CZ8" s="28"/>
      <c r="DA8" s="26"/>
      <c r="DB8" s="26"/>
      <c r="DC8" s="29"/>
    </row>
    <row r="9" spans="1:107" ht="19.899999999999999" customHeight="1" x14ac:dyDescent="0.25">
      <c r="A9" s="169"/>
      <c r="B9" s="154" t="str">
        <f>Jugadores!E8</f>
        <v>Derwin Villa</v>
      </c>
      <c r="C9" s="155"/>
      <c r="D9" s="24">
        <f t="shared" si="0"/>
        <v>0</v>
      </c>
      <c r="E9" s="24">
        <f t="shared" si="1"/>
        <v>1</v>
      </c>
      <c r="F9" s="115">
        <f t="shared" si="2"/>
        <v>0</v>
      </c>
      <c r="G9" s="115">
        <f t="shared" si="3"/>
        <v>1</v>
      </c>
      <c r="H9" s="28"/>
      <c r="I9" s="26"/>
      <c r="J9" s="26"/>
      <c r="K9" s="29">
        <v>1</v>
      </c>
      <c r="L9" s="28"/>
      <c r="M9" s="26"/>
      <c r="N9" s="26"/>
      <c r="O9" s="29"/>
      <c r="P9" s="28"/>
      <c r="Q9" s="26"/>
      <c r="R9" s="26"/>
      <c r="S9" s="29"/>
      <c r="T9" s="28"/>
      <c r="U9" s="26"/>
      <c r="V9" s="26"/>
      <c r="W9" s="29"/>
      <c r="X9" s="28"/>
      <c r="Y9" s="26"/>
      <c r="Z9" s="26"/>
      <c r="AA9" s="29"/>
      <c r="AB9" s="28"/>
      <c r="AC9" s="26"/>
      <c r="AD9" s="26"/>
      <c r="AE9" s="29"/>
      <c r="AF9" s="28"/>
      <c r="AG9" s="26"/>
      <c r="AH9" s="26"/>
      <c r="AI9" s="29"/>
      <c r="AJ9" s="28"/>
      <c r="AK9" s="26"/>
      <c r="AL9" s="26"/>
      <c r="AM9" s="29"/>
      <c r="AN9" s="28"/>
      <c r="AO9" s="26">
        <v>1</v>
      </c>
      <c r="AP9" s="26"/>
      <c r="AQ9" s="29"/>
      <c r="AR9" s="28"/>
      <c r="AS9" s="26"/>
      <c r="AT9" s="26"/>
      <c r="AU9" s="29"/>
      <c r="AV9" s="28"/>
      <c r="AW9" s="26"/>
      <c r="AX9" s="26"/>
      <c r="AY9" s="29"/>
      <c r="AZ9" s="28"/>
      <c r="BA9" s="26"/>
      <c r="BB9" s="26"/>
      <c r="BC9" s="29"/>
      <c r="BD9" s="28"/>
      <c r="BE9" s="26"/>
      <c r="BF9" s="26"/>
      <c r="BG9" s="29"/>
      <c r="BH9" s="28"/>
      <c r="BI9" s="26"/>
      <c r="BJ9" s="26"/>
      <c r="BK9" s="29"/>
      <c r="BL9" s="28"/>
      <c r="BM9" s="26"/>
      <c r="BN9" s="26"/>
      <c r="BO9" s="29"/>
      <c r="BP9" s="28"/>
      <c r="BQ9" s="26"/>
      <c r="BR9" s="26"/>
      <c r="BS9" s="29"/>
      <c r="BT9" s="28"/>
      <c r="BU9" s="26"/>
      <c r="BV9" s="26"/>
      <c r="BW9" s="29"/>
      <c r="BX9" s="28"/>
      <c r="BY9" s="26"/>
      <c r="BZ9" s="26"/>
      <c r="CA9" s="29"/>
      <c r="CB9" s="28"/>
      <c r="CC9" s="26"/>
      <c r="CD9" s="26"/>
      <c r="CE9" s="29"/>
      <c r="CF9" s="28"/>
      <c r="CG9" s="26"/>
      <c r="CH9" s="26"/>
      <c r="CI9" s="29"/>
      <c r="CJ9" s="28"/>
      <c r="CK9" s="26"/>
      <c r="CL9" s="26"/>
      <c r="CM9" s="29"/>
      <c r="CN9" s="28"/>
      <c r="CO9" s="26"/>
      <c r="CP9" s="26"/>
      <c r="CQ9" s="29"/>
      <c r="CR9" s="28"/>
      <c r="CS9" s="26"/>
      <c r="CT9" s="26"/>
      <c r="CU9" s="29"/>
      <c r="CV9" s="28"/>
      <c r="CW9" s="26"/>
      <c r="CX9" s="26"/>
      <c r="CY9" s="29"/>
      <c r="CZ9" s="28"/>
      <c r="DA9" s="26"/>
      <c r="DB9" s="26"/>
      <c r="DC9" s="29"/>
    </row>
    <row r="10" spans="1:107" ht="19.899999999999999" customHeight="1" x14ac:dyDescent="0.25">
      <c r="A10" s="169"/>
      <c r="B10" s="154" t="str">
        <f>Jugadores!E9</f>
        <v>Jaime Correa</v>
      </c>
      <c r="C10" s="155"/>
      <c r="D10" s="24">
        <f t="shared" si="0"/>
        <v>1</v>
      </c>
      <c r="E10" s="24">
        <f t="shared" si="1"/>
        <v>1</v>
      </c>
      <c r="F10" s="115">
        <f t="shared" si="2"/>
        <v>0</v>
      </c>
      <c r="G10" s="115">
        <f t="shared" si="3"/>
        <v>0</v>
      </c>
      <c r="H10" s="28"/>
      <c r="I10" s="26"/>
      <c r="J10" s="26"/>
      <c r="K10" s="29"/>
      <c r="L10" s="28"/>
      <c r="M10" s="26">
        <v>1</v>
      </c>
      <c r="N10" s="26"/>
      <c r="O10" s="29"/>
      <c r="P10" s="28"/>
      <c r="Q10" s="26"/>
      <c r="R10" s="26"/>
      <c r="S10" s="29"/>
      <c r="T10" s="28"/>
      <c r="U10" s="26"/>
      <c r="V10" s="26"/>
      <c r="W10" s="29"/>
      <c r="X10" s="28"/>
      <c r="Y10" s="26"/>
      <c r="Z10" s="26"/>
      <c r="AA10" s="29"/>
      <c r="AB10" s="28"/>
      <c r="AC10" s="26"/>
      <c r="AD10" s="26"/>
      <c r="AE10" s="29"/>
      <c r="AF10" s="28"/>
      <c r="AG10" s="26"/>
      <c r="AH10" s="26"/>
      <c r="AI10" s="29"/>
      <c r="AJ10" s="28"/>
      <c r="AK10" s="26"/>
      <c r="AL10" s="26"/>
      <c r="AM10" s="29"/>
      <c r="AN10" s="28"/>
      <c r="AO10" s="26"/>
      <c r="AP10" s="26"/>
      <c r="AQ10" s="29"/>
      <c r="AR10" s="28"/>
      <c r="AS10" s="26"/>
      <c r="AT10" s="26"/>
      <c r="AU10" s="29"/>
      <c r="AV10" s="28">
        <v>1</v>
      </c>
      <c r="AW10" s="26"/>
      <c r="AX10" s="26"/>
      <c r="AY10" s="29"/>
      <c r="AZ10" s="28"/>
      <c r="BA10" s="26"/>
      <c r="BB10" s="26"/>
      <c r="BC10" s="29"/>
      <c r="BD10" s="28"/>
      <c r="BE10" s="26"/>
      <c r="BF10" s="26"/>
      <c r="BG10" s="29"/>
      <c r="BH10" s="28"/>
      <c r="BI10" s="26"/>
      <c r="BJ10" s="26"/>
      <c r="BK10" s="29"/>
      <c r="BL10" s="28"/>
      <c r="BM10" s="26"/>
      <c r="BN10" s="26"/>
      <c r="BO10" s="29"/>
      <c r="BP10" s="28"/>
      <c r="BQ10" s="26"/>
      <c r="BR10" s="26"/>
      <c r="BS10" s="29"/>
      <c r="BT10" s="28"/>
      <c r="BU10" s="26"/>
      <c r="BV10" s="26"/>
      <c r="BW10" s="29"/>
      <c r="BX10" s="28"/>
      <c r="BY10" s="26"/>
      <c r="BZ10" s="26"/>
      <c r="CA10" s="29"/>
      <c r="CB10" s="28"/>
      <c r="CC10" s="26"/>
      <c r="CD10" s="26"/>
      <c r="CE10" s="29"/>
      <c r="CF10" s="28"/>
      <c r="CG10" s="26"/>
      <c r="CH10" s="26"/>
      <c r="CI10" s="29"/>
      <c r="CJ10" s="28"/>
      <c r="CK10" s="26"/>
      <c r="CL10" s="26"/>
      <c r="CM10" s="29"/>
      <c r="CN10" s="28"/>
      <c r="CO10" s="26"/>
      <c r="CP10" s="26"/>
      <c r="CQ10" s="29"/>
      <c r="CR10" s="28"/>
      <c r="CS10" s="26">
        <v>1</v>
      </c>
      <c r="CT10" s="26"/>
      <c r="CU10" s="29"/>
      <c r="CV10" s="28"/>
      <c r="CW10" s="26"/>
      <c r="CX10" s="26"/>
      <c r="CY10" s="29"/>
      <c r="CZ10" s="28"/>
      <c r="DA10" s="26"/>
      <c r="DB10" s="26"/>
      <c r="DC10" s="29"/>
    </row>
    <row r="11" spans="1:107" ht="19.899999999999999" customHeight="1" x14ac:dyDescent="0.25">
      <c r="A11" s="169"/>
      <c r="B11" s="154" t="str">
        <f>Jugadores!E10</f>
        <v>Juan Carlos Vega</v>
      </c>
      <c r="C11" s="155"/>
      <c r="D11" s="24">
        <f t="shared" si="0"/>
        <v>4</v>
      </c>
      <c r="E11" s="24">
        <f t="shared" si="1"/>
        <v>0</v>
      </c>
      <c r="F11" s="115">
        <f t="shared" si="2"/>
        <v>0</v>
      </c>
      <c r="G11" s="115">
        <f t="shared" si="3"/>
        <v>1</v>
      </c>
      <c r="H11" s="28">
        <v>2</v>
      </c>
      <c r="I11" s="26"/>
      <c r="J11" s="26"/>
      <c r="K11" s="29"/>
      <c r="L11" s="28"/>
      <c r="M11" s="26"/>
      <c r="N11" s="26"/>
      <c r="O11" s="29"/>
      <c r="P11" s="28">
        <v>2</v>
      </c>
      <c r="Q11" s="26"/>
      <c r="R11" s="26"/>
      <c r="S11" s="29"/>
      <c r="T11" s="28"/>
      <c r="U11" s="26"/>
      <c r="V11" s="26"/>
      <c r="W11" s="29">
        <v>1</v>
      </c>
      <c r="X11" s="28"/>
      <c r="Y11" s="26"/>
      <c r="Z11" s="26"/>
      <c r="AA11" s="29"/>
      <c r="AB11" s="28"/>
      <c r="AC11" s="26"/>
      <c r="AD11" s="26"/>
      <c r="AE11" s="29"/>
      <c r="AF11" s="28"/>
      <c r="AG11" s="26"/>
      <c r="AH11" s="26"/>
      <c r="AI11" s="29"/>
      <c r="AJ11" s="28"/>
      <c r="AK11" s="26"/>
      <c r="AL11" s="26"/>
      <c r="AM11" s="29"/>
      <c r="AN11" s="28"/>
      <c r="AO11" s="26"/>
      <c r="AP11" s="26"/>
      <c r="AQ11" s="29"/>
      <c r="AR11" s="28"/>
      <c r="AS11" s="26"/>
      <c r="AT11" s="26"/>
      <c r="AU11" s="29"/>
      <c r="AV11" s="28"/>
      <c r="AW11" s="26"/>
      <c r="AX11" s="26"/>
      <c r="AY11" s="29"/>
      <c r="AZ11" s="28"/>
      <c r="BA11" s="26"/>
      <c r="BB11" s="26"/>
      <c r="BC11" s="29"/>
      <c r="BD11" s="28"/>
      <c r="BE11" s="26"/>
      <c r="BF11" s="26"/>
      <c r="BG11" s="29"/>
      <c r="BH11" s="28"/>
      <c r="BI11" s="26"/>
      <c r="BJ11" s="26"/>
      <c r="BK11" s="29"/>
      <c r="BL11" s="28"/>
      <c r="BM11" s="26"/>
      <c r="BN11" s="26"/>
      <c r="BO11" s="29"/>
      <c r="BP11" s="28"/>
      <c r="BQ11" s="26"/>
      <c r="BR11" s="26"/>
      <c r="BS11" s="29"/>
      <c r="BT11" s="28"/>
      <c r="BU11" s="26"/>
      <c r="BV11" s="26"/>
      <c r="BW11" s="29"/>
      <c r="BX11" s="28"/>
      <c r="BY11" s="26"/>
      <c r="BZ11" s="26"/>
      <c r="CA11" s="29"/>
      <c r="CB11" s="28"/>
      <c r="CC11" s="26"/>
      <c r="CD11" s="26"/>
      <c r="CE11" s="29"/>
      <c r="CF11" s="28"/>
      <c r="CG11" s="26"/>
      <c r="CH11" s="26"/>
      <c r="CI11" s="29"/>
      <c r="CJ11" s="28"/>
      <c r="CK11" s="26"/>
      <c r="CL11" s="26"/>
      <c r="CM11" s="29"/>
      <c r="CN11" s="28"/>
      <c r="CO11" s="26"/>
      <c r="CP11" s="26"/>
      <c r="CQ11" s="29"/>
      <c r="CR11" s="28"/>
      <c r="CS11" s="26"/>
      <c r="CT11" s="26"/>
      <c r="CU11" s="29"/>
      <c r="CV11" s="28"/>
      <c r="CW11" s="26"/>
      <c r="CX11" s="26"/>
      <c r="CY11" s="29"/>
      <c r="CZ11" s="28"/>
      <c r="DA11" s="26"/>
      <c r="DB11" s="26"/>
      <c r="DC11" s="29"/>
    </row>
    <row r="12" spans="1:107" ht="19.899999999999999" customHeight="1" x14ac:dyDescent="0.25">
      <c r="A12" s="169"/>
      <c r="B12" s="154" t="str">
        <f>Jugadores!E11</f>
        <v>Alejandro Silva</v>
      </c>
      <c r="C12" s="155"/>
      <c r="D12" s="24">
        <f t="shared" si="0"/>
        <v>0</v>
      </c>
      <c r="E12" s="24">
        <f t="shared" si="1"/>
        <v>0</v>
      </c>
      <c r="F12" s="115">
        <f t="shared" si="2"/>
        <v>0</v>
      </c>
      <c r="G12" s="115">
        <f t="shared" si="3"/>
        <v>0</v>
      </c>
      <c r="H12" s="28"/>
      <c r="I12" s="26"/>
      <c r="J12" s="26"/>
      <c r="K12" s="29"/>
      <c r="L12" s="28"/>
      <c r="M12" s="26"/>
      <c r="N12" s="26"/>
      <c r="O12" s="29"/>
      <c r="P12" s="28"/>
      <c r="Q12" s="26"/>
      <c r="R12" s="26"/>
      <c r="S12" s="29"/>
      <c r="T12" s="28"/>
      <c r="U12" s="26"/>
      <c r="V12" s="26"/>
      <c r="W12" s="29"/>
      <c r="X12" s="28"/>
      <c r="Y12" s="26"/>
      <c r="Z12" s="26"/>
      <c r="AA12" s="29"/>
      <c r="AB12" s="28"/>
      <c r="AC12" s="26"/>
      <c r="AD12" s="26"/>
      <c r="AE12" s="29"/>
      <c r="AF12" s="28"/>
      <c r="AG12" s="26"/>
      <c r="AH12" s="26"/>
      <c r="AI12" s="29"/>
      <c r="AJ12" s="28"/>
      <c r="AK12" s="26"/>
      <c r="AL12" s="26"/>
      <c r="AM12" s="29"/>
      <c r="AN12" s="28"/>
      <c r="AO12" s="26"/>
      <c r="AP12" s="26"/>
      <c r="AQ12" s="29"/>
      <c r="AR12" s="28"/>
      <c r="AS12" s="26"/>
      <c r="AT12" s="26"/>
      <c r="AU12" s="29"/>
      <c r="AV12" s="28"/>
      <c r="AW12" s="26"/>
      <c r="AX12" s="26"/>
      <c r="AY12" s="29"/>
      <c r="AZ12" s="28"/>
      <c r="BA12" s="26"/>
      <c r="BB12" s="26"/>
      <c r="BC12" s="29"/>
      <c r="BD12" s="28"/>
      <c r="BE12" s="26"/>
      <c r="BF12" s="26"/>
      <c r="BG12" s="29"/>
      <c r="BH12" s="28"/>
      <c r="BI12" s="26"/>
      <c r="BJ12" s="26"/>
      <c r="BK12" s="29"/>
      <c r="BL12" s="28"/>
      <c r="BM12" s="26"/>
      <c r="BN12" s="26"/>
      <c r="BO12" s="29"/>
      <c r="BP12" s="28"/>
      <c r="BQ12" s="26"/>
      <c r="BR12" s="26"/>
      <c r="BS12" s="29"/>
      <c r="BT12" s="28"/>
      <c r="BU12" s="26"/>
      <c r="BV12" s="26"/>
      <c r="BW12" s="29"/>
      <c r="BX12" s="28"/>
      <c r="BY12" s="26"/>
      <c r="BZ12" s="26"/>
      <c r="CA12" s="29"/>
      <c r="CB12" s="28"/>
      <c r="CC12" s="26"/>
      <c r="CD12" s="26"/>
      <c r="CE12" s="29"/>
      <c r="CF12" s="28"/>
      <c r="CG12" s="26"/>
      <c r="CH12" s="26"/>
      <c r="CI12" s="29"/>
      <c r="CJ12" s="28"/>
      <c r="CK12" s="26"/>
      <c r="CL12" s="26"/>
      <c r="CM12" s="29"/>
      <c r="CN12" s="28"/>
      <c r="CO12" s="26"/>
      <c r="CP12" s="26"/>
      <c r="CQ12" s="29"/>
      <c r="CR12" s="28"/>
      <c r="CS12" s="26"/>
      <c r="CT12" s="26"/>
      <c r="CU12" s="29"/>
      <c r="CV12" s="28"/>
      <c r="CW12" s="26"/>
      <c r="CX12" s="26"/>
      <c r="CY12" s="29"/>
      <c r="CZ12" s="28"/>
      <c r="DA12" s="26"/>
      <c r="DB12" s="26"/>
      <c r="DC12" s="29"/>
    </row>
    <row r="13" spans="1:107" ht="19.899999999999999" customHeight="1" x14ac:dyDescent="0.25">
      <c r="A13" s="169"/>
      <c r="B13" s="154" t="str">
        <f>Jugadores!E12</f>
        <v>Kanel Martíz</v>
      </c>
      <c r="C13" s="155"/>
      <c r="D13" s="24">
        <f t="shared" si="0"/>
        <v>0</v>
      </c>
      <c r="E13" s="24">
        <f t="shared" si="1"/>
        <v>0</v>
      </c>
      <c r="F13" s="115">
        <f t="shared" si="2"/>
        <v>0</v>
      </c>
      <c r="G13" s="115">
        <f t="shared" si="3"/>
        <v>1</v>
      </c>
      <c r="H13" s="28"/>
      <c r="I13" s="26"/>
      <c r="J13" s="26"/>
      <c r="K13" s="29"/>
      <c r="L13" s="28"/>
      <c r="M13" s="26"/>
      <c r="N13" s="26"/>
      <c r="O13" s="29"/>
      <c r="P13" s="28"/>
      <c r="Q13" s="26"/>
      <c r="R13" s="26"/>
      <c r="S13" s="29"/>
      <c r="T13" s="28"/>
      <c r="U13" s="26"/>
      <c r="V13" s="26"/>
      <c r="W13" s="29">
        <v>1</v>
      </c>
      <c r="X13" s="28"/>
      <c r="Y13" s="26"/>
      <c r="Z13" s="26"/>
      <c r="AA13" s="29"/>
      <c r="AB13" s="28"/>
      <c r="AC13" s="26"/>
      <c r="AD13" s="26"/>
      <c r="AE13" s="29"/>
      <c r="AF13" s="28"/>
      <c r="AG13" s="26"/>
      <c r="AH13" s="26"/>
      <c r="AI13" s="29"/>
      <c r="AJ13" s="28"/>
      <c r="AK13" s="26"/>
      <c r="AL13" s="26"/>
      <c r="AM13" s="29"/>
      <c r="AN13" s="28"/>
      <c r="AO13" s="26"/>
      <c r="AP13" s="26"/>
      <c r="AQ13" s="29"/>
      <c r="AR13" s="28"/>
      <c r="AS13" s="26"/>
      <c r="AT13" s="26"/>
      <c r="AU13" s="29"/>
      <c r="AV13" s="28"/>
      <c r="AW13" s="26"/>
      <c r="AX13" s="26"/>
      <c r="AY13" s="29"/>
      <c r="AZ13" s="28"/>
      <c r="BA13" s="26"/>
      <c r="BB13" s="26"/>
      <c r="BC13" s="29"/>
      <c r="BD13" s="28"/>
      <c r="BE13" s="26"/>
      <c r="BF13" s="26"/>
      <c r="BG13" s="29"/>
      <c r="BH13" s="28"/>
      <c r="BI13" s="26"/>
      <c r="BJ13" s="26"/>
      <c r="BK13" s="29"/>
      <c r="BL13" s="28"/>
      <c r="BM13" s="26"/>
      <c r="BN13" s="26"/>
      <c r="BO13" s="29"/>
      <c r="BP13" s="28"/>
      <c r="BQ13" s="26"/>
      <c r="BR13" s="26"/>
      <c r="BS13" s="29"/>
      <c r="BT13" s="28"/>
      <c r="BU13" s="26"/>
      <c r="BV13" s="26"/>
      <c r="BW13" s="29"/>
      <c r="BX13" s="28"/>
      <c r="BY13" s="26"/>
      <c r="BZ13" s="26"/>
      <c r="CA13" s="29"/>
      <c r="CB13" s="28"/>
      <c r="CC13" s="26"/>
      <c r="CD13" s="26"/>
      <c r="CE13" s="29"/>
      <c r="CF13" s="28"/>
      <c r="CG13" s="26"/>
      <c r="CH13" s="26"/>
      <c r="CI13" s="29"/>
      <c r="CJ13" s="28"/>
      <c r="CK13" s="26"/>
      <c r="CL13" s="26"/>
      <c r="CM13" s="29"/>
      <c r="CN13" s="28"/>
      <c r="CO13" s="26"/>
      <c r="CP13" s="26"/>
      <c r="CQ13" s="29"/>
      <c r="CR13" s="28"/>
      <c r="CS13" s="26"/>
      <c r="CT13" s="26"/>
      <c r="CU13" s="29"/>
      <c r="CV13" s="28"/>
      <c r="CW13" s="26"/>
      <c r="CX13" s="26"/>
      <c r="CY13" s="29"/>
      <c r="CZ13" s="28"/>
      <c r="DA13" s="26"/>
      <c r="DB13" s="26"/>
      <c r="DC13" s="29"/>
    </row>
    <row r="14" spans="1:107" ht="19.899999999999999" customHeight="1" x14ac:dyDescent="0.25">
      <c r="A14" s="169"/>
      <c r="B14" s="154" t="str">
        <f>Jugadores!E13</f>
        <v>Junior Manuel Benítez</v>
      </c>
      <c r="C14" s="155"/>
      <c r="D14" s="24">
        <f t="shared" si="0"/>
        <v>4</v>
      </c>
      <c r="E14" s="24">
        <f t="shared" si="1"/>
        <v>1</v>
      </c>
      <c r="F14" s="115">
        <f t="shared" si="2"/>
        <v>2</v>
      </c>
      <c r="G14" s="115">
        <f t="shared" si="3"/>
        <v>0</v>
      </c>
      <c r="H14" s="28"/>
      <c r="I14" s="26"/>
      <c r="J14" s="26"/>
      <c r="K14" s="29"/>
      <c r="L14" s="28"/>
      <c r="M14" s="26"/>
      <c r="N14" s="26"/>
      <c r="O14" s="29"/>
      <c r="P14" s="28"/>
      <c r="Q14" s="26"/>
      <c r="R14" s="26"/>
      <c r="S14" s="29"/>
      <c r="T14" s="28"/>
      <c r="U14" s="26"/>
      <c r="V14" s="26"/>
      <c r="W14" s="29"/>
      <c r="X14" s="28">
        <v>1</v>
      </c>
      <c r="Y14" s="26">
        <v>1</v>
      </c>
      <c r="Z14" s="26"/>
      <c r="AA14" s="29"/>
      <c r="AB14" s="28"/>
      <c r="AC14" s="26"/>
      <c r="AD14" s="26"/>
      <c r="AE14" s="29"/>
      <c r="AF14" s="28"/>
      <c r="AG14" s="26"/>
      <c r="AH14" s="26"/>
      <c r="AI14" s="29"/>
      <c r="AJ14" s="28"/>
      <c r="AK14" s="26"/>
      <c r="AL14" s="26"/>
      <c r="AM14" s="29"/>
      <c r="AN14" s="28"/>
      <c r="AO14" s="26"/>
      <c r="AP14" s="26"/>
      <c r="AQ14" s="29"/>
      <c r="AR14" s="28"/>
      <c r="AS14" s="26"/>
      <c r="AT14" s="26"/>
      <c r="AU14" s="29"/>
      <c r="AV14" s="28"/>
      <c r="AW14" s="26"/>
      <c r="AX14" s="26"/>
      <c r="AY14" s="29"/>
      <c r="AZ14" s="28"/>
      <c r="BA14" s="26"/>
      <c r="BB14" s="26"/>
      <c r="BC14" s="29"/>
      <c r="BD14" s="28"/>
      <c r="BE14" s="26"/>
      <c r="BF14" s="26"/>
      <c r="BG14" s="29"/>
      <c r="BH14" s="28"/>
      <c r="BI14" s="26"/>
      <c r="BJ14" s="26"/>
      <c r="BK14" s="29"/>
      <c r="BL14" s="28"/>
      <c r="BM14" s="26"/>
      <c r="BN14" s="26"/>
      <c r="BO14" s="29"/>
      <c r="BP14" s="28">
        <v>1</v>
      </c>
      <c r="BQ14" s="26"/>
      <c r="BR14" s="26"/>
      <c r="BS14" s="29"/>
      <c r="BT14" s="28"/>
      <c r="BU14" s="26"/>
      <c r="BV14" s="26"/>
      <c r="BW14" s="29"/>
      <c r="BX14" s="28">
        <v>1</v>
      </c>
      <c r="BY14" s="26"/>
      <c r="BZ14" s="26"/>
      <c r="CA14" s="29"/>
      <c r="CB14" s="28"/>
      <c r="CC14" s="26"/>
      <c r="CD14" s="26"/>
      <c r="CE14" s="29"/>
      <c r="CF14" s="28"/>
      <c r="CG14" s="26"/>
      <c r="CH14" s="26"/>
      <c r="CI14" s="29"/>
      <c r="CJ14" s="28"/>
      <c r="CK14" s="26"/>
      <c r="CL14" s="26"/>
      <c r="CM14" s="29"/>
      <c r="CN14" s="28">
        <v>1</v>
      </c>
      <c r="CO14" s="26"/>
      <c r="CP14" s="26"/>
      <c r="CQ14" s="29"/>
      <c r="CR14" s="28"/>
      <c r="CS14" s="26"/>
      <c r="CT14" s="26"/>
      <c r="CU14" s="29"/>
      <c r="CV14" s="28"/>
      <c r="CW14" s="26"/>
      <c r="CX14" s="26"/>
      <c r="CY14" s="29"/>
      <c r="CZ14" s="28"/>
      <c r="DA14" s="26"/>
      <c r="DB14" s="26"/>
      <c r="DC14" s="29"/>
    </row>
    <row r="15" spans="1:107" ht="19.899999999999999" customHeight="1" x14ac:dyDescent="0.25">
      <c r="A15" s="169"/>
      <c r="B15" s="154" t="str">
        <f>Jugadores!E14</f>
        <v>Jorge Andrés Castellar</v>
      </c>
      <c r="C15" s="155"/>
      <c r="D15" s="24">
        <f t="shared" si="0"/>
        <v>3</v>
      </c>
      <c r="E15" s="24">
        <f t="shared" si="1"/>
        <v>1</v>
      </c>
      <c r="F15" s="115">
        <f t="shared" si="2"/>
        <v>2</v>
      </c>
      <c r="G15" s="115">
        <f t="shared" si="3"/>
        <v>0</v>
      </c>
      <c r="H15" s="28"/>
      <c r="I15" s="26"/>
      <c r="J15" s="26"/>
      <c r="K15" s="29"/>
      <c r="L15" s="28">
        <v>1</v>
      </c>
      <c r="M15" s="26"/>
      <c r="N15" s="26"/>
      <c r="O15" s="29"/>
      <c r="P15" s="28"/>
      <c r="Q15" s="26"/>
      <c r="R15" s="26"/>
      <c r="S15" s="29"/>
      <c r="T15" s="28"/>
      <c r="U15" s="26"/>
      <c r="V15" s="26"/>
      <c r="W15" s="29"/>
      <c r="X15" s="28">
        <v>1</v>
      </c>
      <c r="Y15" s="26"/>
      <c r="Z15" s="26">
        <v>1</v>
      </c>
      <c r="AA15" s="29"/>
      <c r="AB15" s="28"/>
      <c r="AC15" s="26"/>
      <c r="AD15" s="26"/>
      <c r="AE15" s="29"/>
      <c r="AF15" s="28"/>
      <c r="AG15" s="26"/>
      <c r="AH15" s="26"/>
      <c r="AI15" s="29"/>
      <c r="AJ15" s="28"/>
      <c r="AK15" s="26">
        <v>1</v>
      </c>
      <c r="AL15" s="26"/>
      <c r="AM15" s="29"/>
      <c r="AN15" s="28"/>
      <c r="AO15" s="26"/>
      <c r="AP15" s="26"/>
      <c r="AQ15" s="29"/>
      <c r="AR15" s="28"/>
      <c r="AS15" s="26"/>
      <c r="AT15" s="26"/>
      <c r="AU15" s="29"/>
      <c r="AV15" s="28"/>
      <c r="AW15" s="26"/>
      <c r="AX15" s="26"/>
      <c r="AY15" s="29"/>
      <c r="AZ15" s="28"/>
      <c r="BA15" s="26"/>
      <c r="BB15" s="26"/>
      <c r="BC15" s="29"/>
      <c r="BD15" s="28"/>
      <c r="BE15" s="26"/>
      <c r="BF15" s="26"/>
      <c r="BG15" s="29"/>
      <c r="BH15" s="28"/>
      <c r="BI15" s="26"/>
      <c r="BJ15" s="26"/>
      <c r="BK15" s="29"/>
      <c r="BL15" s="28"/>
      <c r="BM15" s="26"/>
      <c r="BN15" s="26"/>
      <c r="BO15" s="29"/>
      <c r="BP15" s="28"/>
      <c r="BQ15" s="26"/>
      <c r="BR15" s="26"/>
      <c r="BS15" s="29"/>
      <c r="BT15" s="28"/>
      <c r="BU15" s="26"/>
      <c r="BV15" s="26"/>
      <c r="BW15" s="29"/>
      <c r="BX15" s="28"/>
      <c r="BY15" s="26"/>
      <c r="BZ15" s="26"/>
      <c r="CA15" s="29"/>
      <c r="CB15" s="28"/>
      <c r="CC15" s="26"/>
      <c r="CD15" s="26"/>
      <c r="CE15" s="29"/>
      <c r="CF15" s="28"/>
      <c r="CG15" s="26"/>
      <c r="CH15" s="26"/>
      <c r="CI15" s="29"/>
      <c r="CJ15" s="28"/>
      <c r="CK15" s="26">
        <v>1</v>
      </c>
      <c r="CL15" s="26"/>
      <c r="CM15" s="29"/>
      <c r="CN15" s="28">
        <v>1</v>
      </c>
      <c r="CO15" s="26"/>
      <c r="CP15" s="26"/>
      <c r="CQ15" s="29"/>
      <c r="CR15" s="28"/>
      <c r="CS15" s="26"/>
      <c r="CT15" s="26"/>
      <c r="CU15" s="29"/>
      <c r="CV15" s="28"/>
      <c r="CW15" s="26"/>
      <c r="CX15" s="26"/>
      <c r="CY15" s="29"/>
      <c r="CZ15" s="28"/>
      <c r="DA15" s="26"/>
      <c r="DB15" s="26"/>
      <c r="DC15" s="29"/>
    </row>
    <row r="16" spans="1:107" ht="19.899999999999999" customHeight="1" x14ac:dyDescent="0.25">
      <c r="A16" s="169"/>
      <c r="B16" s="154" t="str">
        <f>Jugadores!E15</f>
        <v>Julio Medina</v>
      </c>
      <c r="C16" s="155"/>
      <c r="D16" s="24">
        <f t="shared" si="0"/>
        <v>0</v>
      </c>
      <c r="E16" s="24">
        <f t="shared" si="1"/>
        <v>1</v>
      </c>
      <c r="F16" s="115">
        <f t="shared" si="2"/>
        <v>0</v>
      </c>
      <c r="G16" s="115">
        <f t="shared" si="3"/>
        <v>0</v>
      </c>
      <c r="H16" s="28"/>
      <c r="I16" s="26"/>
      <c r="J16" s="26"/>
      <c r="K16" s="29"/>
      <c r="L16" s="28"/>
      <c r="M16" s="26"/>
      <c r="N16" s="26"/>
      <c r="O16" s="29"/>
      <c r="P16" s="28"/>
      <c r="Q16" s="26"/>
      <c r="R16" s="26"/>
      <c r="S16" s="29"/>
      <c r="T16" s="28"/>
      <c r="U16" s="26"/>
      <c r="V16" s="26"/>
      <c r="W16" s="29"/>
      <c r="X16" s="28"/>
      <c r="Y16" s="26"/>
      <c r="Z16" s="26"/>
      <c r="AA16" s="29"/>
      <c r="AB16" s="28"/>
      <c r="AC16" s="26"/>
      <c r="AD16" s="26"/>
      <c r="AE16" s="29"/>
      <c r="AF16" s="28"/>
      <c r="AG16" s="26"/>
      <c r="AH16" s="26"/>
      <c r="AI16" s="29"/>
      <c r="AJ16" s="28"/>
      <c r="AK16" s="26"/>
      <c r="AL16" s="26"/>
      <c r="AM16" s="29"/>
      <c r="AN16" s="28"/>
      <c r="AO16" s="26"/>
      <c r="AP16" s="26"/>
      <c r="AQ16" s="29"/>
      <c r="AR16" s="28"/>
      <c r="AS16" s="26"/>
      <c r="AT16" s="26"/>
      <c r="AU16" s="29"/>
      <c r="AV16" s="28"/>
      <c r="AW16" s="26"/>
      <c r="AX16" s="26"/>
      <c r="AY16" s="29"/>
      <c r="AZ16" s="28"/>
      <c r="BA16" s="26"/>
      <c r="BB16" s="26"/>
      <c r="BC16" s="29"/>
      <c r="BD16" s="28"/>
      <c r="BE16" s="26"/>
      <c r="BF16" s="26"/>
      <c r="BG16" s="29"/>
      <c r="BH16" s="28"/>
      <c r="BI16" s="26">
        <v>1</v>
      </c>
      <c r="BJ16" s="26"/>
      <c r="BK16" s="29"/>
      <c r="BL16" s="28"/>
      <c r="BM16" s="26"/>
      <c r="BN16" s="26"/>
      <c r="BO16" s="29"/>
      <c r="BP16" s="28"/>
      <c r="BQ16" s="26"/>
      <c r="BR16" s="26"/>
      <c r="BS16" s="29"/>
      <c r="BT16" s="28"/>
      <c r="BU16" s="26"/>
      <c r="BV16" s="26"/>
      <c r="BW16" s="29"/>
      <c r="BX16" s="28"/>
      <c r="BY16" s="26"/>
      <c r="BZ16" s="26"/>
      <c r="CA16" s="29"/>
      <c r="CB16" s="28"/>
      <c r="CC16" s="26"/>
      <c r="CD16" s="26"/>
      <c r="CE16" s="29"/>
      <c r="CF16" s="28"/>
      <c r="CG16" s="26"/>
      <c r="CH16" s="26"/>
      <c r="CI16" s="29"/>
      <c r="CJ16" s="28"/>
      <c r="CK16" s="26"/>
      <c r="CL16" s="26"/>
      <c r="CM16" s="29"/>
      <c r="CN16" s="28"/>
      <c r="CO16" s="26"/>
      <c r="CP16" s="26"/>
      <c r="CQ16" s="29"/>
      <c r="CR16" s="28"/>
      <c r="CS16" s="26"/>
      <c r="CT16" s="26"/>
      <c r="CU16" s="29">
        <v>1</v>
      </c>
      <c r="CV16" s="28"/>
      <c r="CW16" s="26"/>
      <c r="CX16" s="26"/>
      <c r="CY16" s="29"/>
      <c r="CZ16" s="28"/>
      <c r="DA16" s="26"/>
      <c r="DB16" s="26"/>
      <c r="DC16" s="29"/>
    </row>
    <row r="17" spans="1:107" ht="19.899999999999999" customHeight="1" x14ac:dyDescent="0.25">
      <c r="A17" s="169"/>
      <c r="B17" s="154" t="str">
        <f>Jugadores!E16</f>
        <v>Elias Reyes</v>
      </c>
      <c r="C17" s="155"/>
      <c r="D17" s="24">
        <f t="shared" si="0"/>
        <v>1</v>
      </c>
      <c r="E17" s="24">
        <f t="shared" si="1"/>
        <v>2</v>
      </c>
      <c r="F17" s="115">
        <f t="shared" si="2"/>
        <v>0</v>
      </c>
      <c r="G17" s="115">
        <f t="shared" si="3"/>
        <v>0</v>
      </c>
      <c r="H17" s="28"/>
      <c r="I17" s="26"/>
      <c r="J17" s="26"/>
      <c r="K17" s="29"/>
      <c r="L17" s="28"/>
      <c r="M17" s="26"/>
      <c r="N17" s="26"/>
      <c r="O17" s="29"/>
      <c r="P17" s="28"/>
      <c r="Q17" s="26"/>
      <c r="R17" s="26"/>
      <c r="S17" s="29"/>
      <c r="T17" s="28"/>
      <c r="U17" s="26"/>
      <c r="V17" s="26"/>
      <c r="W17" s="29"/>
      <c r="X17" s="28"/>
      <c r="Y17" s="26"/>
      <c r="Z17" s="26"/>
      <c r="AA17" s="29"/>
      <c r="AB17" s="28"/>
      <c r="AC17" s="26"/>
      <c r="AD17" s="26"/>
      <c r="AE17" s="29"/>
      <c r="AF17" s="28"/>
      <c r="AG17" s="26"/>
      <c r="AH17" s="26"/>
      <c r="AI17" s="29"/>
      <c r="AJ17" s="28"/>
      <c r="AK17" s="26"/>
      <c r="AL17" s="26"/>
      <c r="AM17" s="29"/>
      <c r="AN17" s="28"/>
      <c r="AO17" s="26">
        <v>1</v>
      </c>
      <c r="AP17" s="26"/>
      <c r="AQ17" s="29"/>
      <c r="AR17" s="28">
        <v>1</v>
      </c>
      <c r="AS17" s="26">
        <v>1</v>
      </c>
      <c r="AT17" s="26"/>
      <c r="AU17" s="29"/>
      <c r="AV17" s="28"/>
      <c r="AW17" s="26"/>
      <c r="AX17" s="26"/>
      <c r="AY17" s="29"/>
      <c r="AZ17" s="28"/>
      <c r="BA17" s="26"/>
      <c r="BB17" s="26"/>
      <c r="BC17" s="29"/>
      <c r="BD17" s="28"/>
      <c r="BE17" s="26"/>
      <c r="BF17" s="26"/>
      <c r="BG17" s="29"/>
      <c r="BH17" s="28"/>
      <c r="BI17" s="26"/>
      <c r="BJ17" s="26"/>
      <c r="BK17" s="29"/>
      <c r="BL17" s="28"/>
      <c r="BM17" s="26"/>
      <c r="BN17" s="26"/>
      <c r="BO17" s="29"/>
      <c r="BP17" s="28"/>
      <c r="BQ17" s="26"/>
      <c r="BR17" s="26"/>
      <c r="BS17" s="29"/>
      <c r="BT17" s="28"/>
      <c r="BU17" s="26"/>
      <c r="BV17" s="26"/>
      <c r="BW17" s="29"/>
      <c r="BX17" s="28"/>
      <c r="BY17" s="26"/>
      <c r="BZ17" s="26"/>
      <c r="CA17" s="29"/>
      <c r="CB17" s="28"/>
      <c r="CC17" s="26"/>
      <c r="CD17" s="26"/>
      <c r="CE17" s="29"/>
      <c r="CF17" s="28"/>
      <c r="CG17" s="26"/>
      <c r="CH17" s="26"/>
      <c r="CI17" s="29"/>
      <c r="CJ17" s="28"/>
      <c r="CK17" s="26"/>
      <c r="CL17" s="26"/>
      <c r="CM17" s="29"/>
      <c r="CN17" s="28"/>
      <c r="CO17" s="26"/>
      <c r="CP17" s="26"/>
      <c r="CQ17" s="29"/>
      <c r="CR17" s="28"/>
      <c r="CS17" s="26"/>
      <c r="CT17" s="26"/>
      <c r="CU17" s="29"/>
      <c r="CV17" s="28"/>
      <c r="CW17" s="26"/>
      <c r="CX17" s="26"/>
      <c r="CY17" s="29"/>
      <c r="CZ17" s="28"/>
      <c r="DA17" s="26"/>
      <c r="DB17" s="26"/>
      <c r="DC17" s="29"/>
    </row>
    <row r="18" spans="1:107" ht="19.899999999999999" customHeight="1" x14ac:dyDescent="0.25">
      <c r="A18" s="170"/>
      <c r="B18" s="156" t="str">
        <f>Jugadores!E17</f>
        <v>Ángel Mora</v>
      </c>
      <c r="C18" s="157"/>
      <c r="D18" s="24">
        <f t="shared" si="0"/>
        <v>3</v>
      </c>
      <c r="E18" s="24">
        <f t="shared" si="1"/>
        <v>4</v>
      </c>
      <c r="F18" s="115">
        <f t="shared" si="2"/>
        <v>1</v>
      </c>
      <c r="G18" s="115">
        <f t="shared" si="3"/>
        <v>0</v>
      </c>
      <c r="H18" s="28"/>
      <c r="I18" s="26"/>
      <c r="J18" s="26"/>
      <c r="K18" s="29"/>
      <c r="L18" s="28"/>
      <c r="M18" s="26"/>
      <c r="N18" s="26"/>
      <c r="O18" s="29"/>
      <c r="P18" s="28"/>
      <c r="Q18" s="26"/>
      <c r="R18" s="26"/>
      <c r="S18" s="29"/>
      <c r="T18" s="28"/>
      <c r="U18" s="26">
        <v>1</v>
      </c>
      <c r="V18" s="26"/>
      <c r="W18" s="29"/>
      <c r="X18" s="28">
        <v>1</v>
      </c>
      <c r="Y18" s="26"/>
      <c r="Z18" s="26"/>
      <c r="AA18" s="29"/>
      <c r="AB18" s="28"/>
      <c r="AC18" s="26"/>
      <c r="AD18" s="26"/>
      <c r="AE18" s="29"/>
      <c r="AF18" s="28"/>
      <c r="AG18" s="26"/>
      <c r="AH18" s="26"/>
      <c r="AI18" s="29"/>
      <c r="AJ18" s="28"/>
      <c r="AK18" s="26"/>
      <c r="AL18" s="26"/>
      <c r="AM18" s="29"/>
      <c r="AN18" s="28"/>
      <c r="AO18" s="26"/>
      <c r="AP18" s="26"/>
      <c r="AQ18" s="29"/>
      <c r="AR18" s="28"/>
      <c r="AS18" s="26"/>
      <c r="AT18" s="26"/>
      <c r="AU18" s="29"/>
      <c r="AV18" s="28"/>
      <c r="AW18" s="26">
        <v>1</v>
      </c>
      <c r="AX18" s="26"/>
      <c r="AY18" s="29"/>
      <c r="AZ18" s="28"/>
      <c r="BA18" s="26"/>
      <c r="BB18" s="26"/>
      <c r="BC18" s="29"/>
      <c r="BD18" s="28"/>
      <c r="BE18" s="26">
        <v>1</v>
      </c>
      <c r="BF18" s="26"/>
      <c r="BG18" s="29"/>
      <c r="BH18" s="28">
        <v>1</v>
      </c>
      <c r="BI18" s="26">
        <v>1</v>
      </c>
      <c r="BJ18" s="26"/>
      <c r="BK18" s="29"/>
      <c r="BL18" s="28"/>
      <c r="BM18" s="26"/>
      <c r="BN18" s="26"/>
      <c r="BO18" s="29"/>
      <c r="BP18" s="28"/>
      <c r="BQ18" s="26"/>
      <c r="BR18" s="26"/>
      <c r="BS18" s="29"/>
      <c r="BT18" s="28"/>
      <c r="BU18" s="26"/>
      <c r="BV18" s="26"/>
      <c r="BW18" s="29"/>
      <c r="BX18" s="28"/>
      <c r="BY18" s="26"/>
      <c r="BZ18" s="26"/>
      <c r="CA18" s="29"/>
      <c r="CB18" s="28"/>
      <c r="CC18" s="26"/>
      <c r="CD18" s="26"/>
      <c r="CE18" s="29"/>
      <c r="CF18" s="28"/>
      <c r="CG18" s="26"/>
      <c r="CH18" s="26"/>
      <c r="CI18" s="29"/>
      <c r="CJ18" s="28"/>
      <c r="CK18" s="26"/>
      <c r="CL18" s="26"/>
      <c r="CM18" s="29"/>
      <c r="CN18" s="28">
        <v>1</v>
      </c>
      <c r="CO18" s="26"/>
      <c r="CP18" s="26"/>
      <c r="CQ18" s="29"/>
      <c r="CR18" s="28"/>
      <c r="CS18" s="26">
        <v>1</v>
      </c>
      <c r="CT18" s="26"/>
      <c r="CU18" s="29"/>
      <c r="CV18" s="28"/>
      <c r="CW18" s="26"/>
      <c r="CX18" s="26"/>
      <c r="CY18" s="29"/>
      <c r="CZ18" s="28"/>
      <c r="DA18" s="26"/>
      <c r="DB18" s="26"/>
      <c r="DC18" s="29"/>
    </row>
    <row r="19" spans="1:107" ht="14.45" customHeight="1" x14ac:dyDescent="0.25">
      <c r="B19" s="158" t="s">
        <v>105</v>
      </c>
      <c r="C19" s="159"/>
      <c r="D19" s="160"/>
      <c r="E19" s="160"/>
      <c r="F19" s="160"/>
      <c r="G19" s="160"/>
      <c r="H19" s="28"/>
      <c r="I19" s="26"/>
      <c r="J19" s="26"/>
      <c r="K19" s="29"/>
      <c r="L19" s="28"/>
      <c r="M19" s="26"/>
      <c r="N19" s="26"/>
      <c r="O19" s="29"/>
      <c r="P19" s="28"/>
      <c r="Q19" s="26"/>
      <c r="R19" s="26"/>
      <c r="S19" s="29"/>
      <c r="T19" s="28"/>
      <c r="U19" s="26"/>
      <c r="V19" s="26"/>
      <c r="W19" s="29"/>
      <c r="X19" s="28"/>
      <c r="Y19" s="26"/>
      <c r="Z19" s="26"/>
      <c r="AA19" s="29"/>
      <c r="AB19" s="28"/>
      <c r="AC19" s="26"/>
      <c r="AD19" s="26"/>
      <c r="AE19" s="29"/>
      <c r="AF19" s="28"/>
      <c r="AG19" s="26"/>
      <c r="AH19" s="26"/>
      <c r="AI19" s="29"/>
      <c r="AJ19" s="28"/>
      <c r="AK19" s="26"/>
      <c r="AL19" s="26"/>
      <c r="AM19" s="29"/>
      <c r="AN19" s="28"/>
      <c r="AO19" s="26"/>
      <c r="AP19" s="26"/>
      <c r="AQ19" s="29"/>
      <c r="AR19" s="28"/>
      <c r="AS19" s="26"/>
      <c r="AT19" s="26"/>
      <c r="AU19" s="29"/>
      <c r="AV19" s="28"/>
      <c r="AW19" s="26"/>
      <c r="AX19" s="26"/>
      <c r="AY19" s="29"/>
      <c r="AZ19" s="28"/>
      <c r="BA19" s="26"/>
      <c r="BB19" s="26"/>
      <c r="BC19" s="29"/>
      <c r="BD19" s="28"/>
      <c r="BE19" s="26"/>
      <c r="BF19" s="26"/>
      <c r="BG19" s="29"/>
      <c r="BH19" s="28"/>
      <c r="BI19" s="26"/>
      <c r="BJ19" s="26"/>
      <c r="BK19" s="29"/>
      <c r="BL19" s="28"/>
      <c r="BM19" s="26"/>
      <c r="BN19" s="26"/>
      <c r="BO19" s="29"/>
      <c r="BP19" s="28"/>
      <c r="BQ19" s="26"/>
      <c r="BR19" s="26"/>
      <c r="BS19" s="29"/>
      <c r="BT19" s="28"/>
      <c r="BU19" s="26"/>
      <c r="BV19" s="26"/>
      <c r="BW19" s="29"/>
      <c r="BX19" s="28"/>
      <c r="BY19" s="26"/>
      <c r="BZ19" s="26"/>
      <c r="CA19" s="29"/>
      <c r="CB19" s="28"/>
      <c r="CC19" s="26"/>
      <c r="CD19" s="26"/>
      <c r="CE19" s="29"/>
      <c r="CF19" s="28"/>
      <c r="CG19" s="26"/>
      <c r="CH19" s="26"/>
      <c r="CI19" s="29"/>
      <c r="CJ19" s="28"/>
      <c r="CK19" s="26"/>
      <c r="CL19" s="26"/>
      <c r="CM19" s="29"/>
      <c r="CN19" s="28"/>
      <c r="CO19" s="26"/>
      <c r="CP19" s="26"/>
      <c r="CQ19" s="29"/>
      <c r="CR19" s="28"/>
      <c r="CS19" s="26"/>
      <c r="CT19" s="26"/>
      <c r="CU19" s="29"/>
      <c r="CV19" s="28"/>
      <c r="CW19" s="26"/>
      <c r="CX19" s="26"/>
      <c r="CY19" s="29"/>
      <c r="CZ19" s="28"/>
      <c r="DA19" s="26"/>
      <c r="DB19" s="26"/>
      <c r="DC19" s="29"/>
    </row>
    <row r="20" spans="1:107" x14ac:dyDescent="0.25">
      <c r="B20" s="158" t="s">
        <v>104</v>
      </c>
      <c r="C20" s="159"/>
      <c r="D20" s="159"/>
      <c r="E20" s="159"/>
      <c r="F20" s="159"/>
      <c r="G20" s="159"/>
      <c r="H20" s="28"/>
      <c r="I20" s="26"/>
      <c r="J20" s="26"/>
      <c r="K20" s="29"/>
      <c r="L20" s="28"/>
      <c r="M20" s="26"/>
      <c r="N20" s="26"/>
      <c r="O20" s="29"/>
      <c r="P20" s="28"/>
      <c r="Q20" s="26"/>
      <c r="R20" s="26"/>
      <c r="S20" s="29"/>
      <c r="T20" s="28"/>
      <c r="U20" s="26"/>
      <c r="V20" s="26"/>
      <c r="W20" s="29"/>
      <c r="X20" s="28"/>
      <c r="Y20" s="26"/>
      <c r="Z20" s="26"/>
      <c r="AA20" s="29"/>
      <c r="AB20" s="28"/>
      <c r="AC20" s="26"/>
      <c r="AD20" s="26"/>
      <c r="AE20" s="29"/>
      <c r="AF20" s="28"/>
      <c r="AG20" s="26"/>
      <c r="AH20" s="26"/>
      <c r="AI20" s="29"/>
      <c r="AJ20" s="28"/>
      <c r="AK20" s="26"/>
      <c r="AL20" s="26"/>
      <c r="AM20" s="29"/>
      <c r="AN20" s="28"/>
      <c r="AO20" s="26"/>
      <c r="AP20" s="26"/>
      <c r="AQ20" s="29"/>
      <c r="AR20" s="28"/>
      <c r="AS20" s="26"/>
      <c r="AT20" s="26"/>
      <c r="AU20" s="29"/>
      <c r="AV20" s="28"/>
      <c r="AW20" s="26"/>
      <c r="AX20" s="26"/>
      <c r="AY20" s="29"/>
      <c r="AZ20" s="28"/>
      <c r="BA20" s="26"/>
      <c r="BB20" s="26"/>
      <c r="BC20" s="29">
        <v>3</v>
      </c>
      <c r="BD20" s="28"/>
      <c r="BE20" s="26"/>
      <c r="BF20" s="26"/>
      <c r="BG20" s="29"/>
      <c r="BH20" s="28"/>
      <c r="BI20" s="26"/>
      <c r="BJ20" s="26"/>
      <c r="BK20" s="29"/>
      <c r="BL20" s="28">
        <v>3</v>
      </c>
      <c r="BM20" s="26"/>
      <c r="BN20" s="26"/>
      <c r="BO20" s="29"/>
      <c r="BP20" s="28"/>
      <c r="BQ20" s="26"/>
      <c r="BR20" s="26"/>
      <c r="BS20" s="29"/>
      <c r="BT20" s="28"/>
      <c r="BU20" s="26"/>
      <c r="BV20" s="26"/>
      <c r="BW20" s="29"/>
      <c r="BX20" s="28"/>
      <c r="BY20" s="26"/>
      <c r="BZ20" s="26"/>
      <c r="CA20" s="29"/>
      <c r="CB20" s="28"/>
      <c r="CC20" s="26"/>
      <c r="CD20" s="26"/>
      <c r="CE20" s="29"/>
      <c r="CF20" s="28"/>
      <c r="CG20" s="26"/>
      <c r="CH20" s="26"/>
      <c r="CI20" s="29"/>
      <c r="CJ20" s="28"/>
      <c r="CK20" s="26"/>
      <c r="CL20" s="26"/>
      <c r="CM20" s="29"/>
      <c r="CN20" s="28"/>
      <c r="CO20" s="26"/>
      <c r="CP20" s="26"/>
      <c r="CQ20" s="29"/>
      <c r="CR20" s="28"/>
      <c r="CS20" s="26"/>
      <c r="CT20" s="26"/>
      <c r="CU20" s="29"/>
      <c r="CV20" s="28"/>
      <c r="CW20" s="26"/>
      <c r="CX20" s="26"/>
      <c r="CY20" s="29"/>
      <c r="CZ20" s="28"/>
      <c r="DA20" s="26"/>
      <c r="DB20" s="26"/>
      <c r="DC20" s="29"/>
    </row>
    <row r="21" spans="1:107" ht="15.75" thickBot="1" x14ac:dyDescent="0.3">
      <c r="B21" s="161" t="s">
        <v>106</v>
      </c>
      <c r="C21" s="162"/>
      <c r="D21" s="162"/>
      <c r="E21" s="162"/>
      <c r="F21" s="162"/>
      <c r="G21" s="162"/>
      <c r="H21" s="30"/>
      <c r="I21" s="31"/>
      <c r="J21" s="31"/>
      <c r="K21" s="32"/>
      <c r="L21" s="30"/>
      <c r="M21" s="31"/>
      <c r="N21" s="31"/>
      <c r="O21" s="32"/>
      <c r="P21" s="30"/>
      <c r="Q21" s="31"/>
      <c r="R21" s="31"/>
      <c r="S21" s="32"/>
      <c r="T21" s="30"/>
      <c r="U21" s="31"/>
      <c r="V21" s="31"/>
      <c r="W21" s="32"/>
      <c r="X21" s="30"/>
      <c r="Y21" s="31"/>
      <c r="Z21" s="31"/>
      <c r="AA21" s="32"/>
      <c r="AB21" s="30"/>
      <c r="AC21" s="31"/>
      <c r="AD21" s="31"/>
      <c r="AE21" s="32"/>
      <c r="AF21" s="30"/>
      <c r="AG21" s="31"/>
      <c r="AH21" s="31"/>
      <c r="AI21" s="32"/>
      <c r="AJ21" s="30"/>
      <c r="AK21" s="31"/>
      <c r="AL21" s="31"/>
      <c r="AM21" s="32"/>
      <c r="AN21" s="30"/>
      <c r="AO21" s="31"/>
      <c r="AP21" s="31"/>
      <c r="AQ21" s="32"/>
      <c r="AR21" s="30"/>
      <c r="AS21" s="31"/>
      <c r="AT21" s="31"/>
      <c r="AU21" s="32"/>
      <c r="AV21" s="30"/>
      <c r="AW21" s="31"/>
      <c r="AX21" s="31"/>
      <c r="AY21" s="32"/>
      <c r="AZ21" s="30"/>
      <c r="BA21" s="31"/>
      <c r="BB21" s="31"/>
      <c r="BC21" s="32"/>
      <c r="BD21" s="30"/>
      <c r="BE21" s="31"/>
      <c r="BF21" s="31"/>
      <c r="BG21" s="32"/>
      <c r="BH21" s="30"/>
      <c r="BI21" s="31"/>
      <c r="BJ21" s="31"/>
      <c r="BK21" s="32"/>
      <c r="BL21" s="30"/>
      <c r="BM21" s="31"/>
      <c r="BN21" s="31"/>
      <c r="BO21" s="32"/>
      <c r="BP21" s="30"/>
      <c r="BQ21" s="31"/>
      <c r="BR21" s="31"/>
      <c r="BS21" s="32"/>
      <c r="BT21" s="30"/>
      <c r="BU21" s="31"/>
      <c r="BV21" s="31"/>
      <c r="BW21" s="32"/>
      <c r="BX21" s="30"/>
      <c r="BY21" s="31"/>
      <c r="BZ21" s="31"/>
      <c r="CA21" s="32"/>
      <c r="CB21" s="30"/>
      <c r="CC21" s="31"/>
      <c r="CD21" s="31"/>
      <c r="CE21" s="32"/>
      <c r="CF21" s="30"/>
      <c r="CG21" s="31"/>
      <c r="CH21" s="31"/>
      <c r="CI21" s="32"/>
      <c r="CJ21" s="30"/>
      <c r="CK21" s="31"/>
      <c r="CL21" s="31"/>
      <c r="CM21" s="32"/>
      <c r="CN21" s="30"/>
      <c r="CO21" s="31"/>
      <c r="CP21" s="31"/>
      <c r="CQ21" s="32"/>
      <c r="CR21" s="30"/>
      <c r="CS21" s="31"/>
      <c r="CT21" s="31"/>
      <c r="CU21" s="32"/>
      <c r="CV21" s="30"/>
      <c r="CW21" s="31"/>
      <c r="CX21" s="31"/>
      <c r="CY21" s="32"/>
      <c r="CZ21" s="30"/>
      <c r="DA21" s="31"/>
      <c r="DB21" s="31"/>
      <c r="DC21" s="32"/>
    </row>
    <row r="22" spans="1:107" x14ac:dyDescent="0.25">
      <c r="B22" s="3"/>
      <c r="C22" s="27"/>
      <c r="D22" s="23">
        <f>H22+L22+P22+T22+X22+AB22+AF22+AJ22+AN22+AR22+AV22+AZ22+BD22+BH22+BL22+BP22+BT22+BX22+CB22+CF22+CJ22+CN22+CR22+CV22+CZ22</f>
        <v>71</v>
      </c>
      <c r="E22" s="23">
        <f>I22+M22+Q22+U22+Y22+AC22+AG22+AK22+AO22+AS22+AW22+BA22+BE22+BI22+BM22+BQ22+BV22+BY22+CD22+CG22+CL22+CO22+CT22+CW22+DB22</f>
        <v>16</v>
      </c>
      <c r="F22" s="23">
        <f>J22+N22+R22+V22+Z22+AD22+AH22+AL22+AP22+AT22+AX22+BB22+BF22+BJ22+BN22+BT22+BX22+CB22+CF22+CJ22+CN22+CR22+CV22+CZ22</f>
        <v>21</v>
      </c>
      <c r="G22" s="23">
        <f>K22+O22+S22+W22+AA22+AE22+AI22+AM22+AQ22+AU22+AY22+BC22+BG22+BK22+BO22+BV22+BY22+CD22+CG22+CL22+CO22+CT22+CW22+DB22</f>
        <v>6</v>
      </c>
      <c r="H22" s="33">
        <f t="shared" ref="H22:AM22" si="4">SUM(H4:H21)</f>
        <v>3</v>
      </c>
      <c r="I22" s="34">
        <f t="shared" si="4"/>
        <v>0</v>
      </c>
      <c r="J22" s="34">
        <f t="shared" si="4"/>
        <v>0</v>
      </c>
      <c r="K22" s="35">
        <f t="shared" si="4"/>
        <v>1</v>
      </c>
      <c r="L22" s="33">
        <f t="shared" si="4"/>
        <v>3</v>
      </c>
      <c r="M22" s="34">
        <f t="shared" si="4"/>
        <v>1</v>
      </c>
      <c r="N22" s="34">
        <f t="shared" si="4"/>
        <v>0</v>
      </c>
      <c r="O22" s="35">
        <f t="shared" si="4"/>
        <v>0</v>
      </c>
      <c r="P22" s="33">
        <f t="shared" si="4"/>
        <v>10</v>
      </c>
      <c r="Q22" s="34">
        <f t="shared" si="4"/>
        <v>0</v>
      </c>
      <c r="R22" s="34">
        <f t="shared" si="4"/>
        <v>0</v>
      </c>
      <c r="S22" s="35">
        <f t="shared" si="4"/>
        <v>0</v>
      </c>
      <c r="T22" s="33">
        <f t="shared" si="4"/>
        <v>4</v>
      </c>
      <c r="U22" s="34">
        <f t="shared" si="4"/>
        <v>2</v>
      </c>
      <c r="V22" s="34">
        <f t="shared" si="4"/>
        <v>0</v>
      </c>
      <c r="W22" s="35">
        <f t="shared" si="4"/>
        <v>2</v>
      </c>
      <c r="X22" s="33">
        <f t="shared" si="4"/>
        <v>9</v>
      </c>
      <c r="Y22" s="34">
        <f t="shared" si="4"/>
        <v>1</v>
      </c>
      <c r="Z22" s="34">
        <f t="shared" si="4"/>
        <v>1</v>
      </c>
      <c r="AA22" s="35">
        <f t="shared" si="4"/>
        <v>0</v>
      </c>
      <c r="AB22" s="33">
        <f t="shared" si="4"/>
        <v>0</v>
      </c>
      <c r="AC22" s="34">
        <f t="shared" si="4"/>
        <v>0</v>
      </c>
      <c r="AD22" s="34">
        <f t="shared" si="4"/>
        <v>1</v>
      </c>
      <c r="AE22" s="35">
        <f t="shared" si="4"/>
        <v>0</v>
      </c>
      <c r="AF22" s="33">
        <f t="shared" si="4"/>
        <v>2</v>
      </c>
      <c r="AG22" s="34">
        <f t="shared" si="4"/>
        <v>0</v>
      </c>
      <c r="AH22" s="34">
        <f t="shared" si="4"/>
        <v>0</v>
      </c>
      <c r="AI22" s="35">
        <f t="shared" si="4"/>
        <v>0</v>
      </c>
      <c r="AJ22" s="33">
        <f t="shared" si="4"/>
        <v>1</v>
      </c>
      <c r="AK22" s="34">
        <f t="shared" si="4"/>
        <v>2</v>
      </c>
      <c r="AL22" s="34">
        <f t="shared" si="4"/>
        <v>0</v>
      </c>
      <c r="AM22" s="35">
        <f t="shared" si="4"/>
        <v>0</v>
      </c>
      <c r="AN22" s="33">
        <f t="shared" ref="AN22:CY22" si="5">SUM(AN4:AN21)</f>
        <v>0</v>
      </c>
      <c r="AO22" s="34">
        <f t="shared" si="5"/>
        <v>3</v>
      </c>
      <c r="AP22" s="34">
        <f t="shared" si="5"/>
        <v>0</v>
      </c>
      <c r="AQ22" s="35">
        <f t="shared" si="5"/>
        <v>0</v>
      </c>
      <c r="AR22" s="33">
        <f t="shared" si="5"/>
        <v>3</v>
      </c>
      <c r="AS22" s="34">
        <f t="shared" si="5"/>
        <v>1</v>
      </c>
      <c r="AT22" s="34">
        <f t="shared" si="5"/>
        <v>0</v>
      </c>
      <c r="AU22" s="35">
        <f t="shared" si="5"/>
        <v>0</v>
      </c>
      <c r="AV22" s="33">
        <f t="shared" si="5"/>
        <v>5</v>
      </c>
      <c r="AW22" s="34">
        <f t="shared" si="5"/>
        <v>2</v>
      </c>
      <c r="AX22" s="34">
        <f t="shared" si="5"/>
        <v>0</v>
      </c>
      <c r="AY22" s="35">
        <f t="shared" si="5"/>
        <v>0</v>
      </c>
      <c r="AZ22" s="33">
        <f t="shared" si="5"/>
        <v>0</v>
      </c>
      <c r="BA22" s="34">
        <f t="shared" si="5"/>
        <v>0</v>
      </c>
      <c r="BB22" s="34">
        <f t="shared" si="5"/>
        <v>0</v>
      </c>
      <c r="BC22" s="35">
        <f t="shared" si="5"/>
        <v>3</v>
      </c>
      <c r="BD22" s="33">
        <f t="shared" si="5"/>
        <v>5</v>
      </c>
      <c r="BE22" s="34">
        <f t="shared" si="5"/>
        <v>1</v>
      </c>
      <c r="BF22" s="34">
        <f t="shared" si="5"/>
        <v>0</v>
      </c>
      <c r="BG22" s="35">
        <f t="shared" si="5"/>
        <v>0</v>
      </c>
      <c r="BH22" s="33">
        <f t="shared" si="5"/>
        <v>1</v>
      </c>
      <c r="BI22" s="34">
        <f t="shared" si="5"/>
        <v>2</v>
      </c>
      <c r="BJ22" s="34">
        <f t="shared" si="5"/>
        <v>0</v>
      </c>
      <c r="BK22" s="35">
        <f t="shared" si="5"/>
        <v>0</v>
      </c>
      <c r="BL22" s="33">
        <f t="shared" si="5"/>
        <v>3</v>
      </c>
      <c r="BM22" s="34">
        <f t="shared" si="5"/>
        <v>0</v>
      </c>
      <c r="BN22" s="34">
        <f t="shared" si="5"/>
        <v>0</v>
      </c>
      <c r="BO22" s="35">
        <f t="shared" si="5"/>
        <v>0</v>
      </c>
      <c r="BP22" s="33">
        <f t="shared" si="5"/>
        <v>3</v>
      </c>
      <c r="BQ22" s="34">
        <f t="shared" si="5"/>
        <v>1</v>
      </c>
      <c r="BR22" s="34">
        <f t="shared" si="5"/>
        <v>0</v>
      </c>
      <c r="BS22" s="35">
        <f t="shared" si="5"/>
        <v>0</v>
      </c>
      <c r="BT22" s="33">
        <f t="shared" si="5"/>
        <v>4</v>
      </c>
      <c r="BU22" s="34">
        <f t="shared" si="5"/>
        <v>0</v>
      </c>
      <c r="BV22" s="34">
        <f t="shared" si="5"/>
        <v>0</v>
      </c>
      <c r="BW22" s="35">
        <f t="shared" si="5"/>
        <v>0</v>
      </c>
      <c r="BX22" s="33">
        <f t="shared" si="5"/>
        <v>3</v>
      </c>
      <c r="BY22" s="34">
        <f t="shared" si="5"/>
        <v>0</v>
      </c>
      <c r="BZ22" s="34">
        <f t="shared" si="5"/>
        <v>0</v>
      </c>
      <c r="CA22" s="35">
        <f t="shared" si="5"/>
        <v>0</v>
      </c>
      <c r="CB22" s="33">
        <f t="shared" si="5"/>
        <v>6</v>
      </c>
      <c r="CC22" s="34">
        <f t="shared" si="5"/>
        <v>0</v>
      </c>
      <c r="CD22" s="34">
        <f t="shared" si="5"/>
        <v>0</v>
      </c>
      <c r="CE22" s="35">
        <f t="shared" si="5"/>
        <v>0</v>
      </c>
      <c r="CF22" s="33">
        <f t="shared" si="5"/>
        <v>0</v>
      </c>
      <c r="CG22" s="34">
        <f t="shared" si="5"/>
        <v>0</v>
      </c>
      <c r="CH22" s="34">
        <f t="shared" si="5"/>
        <v>0</v>
      </c>
      <c r="CI22" s="35">
        <f t="shared" si="5"/>
        <v>0</v>
      </c>
      <c r="CJ22" s="33">
        <f t="shared" si="5"/>
        <v>2</v>
      </c>
      <c r="CK22" s="34">
        <f t="shared" si="5"/>
        <v>2</v>
      </c>
      <c r="CL22" s="34">
        <f t="shared" si="5"/>
        <v>0</v>
      </c>
      <c r="CM22" s="35">
        <f t="shared" si="5"/>
        <v>0</v>
      </c>
      <c r="CN22" s="33">
        <f t="shared" si="5"/>
        <v>4</v>
      </c>
      <c r="CO22" s="34">
        <f t="shared" si="5"/>
        <v>0</v>
      </c>
      <c r="CP22" s="34">
        <f t="shared" si="5"/>
        <v>0</v>
      </c>
      <c r="CQ22" s="35">
        <f t="shared" si="5"/>
        <v>0</v>
      </c>
      <c r="CR22" s="33">
        <f t="shared" si="5"/>
        <v>0</v>
      </c>
      <c r="CS22" s="34">
        <f t="shared" si="5"/>
        <v>3</v>
      </c>
      <c r="CT22" s="34">
        <f t="shared" si="5"/>
        <v>0</v>
      </c>
      <c r="CU22" s="35">
        <f t="shared" si="5"/>
        <v>1</v>
      </c>
      <c r="CV22" s="33">
        <f t="shared" si="5"/>
        <v>0</v>
      </c>
      <c r="CW22" s="34">
        <f t="shared" si="5"/>
        <v>0</v>
      </c>
      <c r="CX22" s="34">
        <f t="shared" si="5"/>
        <v>0</v>
      </c>
      <c r="CY22" s="35">
        <f t="shared" si="5"/>
        <v>0</v>
      </c>
      <c r="CZ22" s="33">
        <f t="shared" ref="CZ22:DC22" si="6">SUM(CZ4:CZ21)</f>
        <v>0</v>
      </c>
      <c r="DA22" s="34">
        <f t="shared" si="6"/>
        <v>0</v>
      </c>
      <c r="DB22" s="34">
        <f t="shared" si="6"/>
        <v>0</v>
      </c>
      <c r="DC22" s="35">
        <f t="shared" si="6"/>
        <v>0</v>
      </c>
    </row>
    <row r="23" spans="1:107" ht="14.45" customHeight="1" x14ac:dyDescent="0.25">
      <c r="B23" s="3"/>
      <c r="C23" s="27"/>
      <c r="D23" s="148" t="s">
        <v>86</v>
      </c>
      <c r="E23" s="148" t="s">
        <v>97</v>
      </c>
      <c r="F23" s="148" t="s">
        <v>99</v>
      </c>
      <c r="G23" s="148" t="s">
        <v>98</v>
      </c>
      <c r="H23" s="145" t="s">
        <v>86</v>
      </c>
      <c r="I23" s="148" t="s">
        <v>97</v>
      </c>
      <c r="J23" s="148" t="s">
        <v>99</v>
      </c>
      <c r="K23" s="151" t="s">
        <v>98</v>
      </c>
      <c r="L23" s="145" t="s">
        <v>86</v>
      </c>
      <c r="M23" s="148" t="s">
        <v>97</v>
      </c>
      <c r="N23" s="148" t="s">
        <v>99</v>
      </c>
      <c r="O23" s="151" t="s">
        <v>98</v>
      </c>
      <c r="P23" s="145" t="s">
        <v>86</v>
      </c>
      <c r="Q23" s="148" t="s">
        <v>97</v>
      </c>
      <c r="R23" s="148" t="s">
        <v>99</v>
      </c>
      <c r="S23" s="151" t="s">
        <v>98</v>
      </c>
      <c r="T23" s="145" t="s">
        <v>86</v>
      </c>
      <c r="U23" s="148" t="s">
        <v>97</v>
      </c>
      <c r="V23" s="148" t="s">
        <v>99</v>
      </c>
      <c r="W23" s="151" t="s">
        <v>98</v>
      </c>
      <c r="X23" s="145" t="s">
        <v>86</v>
      </c>
      <c r="Y23" s="148" t="s">
        <v>97</v>
      </c>
      <c r="Z23" s="148" t="s">
        <v>99</v>
      </c>
      <c r="AA23" s="151" t="s">
        <v>98</v>
      </c>
      <c r="AB23" s="145" t="s">
        <v>86</v>
      </c>
      <c r="AC23" s="148" t="s">
        <v>97</v>
      </c>
      <c r="AD23" s="148" t="s">
        <v>99</v>
      </c>
      <c r="AE23" s="151" t="s">
        <v>98</v>
      </c>
      <c r="AF23" s="145" t="s">
        <v>86</v>
      </c>
      <c r="AG23" s="148" t="s">
        <v>97</v>
      </c>
      <c r="AH23" s="148" t="s">
        <v>99</v>
      </c>
      <c r="AI23" s="151" t="s">
        <v>98</v>
      </c>
      <c r="AJ23" s="145" t="s">
        <v>86</v>
      </c>
      <c r="AK23" s="148" t="s">
        <v>97</v>
      </c>
      <c r="AL23" s="148" t="s">
        <v>99</v>
      </c>
      <c r="AM23" s="151" t="s">
        <v>98</v>
      </c>
      <c r="AN23" s="145" t="s">
        <v>86</v>
      </c>
      <c r="AO23" s="148" t="s">
        <v>97</v>
      </c>
      <c r="AP23" s="148" t="s">
        <v>99</v>
      </c>
      <c r="AQ23" s="151" t="s">
        <v>98</v>
      </c>
      <c r="AR23" s="145" t="s">
        <v>86</v>
      </c>
      <c r="AS23" s="148" t="s">
        <v>97</v>
      </c>
      <c r="AT23" s="148" t="s">
        <v>99</v>
      </c>
      <c r="AU23" s="151" t="s">
        <v>98</v>
      </c>
      <c r="AV23" s="145" t="s">
        <v>86</v>
      </c>
      <c r="AW23" s="148" t="s">
        <v>97</v>
      </c>
      <c r="AX23" s="148" t="s">
        <v>99</v>
      </c>
      <c r="AY23" s="151" t="s">
        <v>98</v>
      </c>
      <c r="AZ23" s="145" t="s">
        <v>86</v>
      </c>
      <c r="BA23" s="148" t="s">
        <v>97</v>
      </c>
      <c r="BB23" s="148" t="s">
        <v>99</v>
      </c>
      <c r="BC23" s="151" t="s">
        <v>98</v>
      </c>
      <c r="BD23" s="145" t="s">
        <v>86</v>
      </c>
      <c r="BE23" s="148" t="s">
        <v>97</v>
      </c>
      <c r="BF23" s="148" t="s">
        <v>99</v>
      </c>
      <c r="BG23" s="151" t="s">
        <v>98</v>
      </c>
      <c r="BH23" s="145" t="s">
        <v>86</v>
      </c>
      <c r="BI23" s="148" t="s">
        <v>97</v>
      </c>
      <c r="BJ23" s="148" t="s">
        <v>99</v>
      </c>
      <c r="BK23" s="151" t="s">
        <v>98</v>
      </c>
      <c r="BL23" s="145" t="s">
        <v>86</v>
      </c>
      <c r="BM23" s="148" t="s">
        <v>97</v>
      </c>
      <c r="BN23" s="148" t="s">
        <v>99</v>
      </c>
      <c r="BO23" s="151" t="s">
        <v>98</v>
      </c>
      <c r="BP23" s="145" t="s">
        <v>86</v>
      </c>
      <c r="BQ23" s="148" t="s">
        <v>97</v>
      </c>
      <c r="BR23" s="148" t="s">
        <v>99</v>
      </c>
      <c r="BS23" s="151" t="s">
        <v>98</v>
      </c>
      <c r="BT23" s="145" t="s">
        <v>86</v>
      </c>
      <c r="BU23" s="148" t="s">
        <v>97</v>
      </c>
      <c r="BV23" s="148" t="s">
        <v>99</v>
      </c>
      <c r="BW23" s="151" t="s">
        <v>98</v>
      </c>
      <c r="BX23" s="145" t="s">
        <v>86</v>
      </c>
      <c r="BY23" s="148" t="s">
        <v>97</v>
      </c>
      <c r="BZ23" s="148" t="s">
        <v>99</v>
      </c>
      <c r="CA23" s="151" t="s">
        <v>98</v>
      </c>
      <c r="CB23" s="145" t="s">
        <v>86</v>
      </c>
      <c r="CC23" s="148" t="s">
        <v>97</v>
      </c>
      <c r="CD23" s="148" t="s">
        <v>99</v>
      </c>
      <c r="CE23" s="151" t="s">
        <v>98</v>
      </c>
      <c r="CF23" s="145" t="s">
        <v>86</v>
      </c>
      <c r="CG23" s="148" t="s">
        <v>97</v>
      </c>
      <c r="CH23" s="148" t="s">
        <v>99</v>
      </c>
      <c r="CI23" s="151" t="s">
        <v>98</v>
      </c>
      <c r="CJ23" s="145" t="s">
        <v>86</v>
      </c>
      <c r="CK23" s="148" t="s">
        <v>97</v>
      </c>
      <c r="CL23" s="148" t="s">
        <v>99</v>
      </c>
      <c r="CM23" s="151" t="s">
        <v>98</v>
      </c>
      <c r="CN23" s="145" t="s">
        <v>86</v>
      </c>
      <c r="CO23" s="148" t="s">
        <v>97</v>
      </c>
      <c r="CP23" s="148" t="s">
        <v>99</v>
      </c>
      <c r="CQ23" s="151" t="s">
        <v>98</v>
      </c>
      <c r="CR23" s="145" t="s">
        <v>86</v>
      </c>
      <c r="CS23" s="148" t="s">
        <v>97</v>
      </c>
      <c r="CT23" s="148" t="s">
        <v>99</v>
      </c>
      <c r="CU23" s="151" t="s">
        <v>98</v>
      </c>
      <c r="CV23" s="145" t="s">
        <v>86</v>
      </c>
      <c r="CW23" s="148" t="s">
        <v>97</v>
      </c>
      <c r="CX23" s="148" t="s">
        <v>99</v>
      </c>
      <c r="CY23" s="151" t="s">
        <v>98</v>
      </c>
      <c r="CZ23" s="145" t="s">
        <v>86</v>
      </c>
      <c r="DA23" s="148" t="s">
        <v>97</v>
      </c>
      <c r="DB23" s="148" t="s">
        <v>99</v>
      </c>
      <c r="DC23" s="151" t="s">
        <v>98</v>
      </c>
    </row>
    <row r="24" spans="1:107" x14ac:dyDescent="0.25">
      <c r="B24" s="3"/>
      <c r="C24" s="27"/>
      <c r="D24" s="149"/>
      <c r="E24" s="149"/>
      <c r="F24" s="149"/>
      <c r="G24" s="149"/>
      <c r="H24" s="146"/>
      <c r="I24" s="149"/>
      <c r="J24" s="149"/>
      <c r="K24" s="152"/>
      <c r="L24" s="146"/>
      <c r="M24" s="149"/>
      <c r="N24" s="149"/>
      <c r="O24" s="152"/>
      <c r="P24" s="146"/>
      <c r="Q24" s="149"/>
      <c r="R24" s="149"/>
      <c r="S24" s="152"/>
      <c r="T24" s="146"/>
      <c r="U24" s="149"/>
      <c r="V24" s="149"/>
      <c r="W24" s="152"/>
      <c r="X24" s="146"/>
      <c r="Y24" s="149"/>
      <c r="Z24" s="149"/>
      <c r="AA24" s="152"/>
      <c r="AB24" s="146"/>
      <c r="AC24" s="149"/>
      <c r="AD24" s="149"/>
      <c r="AE24" s="152"/>
      <c r="AF24" s="146"/>
      <c r="AG24" s="149"/>
      <c r="AH24" s="149"/>
      <c r="AI24" s="152"/>
      <c r="AJ24" s="146"/>
      <c r="AK24" s="149"/>
      <c r="AL24" s="149"/>
      <c r="AM24" s="152"/>
      <c r="AN24" s="146"/>
      <c r="AO24" s="149"/>
      <c r="AP24" s="149"/>
      <c r="AQ24" s="152"/>
      <c r="AR24" s="146"/>
      <c r="AS24" s="149"/>
      <c r="AT24" s="149"/>
      <c r="AU24" s="152"/>
      <c r="AV24" s="146"/>
      <c r="AW24" s="149"/>
      <c r="AX24" s="149"/>
      <c r="AY24" s="152"/>
      <c r="AZ24" s="146"/>
      <c r="BA24" s="149"/>
      <c r="BB24" s="149"/>
      <c r="BC24" s="152"/>
      <c r="BD24" s="146"/>
      <c r="BE24" s="149"/>
      <c r="BF24" s="149"/>
      <c r="BG24" s="152"/>
      <c r="BH24" s="146"/>
      <c r="BI24" s="149"/>
      <c r="BJ24" s="149"/>
      <c r="BK24" s="152"/>
      <c r="BL24" s="146"/>
      <c r="BM24" s="149"/>
      <c r="BN24" s="149"/>
      <c r="BO24" s="152"/>
      <c r="BP24" s="146"/>
      <c r="BQ24" s="149"/>
      <c r="BR24" s="149"/>
      <c r="BS24" s="152"/>
      <c r="BT24" s="146"/>
      <c r="BU24" s="149"/>
      <c r="BV24" s="149"/>
      <c r="BW24" s="152"/>
      <c r="BX24" s="146"/>
      <c r="BY24" s="149"/>
      <c r="BZ24" s="149"/>
      <c r="CA24" s="152"/>
      <c r="CB24" s="146"/>
      <c r="CC24" s="149"/>
      <c r="CD24" s="149"/>
      <c r="CE24" s="152"/>
      <c r="CF24" s="146"/>
      <c r="CG24" s="149"/>
      <c r="CH24" s="149"/>
      <c r="CI24" s="152"/>
      <c r="CJ24" s="146"/>
      <c r="CK24" s="149"/>
      <c r="CL24" s="149"/>
      <c r="CM24" s="152"/>
      <c r="CN24" s="146"/>
      <c r="CO24" s="149"/>
      <c r="CP24" s="149"/>
      <c r="CQ24" s="152"/>
      <c r="CR24" s="146"/>
      <c r="CS24" s="149"/>
      <c r="CT24" s="149"/>
      <c r="CU24" s="152"/>
      <c r="CV24" s="146"/>
      <c r="CW24" s="149"/>
      <c r="CX24" s="149"/>
      <c r="CY24" s="152"/>
      <c r="CZ24" s="146"/>
      <c r="DA24" s="149"/>
      <c r="DB24" s="149"/>
      <c r="DC24" s="152"/>
    </row>
    <row r="25" spans="1:107" x14ac:dyDescent="0.25">
      <c r="D25" s="149"/>
      <c r="E25" s="149"/>
      <c r="F25" s="149"/>
      <c r="G25" s="149"/>
      <c r="H25" s="146"/>
      <c r="I25" s="149"/>
      <c r="J25" s="149"/>
      <c r="K25" s="152"/>
      <c r="L25" s="146"/>
      <c r="M25" s="149"/>
      <c r="N25" s="149"/>
      <c r="O25" s="152"/>
      <c r="P25" s="146"/>
      <c r="Q25" s="149"/>
      <c r="R25" s="149"/>
      <c r="S25" s="152"/>
      <c r="T25" s="146"/>
      <c r="U25" s="149"/>
      <c r="V25" s="149"/>
      <c r="W25" s="152"/>
      <c r="X25" s="146"/>
      <c r="Y25" s="149"/>
      <c r="Z25" s="149"/>
      <c r="AA25" s="152"/>
      <c r="AB25" s="146"/>
      <c r="AC25" s="149"/>
      <c r="AD25" s="149"/>
      <c r="AE25" s="152"/>
      <c r="AF25" s="146"/>
      <c r="AG25" s="149"/>
      <c r="AH25" s="149"/>
      <c r="AI25" s="152"/>
      <c r="AJ25" s="146"/>
      <c r="AK25" s="149"/>
      <c r="AL25" s="149"/>
      <c r="AM25" s="152"/>
      <c r="AN25" s="146"/>
      <c r="AO25" s="149"/>
      <c r="AP25" s="149"/>
      <c r="AQ25" s="152"/>
      <c r="AR25" s="146"/>
      <c r="AS25" s="149"/>
      <c r="AT25" s="149"/>
      <c r="AU25" s="152"/>
      <c r="AV25" s="146"/>
      <c r="AW25" s="149"/>
      <c r="AX25" s="149"/>
      <c r="AY25" s="152"/>
      <c r="AZ25" s="146"/>
      <c r="BA25" s="149"/>
      <c r="BB25" s="149"/>
      <c r="BC25" s="152"/>
      <c r="BD25" s="146"/>
      <c r="BE25" s="149"/>
      <c r="BF25" s="149"/>
      <c r="BG25" s="152"/>
      <c r="BH25" s="146"/>
      <c r="BI25" s="149"/>
      <c r="BJ25" s="149"/>
      <c r="BK25" s="152"/>
      <c r="BL25" s="146"/>
      <c r="BM25" s="149"/>
      <c r="BN25" s="149"/>
      <c r="BO25" s="152"/>
      <c r="BP25" s="146"/>
      <c r="BQ25" s="149"/>
      <c r="BR25" s="149"/>
      <c r="BS25" s="152"/>
      <c r="BT25" s="146"/>
      <c r="BU25" s="149"/>
      <c r="BV25" s="149"/>
      <c r="BW25" s="152"/>
      <c r="BX25" s="146"/>
      <c r="BY25" s="149"/>
      <c r="BZ25" s="149"/>
      <c r="CA25" s="152"/>
      <c r="CB25" s="146"/>
      <c r="CC25" s="149"/>
      <c r="CD25" s="149"/>
      <c r="CE25" s="152"/>
      <c r="CF25" s="146"/>
      <c r="CG25" s="149"/>
      <c r="CH25" s="149"/>
      <c r="CI25" s="152"/>
      <c r="CJ25" s="146"/>
      <c r="CK25" s="149"/>
      <c r="CL25" s="149"/>
      <c r="CM25" s="152"/>
      <c r="CN25" s="146"/>
      <c r="CO25" s="149"/>
      <c r="CP25" s="149"/>
      <c r="CQ25" s="152"/>
      <c r="CR25" s="146"/>
      <c r="CS25" s="149"/>
      <c r="CT25" s="149"/>
      <c r="CU25" s="152"/>
      <c r="CV25" s="146"/>
      <c r="CW25" s="149"/>
      <c r="CX25" s="149"/>
      <c r="CY25" s="152"/>
      <c r="CZ25" s="146"/>
      <c r="DA25" s="149"/>
      <c r="DB25" s="149"/>
      <c r="DC25" s="152"/>
    </row>
    <row r="26" spans="1:107" ht="15.75" thickBot="1" x14ac:dyDescent="0.3">
      <c r="D26" s="149"/>
      <c r="E26" s="149"/>
      <c r="F26" s="149"/>
      <c r="G26" s="149"/>
      <c r="H26" s="147"/>
      <c r="I26" s="150"/>
      <c r="J26" s="150"/>
      <c r="K26" s="153"/>
      <c r="L26" s="147"/>
      <c r="M26" s="150"/>
      <c r="N26" s="150"/>
      <c r="O26" s="153"/>
      <c r="P26" s="147"/>
      <c r="Q26" s="150"/>
      <c r="R26" s="150"/>
      <c r="S26" s="153"/>
      <c r="T26" s="147"/>
      <c r="U26" s="150"/>
      <c r="V26" s="150"/>
      <c r="W26" s="153"/>
      <c r="X26" s="147"/>
      <c r="Y26" s="150"/>
      <c r="Z26" s="150"/>
      <c r="AA26" s="153"/>
      <c r="AB26" s="147"/>
      <c r="AC26" s="150"/>
      <c r="AD26" s="150"/>
      <c r="AE26" s="153"/>
      <c r="AF26" s="147"/>
      <c r="AG26" s="150"/>
      <c r="AH26" s="150"/>
      <c r="AI26" s="153"/>
      <c r="AJ26" s="147"/>
      <c r="AK26" s="150"/>
      <c r="AL26" s="150"/>
      <c r="AM26" s="153"/>
      <c r="AN26" s="147"/>
      <c r="AO26" s="150"/>
      <c r="AP26" s="150"/>
      <c r="AQ26" s="153"/>
      <c r="AR26" s="147"/>
      <c r="AS26" s="150"/>
      <c r="AT26" s="150"/>
      <c r="AU26" s="153"/>
      <c r="AV26" s="147"/>
      <c r="AW26" s="150"/>
      <c r="AX26" s="150"/>
      <c r="AY26" s="153"/>
      <c r="AZ26" s="147"/>
      <c r="BA26" s="150"/>
      <c r="BB26" s="150"/>
      <c r="BC26" s="153"/>
      <c r="BD26" s="147"/>
      <c r="BE26" s="150"/>
      <c r="BF26" s="150"/>
      <c r="BG26" s="153"/>
      <c r="BH26" s="147"/>
      <c r="BI26" s="150"/>
      <c r="BJ26" s="150"/>
      <c r="BK26" s="153"/>
      <c r="BL26" s="147"/>
      <c r="BM26" s="150"/>
      <c r="BN26" s="150"/>
      <c r="BO26" s="153"/>
      <c r="BP26" s="147"/>
      <c r="BQ26" s="150"/>
      <c r="BR26" s="150"/>
      <c r="BS26" s="153"/>
      <c r="BT26" s="147"/>
      <c r="BU26" s="150"/>
      <c r="BV26" s="150"/>
      <c r="BW26" s="153"/>
      <c r="BX26" s="147"/>
      <c r="BY26" s="150"/>
      <c r="BZ26" s="150"/>
      <c r="CA26" s="153"/>
      <c r="CB26" s="147"/>
      <c r="CC26" s="150"/>
      <c r="CD26" s="150"/>
      <c r="CE26" s="153"/>
      <c r="CF26" s="147"/>
      <c r="CG26" s="150"/>
      <c r="CH26" s="150"/>
      <c r="CI26" s="153"/>
      <c r="CJ26" s="147"/>
      <c r="CK26" s="150"/>
      <c r="CL26" s="150"/>
      <c r="CM26" s="153"/>
      <c r="CN26" s="147"/>
      <c r="CO26" s="150"/>
      <c r="CP26" s="150"/>
      <c r="CQ26" s="153"/>
      <c r="CR26" s="147"/>
      <c r="CS26" s="150"/>
      <c r="CT26" s="150"/>
      <c r="CU26" s="153"/>
      <c r="CV26" s="147"/>
      <c r="CW26" s="150"/>
      <c r="CX26" s="150"/>
      <c r="CY26" s="153"/>
      <c r="CZ26" s="147"/>
      <c r="DA26" s="150"/>
      <c r="DB26" s="150"/>
      <c r="DC26" s="153"/>
    </row>
  </sheetData>
  <mergeCells count="199">
    <mergeCell ref="CZ23:CZ26"/>
    <mergeCell ref="DA23:DA26"/>
    <mergeCell ref="DB23:DB26"/>
    <mergeCell ref="DC23:DC26"/>
    <mergeCell ref="CT23:CT26"/>
    <mergeCell ref="CU23:CU26"/>
    <mergeCell ref="CV23:CV26"/>
    <mergeCell ref="CW23:CW26"/>
    <mergeCell ref="CX23:CX26"/>
    <mergeCell ref="CY23:CY26"/>
    <mergeCell ref="CN23:CN26"/>
    <mergeCell ref="CO23:CO26"/>
    <mergeCell ref="CP23:CP26"/>
    <mergeCell ref="CQ23:CQ26"/>
    <mergeCell ref="CR23:CR26"/>
    <mergeCell ref="CS23:CS26"/>
    <mergeCell ref="CH23:CH26"/>
    <mergeCell ref="CI23:CI26"/>
    <mergeCell ref="CJ23:CJ26"/>
    <mergeCell ref="CK23:CK26"/>
    <mergeCell ref="CL23:CL26"/>
    <mergeCell ref="CM23:CM26"/>
    <mergeCell ref="CB23:CB26"/>
    <mergeCell ref="CC23:CC26"/>
    <mergeCell ref="CD23:CD26"/>
    <mergeCell ref="CE23:CE26"/>
    <mergeCell ref="CF23:CF26"/>
    <mergeCell ref="CG23:CG26"/>
    <mergeCell ref="BV23:BV26"/>
    <mergeCell ref="BW23:BW26"/>
    <mergeCell ref="BX23:BX26"/>
    <mergeCell ref="BY23:BY26"/>
    <mergeCell ref="BZ23:BZ26"/>
    <mergeCell ref="CA23:CA26"/>
    <mergeCell ref="BP23:BP26"/>
    <mergeCell ref="BQ23:BQ26"/>
    <mergeCell ref="BR23:BR26"/>
    <mergeCell ref="BS23:BS26"/>
    <mergeCell ref="BT23:BT26"/>
    <mergeCell ref="BU23:BU26"/>
    <mergeCell ref="BJ23:BJ26"/>
    <mergeCell ref="BK23:BK26"/>
    <mergeCell ref="BL23:BL26"/>
    <mergeCell ref="BM23:BM26"/>
    <mergeCell ref="BN23:BN26"/>
    <mergeCell ref="BO23:BO26"/>
    <mergeCell ref="BD23:BD26"/>
    <mergeCell ref="BE23:BE26"/>
    <mergeCell ref="BF23:BF26"/>
    <mergeCell ref="BG23:BG26"/>
    <mergeCell ref="BH23:BH26"/>
    <mergeCell ref="BI23:BI26"/>
    <mergeCell ref="AX23:AX26"/>
    <mergeCell ref="AY23:AY26"/>
    <mergeCell ref="AZ23:AZ26"/>
    <mergeCell ref="BA23:BA26"/>
    <mergeCell ref="BB23:BB26"/>
    <mergeCell ref="BC23:BC26"/>
    <mergeCell ref="AR23:AR26"/>
    <mergeCell ref="AS23:AS26"/>
    <mergeCell ref="AT23:AT26"/>
    <mergeCell ref="AU23:AU26"/>
    <mergeCell ref="AV23:AV26"/>
    <mergeCell ref="AW23:AW26"/>
    <mergeCell ref="AL23:AL26"/>
    <mergeCell ref="AM23:AM26"/>
    <mergeCell ref="AN23:AN26"/>
    <mergeCell ref="AO23:AO26"/>
    <mergeCell ref="AP23:AP26"/>
    <mergeCell ref="AQ23:AQ26"/>
    <mergeCell ref="AF23:AF26"/>
    <mergeCell ref="AG23:AG26"/>
    <mergeCell ref="AH23:AH26"/>
    <mergeCell ref="AI23:AI26"/>
    <mergeCell ref="AJ23:AJ26"/>
    <mergeCell ref="AK23:AK26"/>
    <mergeCell ref="Z23:Z26"/>
    <mergeCell ref="AA23:AA26"/>
    <mergeCell ref="AB23:AB26"/>
    <mergeCell ref="AC23:AC26"/>
    <mergeCell ref="AD23:AD26"/>
    <mergeCell ref="AE23:AE26"/>
    <mergeCell ref="T23:T26"/>
    <mergeCell ref="U23:U26"/>
    <mergeCell ref="V23:V26"/>
    <mergeCell ref="W23:W26"/>
    <mergeCell ref="X23:X26"/>
    <mergeCell ref="Y23:Y26"/>
    <mergeCell ref="N23:N26"/>
    <mergeCell ref="O23:O26"/>
    <mergeCell ref="P23:P26"/>
    <mergeCell ref="Q23:Q26"/>
    <mergeCell ref="R23:R26"/>
    <mergeCell ref="S23:S26"/>
    <mergeCell ref="H23:H26"/>
    <mergeCell ref="I23:I26"/>
    <mergeCell ref="J23:J26"/>
    <mergeCell ref="K23:K26"/>
    <mergeCell ref="L23:L26"/>
    <mergeCell ref="M23:M26"/>
    <mergeCell ref="B17:C17"/>
    <mergeCell ref="B18:C18"/>
    <mergeCell ref="B19:G19"/>
    <mergeCell ref="B20:G20"/>
    <mergeCell ref="B21:G21"/>
    <mergeCell ref="D23:D26"/>
    <mergeCell ref="E23:E26"/>
    <mergeCell ref="F23:F26"/>
    <mergeCell ref="G23:G26"/>
    <mergeCell ref="A4:A18"/>
    <mergeCell ref="B4:C4"/>
    <mergeCell ref="B5:C5"/>
    <mergeCell ref="B6:C6"/>
    <mergeCell ref="B7:C7"/>
    <mergeCell ref="B8:C8"/>
    <mergeCell ref="B9:C9"/>
    <mergeCell ref="B10:C10"/>
    <mergeCell ref="BX3:CA3"/>
    <mergeCell ref="AZ3:BC3"/>
    <mergeCell ref="BD3:BG3"/>
    <mergeCell ref="BP3:BS3"/>
    <mergeCell ref="B11:C11"/>
    <mergeCell ref="BH3:BK3"/>
    <mergeCell ref="BL3:BO3"/>
    <mergeCell ref="BT3:BW3"/>
    <mergeCell ref="CF2:CI2"/>
    <mergeCell ref="B12:C12"/>
    <mergeCell ref="B13:C13"/>
    <mergeCell ref="B14:C14"/>
    <mergeCell ref="B15:C15"/>
    <mergeCell ref="B16:C16"/>
    <mergeCell ref="CV3:CY3"/>
    <mergeCell ref="CZ3:DC3"/>
    <mergeCell ref="CB3:CE3"/>
    <mergeCell ref="CF3:CI3"/>
    <mergeCell ref="CJ3:CM3"/>
    <mergeCell ref="CN3:CQ3"/>
    <mergeCell ref="CR3:CU3"/>
    <mergeCell ref="CJ2:CM2"/>
    <mergeCell ref="CN2:CQ2"/>
    <mergeCell ref="CR2:CU2"/>
    <mergeCell ref="CV2:CY2"/>
    <mergeCell ref="H3:K3"/>
    <mergeCell ref="L3:O3"/>
    <mergeCell ref="P3:S3"/>
    <mergeCell ref="T3:W3"/>
    <mergeCell ref="X3:AA3"/>
    <mergeCell ref="BH2:BK2"/>
    <mergeCell ref="BL2:BO2"/>
    <mergeCell ref="BP2:BS2"/>
    <mergeCell ref="BT2:BW2"/>
    <mergeCell ref="BX2:CA2"/>
    <mergeCell ref="CB2:CE2"/>
    <mergeCell ref="AJ2:AM2"/>
    <mergeCell ref="AN2:AQ2"/>
    <mergeCell ref="AR2:AU2"/>
    <mergeCell ref="AV2:AY2"/>
    <mergeCell ref="AZ2:BC2"/>
    <mergeCell ref="BD2:BG2"/>
    <mergeCell ref="CV1:CY1"/>
    <mergeCell ref="CZ1:DC1"/>
    <mergeCell ref="D2:G2"/>
    <mergeCell ref="H2:K2"/>
    <mergeCell ref="L2:O2"/>
    <mergeCell ref="P2:S2"/>
    <mergeCell ref="T2:W2"/>
    <mergeCell ref="X2:AA2"/>
    <mergeCell ref="AB2:AE2"/>
    <mergeCell ref="AF2:AI2"/>
    <mergeCell ref="BX1:CA1"/>
    <mergeCell ref="CB1:CE1"/>
    <mergeCell ref="CF1:CI1"/>
    <mergeCell ref="CJ1:CM1"/>
    <mergeCell ref="CN1:CQ1"/>
    <mergeCell ref="CR1:CU1"/>
    <mergeCell ref="AZ1:BC1"/>
    <mergeCell ref="BD1:BG1"/>
    <mergeCell ref="BH1:BK1"/>
    <mergeCell ref="BL1:BO1"/>
    <mergeCell ref="BP1:BS1"/>
    <mergeCell ref="BT1:BW1"/>
    <mergeCell ref="AB1:AE1"/>
    <mergeCell ref="AF1:AI1"/>
    <mergeCell ref="AJ1:AM1"/>
    <mergeCell ref="AN1:AQ1"/>
    <mergeCell ref="AR1:AU1"/>
    <mergeCell ref="AV1:AY1"/>
    <mergeCell ref="A1:C3"/>
    <mergeCell ref="H1:K1"/>
    <mergeCell ref="L1:O1"/>
    <mergeCell ref="P1:S1"/>
    <mergeCell ref="T1:W1"/>
    <mergeCell ref="X1:AA1"/>
    <mergeCell ref="AB3:AE3"/>
    <mergeCell ref="AF3:AI3"/>
    <mergeCell ref="AJ3:AM3"/>
    <mergeCell ref="AN3:AQ3"/>
    <mergeCell ref="AR3:AU3"/>
    <mergeCell ref="AV3:AY3"/>
  </mergeCells>
  <hyperlinks>
    <hyperlink ref="A1:C3" location="Equipos!A1" display="Equipos!A1" xr:uid="{69616C54-FF40-43AD-8FAA-777D5871A3C1}"/>
    <hyperlink ref="A4:A18" location="Jugadores!A1" display="Jugador" xr:uid="{F8AB52B8-7ABB-4532-9EF9-82BFC50EE874}"/>
  </hyperlinks>
  <pageMargins left="0.7" right="0.7" top="0.75" bottom="0.75" header="0.3" footer="0.3"/>
  <pageSetup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C26"/>
  <sheetViews>
    <sheetView zoomScale="90" zoomScaleNormal="90" zoomScaleSheetLayoutView="90" workbookViewId="0">
      <pane xSplit="7" ySplit="3" topLeftCell="BR4" activePane="bottomRight" state="frozen"/>
      <selection pane="topRight" activeCell="H1" sqref="H1"/>
      <selection pane="bottomLeft" activeCell="A3" sqref="A3"/>
      <selection pane="bottomRight" sqref="A1:C3"/>
    </sheetView>
  </sheetViews>
  <sheetFormatPr baseColWidth="10" defaultColWidth="11.42578125" defaultRowHeight="15" x14ac:dyDescent="0.25"/>
  <cols>
    <col min="1" max="1" width="4.85546875" customWidth="1"/>
    <col min="2" max="2" width="9.42578125" customWidth="1"/>
    <col min="3" max="3" width="11.5703125" style="3" customWidth="1"/>
    <col min="4" max="7" width="4.28515625" style="3" customWidth="1"/>
    <col min="8" max="8" width="3.42578125" style="3" bestFit="1" customWidth="1"/>
    <col min="9" max="11" width="2.7109375" style="3" customWidth="1"/>
    <col min="12" max="12" width="2.85546875" style="3" customWidth="1"/>
    <col min="13" max="15" width="2.7109375" style="3" customWidth="1"/>
    <col min="16" max="16" width="3" style="3" customWidth="1"/>
    <col min="17" max="27" width="2.7109375" style="3" customWidth="1"/>
    <col min="28" max="28" width="3.140625" style="3" customWidth="1"/>
    <col min="29" max="31" width="2.7109375" style="3" customWidth="1"/>
    <col min="32" max="32" width="3" style="3" customWidth="1"/>
    <col min="33" max="35" width="2.7109375" style="3" customWidth="1"/>
    <col min="36" max="36" width="3" style="3" customWidth="1"/>
    <col min="37" max="107" width="2.7109375" style="3" customWidth="1"/>
    <col min="108" max="16384" width="11.42578125" style="3"/>
  </cols>
  <sheetData>
    <row r="1" spans="1:107" ht="13.9" customHeight="1" x14ac:dyDescent="0.25">
      <c r="A1" s="180" t="str">
        <f>Equipos!B8</f>
        <v>Ron Star</v>
      </c>
      <c r="B1" s="180"/>
      <c r="C1" s="180"/>
      <c r="H1" s="172" t="s">
        <v>5</v>
      </c>
      <c r="I1" s="173"/>
      <c r="J1" s="173"/>
      <c r="K1" s="174"/>
      <c r="L1" s="172" t="s">
        <v>6</v>
      </c>
      <c r="M1" s="173"/>
      <c r="N1" s="173"/>
      <c r="O1" s="174"/>
      <c r="P1" s="172" t="s">
        <v>7</v>
      </c>
      <c r="Q1" s="173"/>
      <c r="R1" s="173"/>
      <c r="S1" s="174"/>
      <c r="T1" s="172" t="s">
        <v>8</v>
      </c>
      <c r="U1" s="173"/>
      <c r="V1" s="173"/>
      <c r="W1" s="174"/>
      <c r="X1" s="172" t="s">
        <v>9</v>
      </c>
      <c r="Y1" s="173"/>
      <c r="Z1" s="173"/>
      <c r="AA1" s="174"/>
      <c r="AB1" s="172" t="s">
        <v>10</v>
      </c>
      <c r="AC1" s="173"/>
      <c r="AD1" s="173"/>
      <c r="AE1" s="174"/>
      <c r="AF1" s="172" t="s">
        <v>11</v>
      </c>
      <c r="AG1" s="173"/>
      <c r="AH1" s="173"/>
      <c r="AI1" s="174"/>
      <c r="AJ1" s="172" t="s">
        <v>12</v>
      </c>
      <c r="AK1" s="173"/>
      <c r="AL1" s="173"/>
      <c r="AM1" s="174"/>
      <c r="AN1" s="172" t="s">
        <v>13</v>
      </c>
      <c r="AO1" s="173"/>
      <c r="AP1" s="173"/>
      <c r="AQ1" s="174"/>
      <c r="AR1" s="172" t="s">
        <v>14</v>
      </c>
      <c r="AS1" s="173"/>
      <c r="AT1" s="173"/>
      <c r="AU1" s="174"/>
      <c r="AV1" s="172" t="s">
        <v>15</v>
      </c>
      <c r="AW1" s="173"/>
      <c r="AX1" s="173"/>
      <c r="AY1" s="174"/>
      <c r="AZ1" s="172" t="s">
        <v>16</v>
      </c>
      <c r="BA1" s="173"/>
      <c r="BB1" s="173"/>
      <c r="BC1" s="174"/>
      <c r="BD1" s="172" t="s">
        <v>17</v>
      </c>
      <c r="BE1" s="173"/>
      <c r="BF1" s="173"/>
      <c r="BG1" s="174"/>
      <c r="BH1" s="172" t="s">
        <v>18</v>
      </c>
      <c r="BI1" s="173"/>
      <c r="BJ1" s="173"/>
      <c r="BK1" s="174"/>
      <c r="BL1" s="172" t="s">
        <v>19</v>
      </c>
      <c r="BM1" s="173"/>
      <c r="BN1" s="173"/>
      <c r="BO1" s="174"/>
      <c r="BP1" s="172" t="s">
        <v>20</v>
      </c>
      <c r="BQ1" s="173"/>
      <c r="BR1" s="173"/>
      <c r="BS1" s="174"/>
      <c r="BT1" s="172" t="s">
        <v>51</v>
      </c>
      <c r="BU1" s="173"/>
      <c r="BV1" s="173"/>
      <c r="BW1" s="174"/>
      <c r="BX1" s="172" t="s">
        <v>81</v>
      </c>
      <c r="BY1" s="173"/>
      <c r="BZ1" s="173"/>
      <c r="CA1" s="174"/>
      <c r="CB1" s="172" t="s">
        <v>83</v>
      </c>
      <c r="CC1" s="173"/>
      <c r="CD1" s="173"/>
      <c r="CE1" s="174"/>
      <c r="CF1" s="172" t="s">
        <v>84</v>
      </c>
      <c r="CG1" s="173"/>
      <c r="CH1" s="173"/>
      <c r="CI1" s="174"/>
      <c r="CJ1" s="172" t="s">
        <v>85</v>
      </c>
      <c r="CK1" s="173"/>
      <c r="CL1" s="173"/>
      <c r="CM1" s="174"/>
      <c r="CN1" s="172" t="s">
        <v>93</v>
      </c>
      <c r="CO1" s="173"/>
      <c r="CP1" s="173"/>
      <c r="CQ1" s="174"/>
      <c r="CR1" s="172" t="s">
        <v>94</v>
      </c>
      <c r="CS1" s="173"/>
      <c r="CT1" s="173"/>
      <c r="CU1" s="174"/>
      <c r="CV1" s="172" t="s">
        <v>95</v>
      </c>
      <c r="CW1" s="173"/>
      <c r="CX1" s="173"/>
      <c r="CY1" s="174"/>
      <c r="CZ1" s="172" t="s">
        <v>96</v>
      </c>
      <c r="DA1" s="173"/>
      <c r="DB1" s="173"/>
      <c r="DC1" s="174"/>
    </row>
    <row r="2" spans="1:107" ht="13.9" customHeight="1" x14ac:dyDescent="0.25">
      <c r="A2" s="180"/>
      <c r="B2" s="180"/>
      <c r="C2" s="180"/>
      <c r="D2" s="143" t="s">
        <v>272</v>
      </c>
      <c r="E2" s="143"/>
      <c r="F2" s="143"/>
      <c r="G2" s="144"/>
      <c r="H2" s="140" t="str">
        <f>+_xlfn.XLOOKUP($A$1,Fixture!$D$2:$D$9,Fixture!$F$2:$F$9,_xlfn.XLOOKUP($A$1,Fixture!$F$2:$F$9,Fixture!$D$2:$D$9,"Descansa",FALSE))</f>
        <v>Rayos FC</v>
      </c>
      <c r="I2" s="141"/>
      <c r="J2" s="141"/>
      <c r="K2" s="142"/>
      <c r="L2" s="140" t="str">
        <f>+_xlfn.XLOOKUP($A$1,Fixture!$D$10:$D$17,Fixture!$F$10:$F$17,_xlfn.XLOOKUP($A$1,Fixture!$F$10:$F$17,Fixture!$D$10:$D$17,"Descansa",FALSE))</f>
        <v>La Unión FC</v>
      </c>
      <c r="M2" s="141"/>
      <c r="N2" s="141"/>
      <c r="O2" s="142"/>
      <c r="P2" s="175" t="str">
        <f>+_xlfn.XLOOKUP($A$1,Fixture!$D$18:$D$25,Fixture!$F$18:$F$25,_xlfn.XLOOKUP($A$1,Fixture!$F$18:$F$25,Fixture!$D$18:$D$25,"Descansa",FALSE))</f>
        <v>Boca Juniors</v>
      </c>
      <c r="Q2" s="176"/>
      <c r="R2" s="176"/>
      <c r="S2" s="177"/>
      <c r="T2" s="140" t="str">
        <f>+_xlfn.XLOOKUP($A$1,Fixture!$D$26:$D$33,Fixture!$F$26:$F$33,_xlfn.XLOOKUP($A$1,Fixture!$F$26:$F$33,Fixture!$D$26:$D$33,"Descansa",FALSE))</f>
        <v>Atalanta</v>
      </c>
      <c r="U2" s="141"/>
      <c r="V2" s="141"/>
      <c r="W2" s="142"/>
      <c r="X2" s="140" t="str">
        <f>+_xlfn.XLOOKUP($A$1,Fixture!$D$34:$D$41,Fixture!$F$34:$F$41,_xlfn.XLOOKUP($A$1,Fixture!$F$34:$F$41,Fixture!$D$34:$D$41,"Descansa",FALSE))</f>
        <v>Los Amigos</v>
      </c>
      <c r="Y2" s="141"/>
      <c r="Z2" s="141"/>
      <c r="AA2" s="142"/>
      <c r="AB2" s="140" t="str">
        <f>+_xlfn.XLOOKUP($A$1,Fixture!$D$42:$D$49,Fixture!$F$42:$F$49,_xlfn.XLOOKUP($A$1,Fixture!$F$42:$F$49,Fixture!$D$42:$D$49,"Descansa",FALSE))</f>
        <v>La Nueva Era</v>
      </c>
      <c r="AC2" s="141"/>
      <c r="AD2" s="141"/>
      <c r="AE2" s="142"/>
      <c r="AF2" s="140" t="str">
        <f>+_xlfn.XLOOKUP($A$1,Fixture!$D$50:$D$57,Fixture!$F$50:$F$57,_xlfn.XLOOKUP($A$1,Fixture!$F$50:$F$57,Fixture!$D$50:$D$57,"Descansa",FALSE))</f>
        <v>La Amistad</v>
      </c>
      <c r="AG2" s="141"/>
      <c r="AH2" s="141"/>
      <c r="AI2" s="142"/>
      <c r="AJ2" s="140" t="str">
        <f>+_xlfn.XLOOKUP($A$1,Fixture!$D$58:$D$65,Fixture!$F$58:$F$65,_xlfn.XLOOKUP($A$1,Fixture!$F$58:$F$65,Fixture!$D$58:$D$65,"Descansa",FALSE))</f>
        <v>Konami</v>
      </c>
      <c r="AK2" s="141"/>
      <c r="AL2" s="141"/>
      <c r="AM2" s="142"/>
      <c r="AN2" s="140" t="str">
        <f>+_xlfn.XLOOKUP($A$1,Fixture!$D$66:$D$73,Fixture!$F$66:$F$73,_xlfn.XLOOKUP($A$1,Fixture!$F$66:$F$73,Fixture!$D$66:$D$73,"Descansa",FALSE))</f>
        <v>Villanueva</v>
      </c>
      <c r="AO2" s="141"/>
      <c r="AP2" s="141"/>
      <c r="AQ2" s="142"/>
      <c r="AR2" s="140" t="str">
        <f>+_xlfn.XLOOKUP($A$1,Fixture!$D$74:$D$81,Fixture!$F$74:$F$81,_xlfn.XLOOKUP($A$1,Fixture!$F$74:$F$81,Fixture!$D$74:$D$81,"Descansa",FALSE))</f>
        <v>Valentín FC</v>
      </c>
      <c r="AS2" s="141"/>
      <c r="AT2" s="141"/>
      <c r="AU2" s="142"/>
      <c r="AV2" s="140" t="str">
        <f>+_xlfn.XLOOKUP($A$1,Fixture!$D$82:$D$89,Fixture!$F$82:$F$89,_xlfn.XLOOKUP($A$1,Fixture!$F$82:$F$89,Fixture!$D$82:$D$89,"Descansa",FALSE))</f>
        <v>Amenadim</v>
      </c>
      <c r="AW2" s="141"/>
      <c r="AX2" s="141"/>
      <c r="AY2" s="142"/>
      <c r="AZ2" s="140" t="str">
        <f>+_xlfn.XLOOKUP($A$1,Fixture!$D$90:$D$97,Fixture!$F$90:$F$97,_xlfn.XLOOKUP($A$1,Fixture!$F$90:$F$97,Fixture!$D$90:$D$97,"Descansa",FALSE))</f>
        <v>Hojas Anchas</v>
      </c>
      <c r="BA2" s="141"/>
      <c r="BB2" s="141"/>
      <c r="BC2" s="142"/>
      <c r="BD2" s="140" t="str">
        <f>+_xlfn.XLOOKUP($A$1,Fixture!$D$98:$D$105,Fixture!$F$98:$F$105,_xlfn.XLOOKUP($A$1,Fixture!$F$98:$F$105,Fixture!$D$98:$D$105,"Descansa",FALSE))</f>
        <v>Los Aliados</v>
      </c>
      <c r="BE2" s="141"/>
      <c r="BF2" s="141"/>
      <c r="BG2" s="142"/>
      <c r="BH2" s="140" t="str">
        <f>+_xlfn.XLOOKUP($A$1,Fixture!$D$106:$D$113,Fixture!$F$106:$F$113,_xlfn.XLOOKUP($A$1,Fixture!$F$106:$F$113,Fixture!$D$106:$D$113,"Descansa",FALSE))</f>
        <v>CD El Corozo</v>
      </c>
      <c r="BI2" s="141"/>
      <c r="BJ2" s="141"/>
      <c r="BK2" s="142"/>
      <c r="BL2" s="140" t="str">
        <f>+_xlfn.XLOOKUP($A$1,Fixture!$D$114:$D$121,Fixture!$F$114:$F$121,_xlfn.XLOOKUP($A$1,Fixture!$F$114:$F$121,Fixture!$D$114:$D$121,"Descansa",FALSE))</f>
        <v>Deportivo Fénix</v>
      </c>
      <c r="BM2" s="141"/>
      <c r="BN2" s="141"/>
      <c r="BO2" s="142"/>
      <c r="BP2" s="140" t="str">
        <f>+_xlfn.XLOOKUP($A$1,Fixture!$D$122:$D$128,Fixture!$F$122:$F$128,_xlfn.XLOOKUP($A$1,Fixture!$F$122:$F$128,Fixture!$D$122:$D$128,"Descansa",FALSE))</f>
        <v>Boca Juniors</v>
      </c>
      <c r="BQ2" s="141"/>
      <c r="BR2" s="141"/>
      <c r="BS2" s="142"/>
      <c r="BT2" s="140" t="str">
        <f>+_xlfn.XLOOKUP($A$1,Fixture!$D$129:$D$135,Fixture!$F$129:$F$135,_xlfn.XLOOKUP($A$1,Fixture!$F$129:$F$135,Fixture!$D$129:$D$135,"Descansa",FALSE))</f>
        <v>Valentín FC</v>
      </c>
      <c r="BU2" s="141"/>
      <c r="BV2" s="141"/>
      <c r="BW2" s="142"/>
      <c r="BX2" s="140" t="str">
        <f>+_xlfn.XLOOKUP($A$1,Fixture!$D$136:$D$141,Fixture!$F$136:$F$141,_xlfn.XLOOKUP($A$1,Fixture!$F$136:$F$141,Fixture!$D$136:$D$141,"Descansa",FALSE))</f>
        <v>Atalanta</v>
      </c>
      <c r="BY2" s="141"/>
      <c r="BZ2" s="141"/>
      <c r="CA2" s="142"/>
      <c r="CB2" s="140" t="str">
        <f>+_xlfn.XLOOKUP($A$1,Fixture!$D$142:$D$149,Fixture!$F$142:$F$149,_xlfn.XLOOKUP($A$1,Fixture!$F$142:$F$149,Fixture!$D$142:$D$149,"Descansa",FALSE))</f>
        <v>Hojas Anchas</v>
      </c>
      <c r="CC2" s="141"/>
      <c r="CD2" s="141"/>
      <c r="CE2" s="142"/>
      <c r="CF2" s="140" t="str">
        <f>+_xlfn.XLOOKUP($A$1,Fixture!$D$150:$D$155,Fixture!$F$150:$F$155,_xlfn.XLOOKUP($A$1,Fixture!$F$150:$F$155,Fixture!$D$150:$D$155,"Descansa",FALSE))</f>
        <v>Los Aliados</v>
      </c>
      <c r="CG2" s="141"/>
      <c r="CH2" s="141"/>
      <c r="CI2" s="142"/>
      <c r="CJ2" s="140" t="str">
        <f>+_xlfn.XLOOKUP($A$1,Fixture!$D$156:$D$161,Fixture!$F$156:$F$161,_xlfn.XLOOKUP($A$1,Fixture!$F$156:$F$161,Fixture!$D$156:$D$161,"Descansa",FALSE))</f>
        <v>Los Amigos</v>
      </c>
      <c r="CK2" s="141"/>
      <c r="CL2" s="141"/>
      <c r="CM2" s="142"/>
      <c r="CN2" s="140" t="str">
        <f>+_xlfn.XLOOKUP($A$1,Fixture!$D$162:$D$167,Fixture!$F$162:$F$167,_xlfn.XLOOKUP($A$1,Fixture!$F$162:$F$167,Fixture!$D$162:$D$167,"Descansa",FALSE))</f>
        <v>La Unión FC</v>
      </c>
      <c r="CO2" s="141"/>
      <c r="CP2" s="141"/>
      <c r="CQ2" s="142"/>
      <c r="CR2" s="140" t="str">
        <f>+_xlfn.XLOOKUP($A$1,Fixture!$D$168:$D$169,Fixture!$F$168:$F$169,_xlfn.XLOOKUP($A$1,Fixture!$F$168:$F$169,Fixture!$D$168:$D$169,"Descanssa",FALSE))</f>
        <v>Descanssa</v>
      </c>
      <c r="CS2" s="141"/>
      <c r="CT2" s="141"/>
      <c r="CU2" s="142"/>
      <c r="CV2" s="140" t="str">
        <f>+_xlfn.XLOOKUP($A$1,Fixture!$D$170:$D$171,Fixture!$F$170:$F$171,_xlfn.XLOOKUP($A$1,Fixture!$F$170:$F$171,Fixture!$D$170:$D$171,"Descansa",FALSE))</f>
        <v>Descansa</v>
      </c>
      <c r="CW2" s="141"/>
      <c r="CX2" s="141"/>
      <c r="CY2" s="142"/>
      <c r="CZ2" s="72"/>
      <c r="DA2" s="73"/>
      <c r="DB2" s="73"/>
      <c r="DC2" s="74"/>
    </row>
    <row r="3" spans="1:107" ht="14.45" customHeight="1" x14ac:dyDescent="0.25">
      <c r="A3" s="180"/>
      <c r="B3" s="180"/>
      <c r="C3" s="180"/>
      <c r="D3" s="22" t="s">
        <v>89</v>
      </c>
      <c r="E3" s="22" t="s">
        <v>90</v>
      </c>
      <c r="F3" s="22" t="s">
        <v>91</v>
      </c>
      <c r="G3" s="24" t="s">
        <v>92</v>
      </c>
      <c r="H3" s="166">
        <f>IF(Fixture!$C6=0,"",Fixture!$C6)</f>
        <v>45676</v>
      </c>
      <c r="I3" s="167"/>
      <c r="J3" s="167"/>
      <c r="K3" s="168"/>
      <c r="L3" s="166">
        <f>IF(Fixture!$C15=0,"",Fixture!$C15)</f>
        <v>45683</v>
      </c>
      <c r="M3" s="167"/>
      <c r="N3" s="167"/>
      <c r="O3" s="168"/>
      <c r="P3" s="166">
        <f>IF(Fixture!$C21=0,"",Fixture!$C21)</f>
        <v>45690</v>
      </c>
      <c r="Q3" s="167"/>
      <c r="R3" s="167"/>
      <c r="S3" s="168"/>
      <c r="T3" s="166">
        <f>IF(Fixture!$C30=0,"",Fixture!$C30)</f>
        <v>45697</v>
      </c>
      <c r="U3" s="167"/>
      <c r="V3" s="167"/>
      <c r="W3" s="168"/>
      <c r="X3" s="166">
        <f>IF(Fixture!$C39=0,"",Fixture!$C39)</f>
        <v>45704</v>
      </c>
      <c r="Y3" s="167"/>
      <c r="Z3" s="167"/>
      <c r="AA3" s="168"/>
      <c r="AB3" s="166">
        <f>IF(Fixture!$C44=0,"",Fixture!$C44)</f>
        <v>45711</v>
      </c>
      <c r="AC3" s="167"/>
      <c r="AD3" s="167"/>
      <c r="AE3" s="168"/>
      <c r="AF3" s="166">
        <f>IF(Fixture!$C52=0,"",Fixture!$C52)</f>
        <v>45718</v>
      </c>
      <c r="AG3" s="167"/>
      <c r="AH3" s="167"/>
      <c r="AI3" s="168"/>
      <c r="AJ3" s="166">
        <f>IF(Fixture!$C59=0,"",Fixture!$C59)</f>
        <v>45725</v>
      </c>
      <c r="AK3" s="167"/>
      <c r="AL3" s="167"/>
      <c r="AM3" s="168"/>
      <c r="AN3" s="166">
        <f>IF(Fixture!$C67=0,"",Fixture!$C67)</f>
        <v>45704</v>
      </c>
      <c r="AO3" s="167"/>
      <c r="AP3" s="167"/>
      <c r="AQ3" s="168"/>
      <c r="AR3" s="166">
        <f>IF(Fixture!$C74=0,"",Fixture!$C74)</f>
        <v>45746</v>
      </c>
      <c r="AS3" s="167"/>
      <c r="AT3" s="167"/>
      <c r="AU3" s="168"/>
      <c r="AV3" s="166">
        <f>IF(Fixture!$C82=0,"",Fixture!$C82)</f>
        <v>45753</v>
      </c>
      <c r="AW3" s="167"/>
      <c r="AX3" s="167"/>
      <c r="AY3" s="168"/>
      <c r="AZ3" s="166">
        <f>IF(Fixture!$C97=0,"",Fixture!$C97)</f>
        <v>45774</v>
      </c>
      <c r="BA3" s="167"/>
      <c r="BB3" s="167"/>
      <c r="BC3" s="168"/>
      <c r="BD3" s="166">
        <f>IF(Fixture!$C98=0,"",Fixture!$C98)</f>
        <v>45781</v>
      </c>
      <c r="BE3" s="167"/>
      <c r="BF3" s="167"/>
      <c r="BG3" s="168"/>
      <c r="BH3" s="166">
        <f>IF(Fixture!$C99=0,"",Fixture!$C99)</f>
        <v>45781</v>
      </c>
      <c r="BI3" s="167"/>
      <c r="BJ3" s="167"/>
      <c r="BK3" s="168"/>
      <c r="BL3" s="163" t="e">
        <f>+VLOOKUP(BL1,Resultados!$A$3:$B$71,2,FALSE)</f>
        <v>#N/A</v>
      </c>
      <c r="BM3" s="164"/>
      <c r="BN3" s="164"/>
      <c r="BO3" s="165"/>
      <c r="BP3" s="163" t="e">
        <f>+VLOOKUP(BP1,Resultados!$A$3:$B$71,2,FALSE)</f>
        <v>#N/A</v>
      </c>
      <c r="BQ3" s="164"/>
      <c r="BR3" s="164"/>
      <c r="BS3" s="165"/>
      <c r="BT3" s="163" t="e">
        <f>+VLOOKUP(BT1,Resultados!$A$3:$B$71,2,FALSE)</f>
        <v>#N/A</v>
      </c>
      <c r="BU3" s="164"/>
      <c r="BV3" s="164"/>
      <c r="BW3" s="165"/>
      <c r="BX3" s="163" t="e">
        <f>+VLOOKUP(BX1,Resultados!$A$3:$B$71,2,FALSE)</f>
        <v>#N/A</v>
      </c>
      <c r="BY3" s="164"/>
      <c r="BZ3" s="164"/>
      <c r="CA3" s="165"/>
      <c r="CB3" s="163" t="e">
        <f>+VLOOKUP(CB1,Resultados!$A$3:$B$71,2,FALSE)</f>
        <v>#N/A</v>
      </c>
      <c r="CC3" s="164"/>
      <c r="CD3" s="164"/>
      <c r="CE3" s="165"/>
      <c r="CF3" s="163" t="e">
        <f>+VLOOKUP(CF1,Resultados!$A$3:$B$71,2,FALSE)</f>
        <v>#N/A</v>
      </c>
      <c r="CG3" s="164"/>
      <c r="CH3" s="164"/>
      <c r="CI3" s="165"/>
      <c r="CJ3" s="163" t="e">
        <f>+VLOOKUP(CJ1,Resultados!$A$3:$B$71,2,FALSE)</f>
        <v>#N/A</v>
      </c>
      <c r="CK3" s="164"/>
      <c r="CL3" s="164"/>
      <c r="CM3" s="165"/>
      <c r="CN3" s="163" t="e">
        <f>+VLOOKUP(CN1,Resultados!$A$3:$B$71,2,FALSE)</f>
        <v>#N/A</v>
      </c>
      <c r="CO3" s="164"/>
      <c r="CP3" s="164"/>
      <c r="CQ3" s="165"/>
      <c r="CR3" s="163" t="e">
        <f>+VLOOKUP(CR1,Resultados!$A$3:$B$71,2,FALSE)</f>
        <v>#N/A</v>
      </c>
      <c r="CS3" s="164"/>
      <c r="CT3" s="164"/>
      <c r="CU3" s="165"/>
      <c r="CV3" s="163" t="e">
        <f>+VLOOKUP(CV1,Resultados!$A$3:$B$71,2,FALSE)</f>
        <v>#N/A</v>
      </c>
      <c r="CW3" s="164"/>
      <c r="CX3" s="164"/>
      <c r="CY3" s="165"/>
      <c r="CZ3" s="163" t="e">
        <f>+VLOOKUP(CZ1,Resultados!$A$3:$B$71,2,FALSE)</f>
        <v>#N/A</v>
      </c>
      <c r="DA3" s="164"/>
      <c r="DB3" s="164"/>
      <c r="DC3" s="165"/>
    </row>
    <row r="4" spans="1:107" ht="19.899999999999999" customHeight="1" x14ac:dyDescent="0.25">
      <c r="A4" s="190" t="s">
        <v>3</v>
      </c>
      <c r="B4" s="154" t="str">
        <f>Jugadores!F3</f>
        <v>Eliecer Serpa</v>
      </c>
      <c r="C4" s="155"/>
      <c r="D4" s="24">
        <f>H4+L4+P4+T4+X4+AB4+AF4+AJ4+AN4+AR4+AV4+AZ4+BD4+BH4+BL4+BP4+BT4+BX4+CB4+CF4+CJ4+CN4+CR4+CV4+CZ4</f>
        <v>41</v>
      </c>
      <c r="E4" s="24">
        <f>I4+M4+Q4+U4+Y4+AC4+AG4+AK4+AO4+AS4+AW4+BA4+BE4+BI4+BM4+BQ4+BU4+BY4+CC4+CG4+CK4+CO4+CS4+CW4+DA4</f>
        <v>2</v>
      </c>
      <c r="F4" s="115">
        <f>J4+N4+R4+V4+Z4+AD4+AH4+AL4+AP4+AT4+AX4+BB4+BF4+BJ4+BN4+BR4+BV4+BZ4+CD4+CH4+CL4+CP4+CT4+CX4+DB4</f>
        <v>0</v>
      </c>
      <c r="G4" s="106">
        <f>K4+O4+S4+W4+AA4+AE4+AI4+AM4+AQ4+AU4+AY4+BC4+BG4+BK4+BO4+BS4+BW4+CA4+CE4+CI4+CM4+CQ4+CU4+CY4+DC4</f>
        <v>0</v>
      </c>
      <c r="H4" s="26"/>
      <c r="I4" s="26"/>
      <c r="J4" s="26"/>
      <c r="K4" s="29"/>
      <c r="L4" s="28">
        <v>1</v>
      </c>
      <c r="M4" s="26"/>
      <c r="N4" s="26"/>
      <c r="O4" s="29"/>
      <c r="P4" s="28"/>
      <c r="Q4" s="26"/>
      <c r="R4" s="26"/>
      <c r="S4" s="29"/>
      <c r="T4" s="28">
        <v>2</v>
      </c>
      <c r="U4" s="26"/>
      <c r="V4" s="26"/>
      <c r="W4" s="29"/>
      <c r="X4" s="28">
        <v>4</v>
      </c>
      <c r="Y4" s="26"/>
      <c r="Z4" s="26"/>
      <c r="AA4" s="29"/>
      <c r="AB4" s="28">
        <v>5</v>
      </c>
      <c r="AC4" s="26"/>
      <c r="AD4" s="26"/>
      <c r="AE4" s="29"/>
      <c r="AF4" s="28">
        <v>2</v>
      </c>
      <c r="AG4" s="26"/>
      <c r="AH4" s="26"/>
      <c r="AI4" s="29"/>
      <c r="AJ4" s="28"/>
      <c r="AK4" s="26"/>
      <c r="AL4" s="26"/>
      <c r="AM4" s="29"/>
      <c r="AN4" s="28">
        <v>2</v>
      </c>
      <c r="AO4" s="26"/>
      <c r="AP4" s="26"/>
      <c r="AQ4" s="29"/>
      <c r="AR4" s="28">
        <v>5</v>
      </c>
      <c r="AS4" s="26">
        <v>1</v>
      </c>
      <c r="AT4" s="26"/>
      <c r="AU4" s="29"/>
      <c r="AV4" s="28">
        <v>2</v>
      </c>
      <c r="AW4" s="26"/>
      <c r="AX4" s="26"/>
      <c r="AY4" s="29"/>
      <c r="AZ4" s="28">
        <v>1</v>
      </c>
      <c r="BA4" s="26"/>
      <c r="BB4" s="26"/>
      <c r="BC4" s="29"/>
      <c r="BD4" s="28">
        <v>3</v>
      </c>
      <c r="BE4" s="26"/>
      <c r="BF4" s="26"/>
      <c r="BG4" s="29"/>
      <c r="BH4" s="28"/>
      <c r="BI4" s="26"/>
      <c r="BJ4" s="26"/>
      <c r="BK4" s="29"/>
      <c r="BL4" s="28">
        <v>3</v>
      </c>
      <c r="BM4" s="26"/>
      <c r="BN4" s="26"/>
      <c r="BO4" s="29"/>
      <c r="BP4" s="28">
        <v>2</v>
      </c>
      <c r="BQ4" s="26"/>
      <c r="BR4" s="26"/>
      <c r="BS4" s="29"/>
      <c r="BT4" s="28">
        <v>1</v>
      </c>
      <c r="BU4" s="26"/>
      <c r="BV4" s="26"/>
      <c r="BW4" s="29"/>
      <c r="BX4" s="28">
        <v>2</v>
      </c>
      <c r="BY4" s="26"/>
      <c r="BZ4" s="26"/>
      <c r="CA4" s="29"/>
      <c r="CB4" s="28">
        <v>2</v>
      </c>
      <c r="CC4" s="26"/>
      <c r="CD4" s="26"/>
      <c r="CE4" s="29"/>
      <c r="CF4" s="28">
        <v>1</v>
      </c>
      <c r="CG4" s="26"/>
      <c r="CH4" s="26"/>
      <c r="CI4" s="29"/>
      <c r="CJ4" s="28">
        <v>1</v>
      </c>
      <c r="CK4" s="26"/>
      <c r="CL4" s="26"/>
      <c r="CM4" s="29"/>
      <c r="CN4" s="28">
        <v>1</v>
      </c>
      <c r="CO4" s="26">
        <v>1</v>
      </c>
      <c r="CP4" s="26"/>
      <c r="CQ4" s="29"/>
      <c r="CR4" s="28">
        <v>1</v>
      </c>
      <c r="CS4" s="26"/>
      <c r="CT4" s="26"/>
      <c r="CU4" s="29"/>
      <c r="CV4" s="28"/>
      <c r="CW4" s="26"/>
      <c r="CX4" s="26"/>
      <c r="CY4" s="29"/>
      <c r="CZ4" s="28"/>
      <c r="DA4" s="26"/>
      <c r="DB4" s="26"/>
      <c r="DC4" s="29"/>
    </row>
    <row r="5" spans="1:107" ht="19.899999999999999" customHeight="1" x14ac:dyDescent="0.25">
      <c r="A5" s="190"/>
      <c r="B5" s="154" t="str">
        <f>Jugadores!F4</f>
        <v xml:space="preserve">Jhon Jairo Zapata </v>
      </c>
      <c r="C5" s="155"/>
      <c r="D5" s="24">
        <f t="shared" ref="D5:D18" si="0">H5+L5+P5+T5+X5+AB5+AF5+AJ5+AN5+AR5+AV5+AZ5+BD5+BH5+BL5+BP5+BT5+BX5+CB5+CF5+CJ5+CN5+CR5+CV5+CZ5</f>
        <v>0</v>
      </c>
      <c r="E5" s="24">
        <f t="shared" ref="E5:E18" si="1">I5+M5+Q5+U5+Y5+AC5+AG5+AK5+AO5+AS5+AW5+BA5+BE5+BI5+BM5+BQ5+BU5+BY5+CC5+CG5+CK5+CO5+CS5+CW5+DA5</f>
        <v>0</v>
      </c>
      <c r="F5" s="115">
        <f t="shared" ref="F5:F18" si="2">J5+N5+R5+V5+Z5+AD5+AH5+AL5+AP5+AT5+AX5+BB5+BF5+BJ5+BN5+BR5+BV5+BZ5+CD5+CH5+CL5+CP5+CT5+CX5+DB5</f>
        <v>0</v>
      </c>
      <c r="G5" s="106">
        <f t="shared" ref="G5:G18" si="3">K5+O5+S5+W5+AA5+AE5+AI5+AM5+AQ5+AU5+AY5+BC5+BG5+BK5+BO5+BS5+BW5+CA5+CE5+CI5+CM5+CQ5+CU5+CY5+DC5</f>
        <v>0</v>
      </c>
      <c r="H5" s="26"/>
      <c r="I5" s="26"/>
      <c r="J5" s="26"/>
      <c r="K5" s="29"/>
      <c r="L5" s="28"/>
      <c r="M5" s="26"/>
      <c r="N5" s="26"/>
      <c r="O5" s="29"/>
      <c r="P5" s="28"/>
      <c r="Q5" s="26"/>
      <c r="R5" s="26"/>
      <c r="S5" s="29"/>
      <c r="T5" s="28"/>
      <c r="U5" s="26"/>
      <c r="V5" s="26"/>
      <c r="W5" s="29"/>
      <c r="X5" s="28"/>
      <c r="Y5" s="26"/>
      <c r="Z5" s="26"/>
      <c r="AA5" s="29"/>
      <c r="AB5" s="28"/>
      <c r="AC5" s="26"/>
      <c r="AD5" s="26"/>
      <c r="AE5" s="29"/>
      <c r="AF5" s="28"/>
      <c r="AG5" s="26"/>
      <c r="AH5" s="26"/>
      <c r="AI5" s="29"/>
      <c r="AJ5" s="28"/>
      <c r="AK5" s="26"/>
      <c r="AL5" s="26"/>
      <c r="AM5" s="29"/>
      <c r="AN5" s="28"/>
      <c r="AO5" s="26"/>
      <c r="AP5" s="26"/>
      <c r="AQ5" s="29"/>
      <c r="AR5" s="28"/>
      <c r="AS5" s="26"/>
      <c r="AT5" s="26"/>
      <c r="AU5" s="29"/>
      <c r="AV5" s="28"/>
      <c r="AW5" s="26"/>
      <c r="AX5" s="26"/>
      <c r="AY5" s="29"/>
      <c r="AZ5" s="28"/>
      <c r="BA5" s="26"/>
      <c r="BB5" s="26"/>
      <c r="BC5" s="29"/>
      <c r="BD5" s="28"/>
      <c r="BE5" s="26"/>
      <c r="BF5" s="26"/>
      <c r="BG5" s="29"/>
      <c r="BH5" s="28"/>
      <c r="BI5" s="26"/>
      <c r="BJ5" s="26"/>
      <c r="BK5" s="29"/>
      <c r="BL5" s="28"/>
      <c r="BM5" s="26"/>
      <c r="BN5" s="26"/>
      <c r="BO5" s="29"/>
      <c r="BP5" s="28"/>
      <c r="BQ5" s="26"/>
      <c r="BR5" s="26"/>
      <c r="BS5" s="29"/>
      <c r="BT5" s="28"/>
      <c r="BU5" s="26"/>
      <c r="BV5" s="26"/>
      <c r="BW5" s="29"/>
      <c r="BX5" s="28"/>
      <c r="BY5" s="26"/>
      <c r="BZ5" s="26"/>
      <c r="CA5" s="29"/>
      <c r="CB5" s="28"/>
      <c r="CC5" s="26"/>
      <c r="CD5" s="26"/>
      <c r="CE5" s="29"/>
      <c r="CF5" s="28"/>
      <c r="CG5" s="26"/>
      <c r="CH5" s="26"/>
      <c r="CI5" s="29"/>
      <c r="CJ5" s="28"/>
      <c r="CK5" s="26"/>
      <c r="CL5" s="26"/>
      <c r="CM5" s="29"/>
      <c r="CN5" s="28"/>
      <c r="CO5" s="26"/>
      <c r="CP5" s="26"/>
      <c r="CQ5" s="29"/>
      <c r="CR5" s="28"/>
      <c r="CS5" s="26"/>
      <c r="CT5" s="26"/>
      <c r="CU5" s="29"/>
      <c r="CV5" s="28"/>
      <c r="CW5" s="26"/>
      <c r="CX5" s="26"/>
      <c r="CY5" s="29"/>
      <c r="CZ5" s="28"/>
      <c r="DA5" s="26"/>
      <c r="DB5" s="26"/>
      <c r="DC5" s="29"/>
    </row>
    <row r="6" spans="1:107" ht="19.899999999999999" customHeight="1" x14ac:dyDescent="0.25">
      <c r="A6" s="190"/>
      <c r="B6" s="154" t="str">
        <f>Jugadores!F5</f>
        <v>Juan Vallejo</v>
      </c>
      <c r="C6" s="155"/>
      <c r="D6" s="24">
        <f t="shared" si="0"/>
        <v>6</v>
      </c>
      <c r="E6" s="24">
        <f t="shared" si="1"/>
        <v>1</v>
      </c>
      <c r="F6" s="115">
        <f t="shared" si="2"/>
        <v>0</v>
      </c>
      <c r="G6" s="106">
        <f t="shared" si="3"/>
        <v>0</v>
      </c>
      <c r="H6" s="26"/>
      <c r="I6" s="26"/>
      <c r="J6" s="26"/>
      <c r="K6" s="29"/>
      <c r="L6" s="28"/>
      <c r="M6" s="26"/>
      <c r="N6" s="26"/>
      <c r="O6" s="29"/>
      <c r="P6" s="28"/>
      <c r="Q6" s="26"/>
      <c r="R6" s="26"/>
      <c r="S6" s="29"/>
      <c r="T6" s="28"/>
      <c r="U6" s="26"/>
      <c r="V6" s="26"/>
      <c r="W6" s="29"/>
      <c r="X6" s="28">
        <v>2</v>
      </c>
      <c r="Y6" s="26"/>
      <c r="Z6" s="26"/>
      <c r="AA6" s="29"/>
      <c r="AB6" s="28">
        <v>1</v>
      </c>
      <c r="AC6" s="26"/>
      <c r="AD6" s="26"/>
      <c r="AE6" s="29"/>
      <c r="AF6" s="28"/>
      <c r="AG6" s="26"/>
      <c r="AH6" s="26"/>
      <c r="AI6" s="29"/>
      <c r="AJ6" s="28"/>
      <c r="AK6" s="26"/>
      <c r="AL6" s="26"/>
      <c r="AM6" s="29"/>
      <c r="AN6" s="28"/>
      <c r="AO6" s="26"/>
      <c r="AP6" s="26"/>
      <c r="AQ6" s="29"/>
      <c r="AR6" s="28"/>
      <c r="AS6" s="26"/>
      <c r="AT6" s="26"/>
      <c r="AU6" s="29"/>
      <c r="AV6" s="28"/>
      <c r="AW6" s="26"/>
      <c r="AX6" s="26"/>
      <c r="AY6" s="29"/>
      <c r="AZ6" s="28"/>
      <c r="BA6" s="26"/>
      <c r="BB6" s="26"/>
      <c r="BC6" s="29"/>
      <c r="BD6" s="28">
        <v>1</v>
      </c>
      <c r="BE6" s="26"/>
      <c r="BF6" s="26"/>
      <c r="BG6" s="29"/>
      <c r="BH6" s="28"/>
      <c r="BI6" s="26"/>
      <c r="BJ6" s="26"/>
      <c r="BK6" s="29"/>
      <c r="BL6" s="28"/>
      <c r="BM6" s="26"/>
      <c r="BN6" s="26"/>
      <c r="BO6" s="29"/>
      <c r="BP6" s="28"/>
      <c r="BQ6" s="26"/>
      <c r="BR6" s="26"/>
      <c r="BS6" s="29"/>
      <c r="BT6" s="28"/>
      <c r="BU6" s="26">
        <v>1</v>
      </c>
      <c r="BV6" s="26"/>
      <c r="BW6" s="29"/>
      <c r="BX6" s="28">
        <v>1</v>
      </c>
      <c r="BY6" s="26"/>
      <c r="BZ6" s="26"/>
      <c r="CA6" s="29"/>
      <c r="CB6" s="28"/>
      <c r="CC6" s="26"/>
      <c r="CD6" s="26"/>
      <c r="CE6" s="29"/>
      <c r="CF6" s="28"/>
      <c r="CG6" s="26"/>
      <c r="CH6" s="26"/>
      <c r="CI6" s="29"/>
      <c r="CJ6" s="28"/>
      <c r="CK6" s="26"/>
      <c r="CL6" s="26"/>
      <c r="CM6" s="29"/>
      <c r="CN6" s="28"/>
      <c r="CO6" s="26"/>
      <c r="CP6" s="26"/>
      <c r="CQ6" s="29"/>
      <c r="CR6" s="28"/>
      <c r="CS6" s="26"/>
      <c r="CT6" s="26"/>
      <c r="CU6" s="29"/>
      <c r="CV6" s="28">
        <v>1</v>
      </c>
      <c r="CW6" s="26"/>
      <c r="CX6" s="26"/>
      <c r="CY6" s="29"/>
      <c r="CZ6" s="28"/>
      <c r="DA6" s="26"/>
      <c r="DB6" s="26"/>
      <c r="DC6" s="29"/>
    </row>
    <row r="7" spans="1:107" ht="19.899999999999999" customHeight="1" x14ac:dyDescent="0.25">
      <c r="A7" s="190"/>
      <c r="B7" s="154" t="str">
        <f>Jugadores!F6</f>
        <v>Edwin García</v>
      </c>
      <c r="C7" s="155"/>
      <c r="D7" s="24">
        <f t="shared" si="0"/>
        <v>0</v>
      </c>
      <c r="E7" s="24">
        <f t="shared" si="1"/>
        <v>0</v>
      </c>
      <c r="F7" s="115">
        <f t="shared" si="2"/>
        <v>0</v>
      </c>
      <c r="G7" s="115">
        <f t="shared" si="3"/>
        <v>0</v>
      </c>
      <c r="H7" s="28"/>
      <c r="I7" s="26"/>
      <c r="J7" s="26"/>
      <c r="K7" s="29"/>
      <c r="L7" s="28"/>
      <c r="M7" s="26"/>
      <c r="N7" s="26"/>
      <c r="O7" s="29"/>
      <c r="P7" s="28"/>
      <c r="Q7" s="26"/>
      <c r="R7" s="26"/>
      <c r="S7" s="29"/>
      <c r="T7" s="28"/>
      <c r="U7" s="26"/>
      <c r="V7" s="26"/>
      <c r="W7" s="29"/>
      <c r="X7" s="28"/>
      <c r="Y7" s="26"/>
      <c r="Z7" s="26"/>
      <c r="AA7" s="29"/>
      <c r="AB7" s="28"/>
      <c r="AC7" s="26"/>
      <c r="AD7" s="26"/>
      <c r="AE7" s="29"/>
      <c r="AF7" s="28"/>
      <c r="AG7" s="26"/>
      <c r="AH7" s="26"/>
      <c r="AI7" s="29"/>
      <c r="AJ7" s="28"/>
      <c r="AK7" s="26"/>
      <c r="AL7" s="26"/>
      <c r="AM7" s="29"/>
      <c r="AN7" s="28"/>
      <c r="AO7" s="26"/>
      <c r="AP7" s="26"/>
      <c r="AQ7" s="29"/>
      <c r="AR7" s="28"/>
      <c r="AS7" s="26"/>
      <c r="AT7" s="26"/>
      <c r="AU7" s="29"/>
      <c r="AV7" s="28"/>
      <c r="AW7" s="26"/>
      <c r="AX7" s="26"/>
      <c r="AY7" s="29"/>
      <c r="AZ7" s="28"/>
      <c r="BA7" s="26"/>
      <c r="BB7" s="26"/>
      <c r="BC7" s="29"/>
      <c r="BD7" s="28"/>
      <c r="BE7" s="26"/>
      <c r="BF7" s="26"/>
      <c r="BG7" s="29"/>
      <c r="BH7" s="28"/>
      <c r="BI7" s="26"/>
      <c r="BJ7" s="26"/>
      <c r="BK7" s="29"/>
      <c r="BL7" s="28"/>
      <c r="BM7" s="26"/>
      <c r="BN7" s="26"/>
      <c r="BO7" s="29"/>
      <c r="BP7" s="28"/>
      <c r="BQ7" s="26"/>
      <c r="BR7" s="26"/>
      <c r="BS7" s="29"/>
      <c r="BT7" s="28"/>
      <c r="BU7" s="26"/>
      <c r="BV7" s="26"/>
      <c r="BW7" s="29"/>
      <c r="BX7" s="28"/>
      <c r="BY7" s="26"/>
      <c r="BZ7" s="26"/>
      <c r="CA7" s="29"/>
      <c r="CB7" s="28"/>
      <c r="CC7" s="26"/>
      <c r="CD7" s="26"/>
      <c r="CE7" s="29"/>
      <c r="CF7" s="28"/>
      <c r="CG7" s="26"/>
      <c r="CH7" s="26"/>
      <c r="CI7" s="29"/>
      <c r="CJ7" s="28"/>
      <c r="CK7" s="26"/>
      <c r="CL7" s="26"/>
      <c r="CM7" s="29"/>
      <c r="CN7" s="28"/>
      <c r="CO7" s="26"/>
      <c r="CP7" s="26"/>
      <c r="CQ7" s="29"/>
      <c r="CR7" s="28"/>
      <c r="CS7" s="26"/>
      <c r="CT7" s="26"/>
      <c r="CU7" s="29"/>
      <c r="CV7" s="28"/>
      <c r="CW7" s="26"/>
      <c r="CX7" s="26"/>
      <c r="CY7" s="29"/>
      <c r="CZ7" s="28"/>
      <c r="DA7" s="26"/>
      <c r="DB7" s="26"/>
      <c r="DC7" s="29"/>
    </row>
    <row r="8" spans="1:107" ht="19.899999999999999" customHeight="1" x14ac:dyDescent="0.25">
      <c r="A8" s="190"/>
      <c r="B8" s="154" t="str">
        <f>Jugadores!F7</f>
        <v>Alexander Sánchez</v>
      </c>
      <c r="C8" s="155"/>
      <c r="D8" s="24">
        <f t="shared" si="0"/>
        <v>3</v>
      </c>
      <c r="E8" s="24">
        <f t="shared" si="1"/>
        <v>0</v>
      </c>
      <c r="F8" s="115">
        <f t="shared" si="2"/>
        <v>0</v>
      </c>
      <c r="G8" s="115">
        <f t="shared" si="3"/>
        <v>0</v>
      </c>
      <c r="H8" s="28">
        <v>1</v>
      </c>
      <c r="I8" s="26"/>
      <c r="J8" s="26"/>
      <c r="K8" s="29"/>
      <c r="L8" s="28"/>
      <c r="M8" s="26"/>
      <c r="N8" s="26"/>
      <c r="O8" s="29"/>
      <c r="P8" s="28"/>
      <c r="Q8" s="26"/>
      <c r="R8" s="26"/>
      <c r="S8" s="29"/>
      <c r="T8" s="28"/>
      <c r="U8" s="26"/>
      <c r="V8" s="26"/>
      <c r="W8" s="29"/>
      <c r="X8" s="28"/>
      <c r="Y8" s="26"/>
      <c r="Z8" s="26"/>
      <c r="AA8" s="29"/>
      <c r="AB8" s="28"/>
      <c r="AC8" s="26"/>
      <c r="AD8" s="26"/>
      <c r="AE8" s="29"/>
      <c r="AF8" s="28"/>
      <c r="AG8" s="26"/>
      <c r="AH8" s="26"/>
      <c r="AI8" s="29"/>
      <c r="AJ8" s="28"/>
      <c r="AK8" s="26"/>
      <c r="AL8" s="26"/>
      <c r="AM8" s="29"/>
      <c r="AN8" s="28"/>
      <c r="AO8" s="26"/>
      <c r="AP8" s="26"/>
      <c r="AQ8" s="29"/>
      <c r="AR8" s="28"/>
      <c r="AS8" s="26"/>
      <c r="AT8" s="26"/>
      <c r="AU8" s="29"/>
      <c r="AV8" s="28"/>
      <c r="AW8" s="26"/>
      <c r="AX8" s="26"/>
      <c r="AY8" s="29"/>
      <c r="AZ8" s="28"/>
      <c r="BA8" s="26"/>
      <c r="BB8" s="26"/>
      <c r="BC8" s="29"/>
      <c r="BD8" s="28"/>
      <c r="BE8" s="26"/>
      <c r="BF8" s="26"/>
      <c r="BG8" s="29"/>
      <c r="BH8" s="28"/>
      <c r="BI8" s="26"/>
      <c r="BJ8" s="26"/>
      <c r="BK8" s="29"/>
      <c r="BL8" s="28"/>
      <c r="BM8" s="26"/>
      <c r="BN8" s="26"/>
      <c r="BO8" s="29"/>
      <c r="BP8" s="28"/>
      <c r="BQ8" s="26"/>
      <c r="BR8" s="26"/>
      <c r="BS8" s="29"/>
      <c r="BT8" s="28"/>
      <c r="BU8" s="26"/>
      <c r="BV8" s="26"/>
      <c r="BW8" s="29"/>
      <c r="BX8" s="28">
        <v>1</v>
      </c>
      <c r="BY8" s="26"/>
      <c r="BZ8" s="26"/>
      <c r="CA8" s="29"/>
      <c r="CB8" s="28">
        <v>1</v>
      </c>
      <c r="CC8" s="26"/>
      <c r="CD8" s="26"/>
      <c r="CE8" s="29"/>
      <c r="CF8" s="28"/>
      <c r="CG8" s="26"/>
      <c r="CH8" s="26"/>
      <c r="CI8" s="29"/>
      <c r="CJ8" s="28"/>
      <c r="CK8" s="26"/>
      <c r="CL8" s="26"/>
      <c r="CM8" s="29"/>
      <c r="CN8" s="28"/>
      <c r="CO8" s="26"/>
      <c r="CP8" s="26"/>
      <c r="CQ8" s="29"/>
      <c r="CR8" s="28"/>
      <c r="CS8" s="26"/>
      <c r="CT8" s="26"/>
      <c r="CU8" s="29"/>
      <c r="CV8" s="28"/>
      <c r="CW8" s="26"/>
      <c r="CX8" s="26"/>
      <c r="CY8" s="29"/>
      <c r="CZ8" s="28"/>
      <c r="DA8" s="26"/>
      <c r="DB8" s="26"/>
      <c r="DC8" s="29"/>
    </row>
    <row r="9" spans="1:107" ht="19.899999999999999" customHeight="1" x14ac:dyDescent="0.25">
      <c r="A9" s="190"/>
      <c r="B9" s="154" t="str">
        <f>Jugadores!F8</f>
        <v>Julián Hincapie</v>
      </c>
      <c r="C9" s="155"/>
      <c r="D9" s="24">
        <f t="shared" si="0"/>
        <v>12</v>
      </c>
      <c r="E9" s="24">
        <f t="shared" si="1"/>
        <v>4</v>
      </c>
      <c r="F9" s="115">
        <f t="shared" si="2"/>
        <v>0</v>
      </c>
      <c r="G9" s="115">
        <f t="shared" si="3"/>
        <v>0</v>
      </c>
      <c r="H9" s="28"/>
      <c r="I9" s="26"/>
      <c r="J9" s="26"/>
      <c r="K9" s="29"/>
      <c r="L9" s="28"/>
      <c r="M9" s="26"/>
      <c r="N9" s="26"/>
      <c r="O9" s="29"/>
      <c r="P9" s="28">
        <v>1</v>
      </c>
      <c r="Q9" s="26">
        <v>1</v>
      </c>
      <c r="R9" s="26"/>
      <c r="S9" s="29"/>
      <c r="T9" s="28"/>
      <c r="U9" s="26"/>
      <c r="V9" s="26"/>
      <c r="W9" s="29"/>
      <c r="X9" s="28"/>
      <c r="Y9" s="26"/>
      <c r="Z9" s="26"/>
      <c r="AA9" s="29"/>
      <c r="AB9" s="28">
        <v>2</v>
      </c>
      <c r="AC9" s="26"/>
      <c r="AD9" s="26"/>
      <c r="AE9" s="29"/>
      <c r="AF9" s="28">
        <v>1</v>
      </c>
      <c r="AG9" s="26"/>
      <c r="AH9" s="26"/>
      <c r="AI9" s="29"/>
      <c r="AJ9" s="28"/>
      <c r="AK9" s="26"/>
      <c r="AL9" s="26"/>
      <c r="AM9" s="29"/>
      <c r="AN9" s="28"/>
      <c r="AO9" s="26"/>
      <c r="AP9" s="26"/>
      <c r="AQ9" s="29"/>
      <c r="AR9" s="28"/>
      <c r="AS9" s="26"/>
      <c r="AT9" s="26"/>
      <c r="AU9" s="29"/>
      <c r="AV9" s="28">
        <v>1</v>
      </c>
      <c r="AW9" s="26"/>
      <c r="AX9" s="26"/>
      <c r="AY9" s="29"/>
      <c r="AZ9" s="28">
        <v>2</v>
      </c>
      <c r="BA9" s="26"/>
      <c r="BB9" s="26"/>
      <c r="BC9" s="29"/>
      <c r="BD9" s="28"/>
      <c r="BE9" s="26"/>
      <c r="BF9" s="26"/>
      <c r="BG9" s="29"/>
      <c r="BH9" s="28"/>
      <c r="BI9" s="26"/>
      <c r="BJ9" s="26"/>
      <c r="BK9" s="29"/>
      <c r="BL9" s="28">
        <v>5</v>
      </c>
      <c r="BM9" s="26">
        <v>1</v>
      </c>
      <c r="BN9" s="26"/>
      <c r="BO9" s="29"/>
      <c r="BP9" s="28"/>
      <c r="BQ9" s="26"/>
      <c r="BR9" s="26"/>
      <c r="BS9" s="29"/>
      <c r="BT9" s="28"/>
      <c r="BU9" s="26"/>
      <c r="BV9" s="26"/>
      <c r="BW9" s="29"/>
      <c r="BX9" s="28"/>
      <c r="BY9" s="26"/>
      <c r="BZ9" s="26"/>
      <c r="CA9" s="29"/>
      <c r="CB9" s="28"/>
      <c r="CC9" s="26"/>
      <c r="CD9" s="26"/>
      <c r="CE9" s="29"/>
      <c r="CF9" s="28"/>
      <c r="CG9" s="26"/>
      <c r="CH9" s="26"/>
      <c r="CI9" s="29"/>
      <c r="CJ9" s="28"/>
      <c r="CK9" s="26">
        <v>1</v>
      </c>
      <c r="CL9" s="26"/>
      <c r="CM9" s="29"/>
      <c r="CN9" s="28"/>
      <c r="CO9" s="26"/>
      <c r="CP9" s="26"/>
      <c r="CQ9" s="29"/>
      <c r="CR9" s="28"/>
      <c r="CS9" s="26">
        <v>1</v>
      </c>
      <c r="CT9" s="26"/>
      <c r="CU9" s="29"/>
      <c r="CV9" s="28"/>
      <c r="CW9" s="26"/>
      <c r="CX9" s="26"/>
      <c r="CY9" s="29"/>
      <c r="CZ9" s="28"/>
      <c r="DA9" s="26"/>
      <c r="DB9" s="26"/>
      <c r="DC9" s="29"/>
    </row>
    <row r="10" spans="1:107" ht="19.899999999999999" customHeight="1" x14ac:dyDescent="0.25">
      <c r="A10" s="190"/>
      <c r="B10" s="154" t="str">
        <f>Jugadores!F9</f>
        <v>John Fredy Zapata</v>
      </c>
      <c r="C10" s="155"/>
      <c r="D10" s="24">
        <f t="shared" si="0"/>
        <v>1</v>
      </c>
      <c r="E10" s="24">
        <f t="shared" si="1"/>
        <v>2</v>
      </c>
      <c r="F10" s="115">
        <f t="shared" si="2"/>
        <v>0</v>
      </c>
      <c r="G10" s="115">
        <f t="shared" si="3"/>
        <v>0</v>
      </c>
      <c r="H10" s="28"/>
      <c r="I10" s="26"/>
      <c r="J10" s="26"/>
      <c r="K10" s="29"/>
      <c r="L10" s="28"/>
      <c r="M10" s="26"/>
      <c r="N10" s="26"/>
      <c r="O10" s="29"/>
      <c r="P10" s="28"/>
      <c r="Q10" s="26"/>
      <c r="R10" s="26"/>
      <c r="S10" s="29"/>
      <c r="T10" s="28">
        <v>1</v>
      </c>
      <c r="U10" s="26">
        <v>1</v>
      </c>
      <c r="V10" s="26"/>
      <c r="W10" s="29"/>
      <c r="X10" s="28"/>
      <c r="Y10" s="26"/>
      <c r="Z10" s="26"/>
      <c r="AA10" s="29"/>
      <c r="AB10" s="28"/>
      <c r="AC10" s="26"/>
      <c r="AD10" s="26"/>
      <c r="AE10" s="29"/>
      <c r="AF10" s="28"/>
      <c r="AG10" s="26"/>
      <c r="AH10" s="26"/>
      <c r="AI10" s="29"/>
      <c r="AJ10" s="28"/>
      <c r="AK10" s="26"/>
      <c r="AL10" s="26"/>
      <c r="AM10" s="29"/>
      <c r="AN10" s="28"/>
      <c r="AO10" s="26"/>
      <c r="AP10" s="26"/>
      <c r="AQ10" s="29"/>
      <c r="AR10" s="28"/>
      <c r="AS10" s="26"/>
      <c r="AT10" s="26"/>
      <c r="AU10" s="29"/>
      <c r="AV10" s="28"/>
      <c r="AW10" s="26"/>
      <c r="AX10" s="26"/>
      <c r="AY10" s="29"/>
      <c r="AZ10" s="28"/>
      <c r="BA10" s="26"/>
      <c r="BB10" s="26"/>
      <c r="BC10" s="29"/>
      <c r="BD10" s="28"/>
      <c r="BE10" s="26">
        <v>1</v>
      </c>
      <c r="BF10" s="26"/>
      <c r="BG10" s="29"/>
      <c r="BH10" s="28"/>
      <c r="BI10" s="26"/>
      <c r="BJ10" s="26"/>
      <c r="BK10" s="29"/>
      <c r="BL10" s="28"/>
      <c r="BM10" s="26"/>
      <c r="BN10" s="26"/>
      <c r="BO10" s="29"/>
      <c r="BP10" s="28"/>
      <c r="BQ10" s="26"/>
      <c r="BR10" s="26"/>
      <c r="BS10" s="29"/>
      <c r="BT10" s="28"/>
      <c r="BU10" s="26"/>
      <c r="BV10" s="26"/>
      <c r="BW10" s="29"/>
      <c r="BX10" s="28"/>
      <c r="BY10" s="26"/>
      <c r="BZ10" s="26"/>
      <c r="CA10" s="29"/>
      <c r="CB10" s="28"/>
      <c r="CC10" s="26"/>
      <c r="CD10" s="26"/>
      <c r="CE10" s="29"/>
      <c r="CF10" s="28"/>
      <c r="CG10" s="26"/>
      <c r="CH10" s="26"/>
      <c r="CI10" s="29"/>
      <c r="CJ10" s="28"/>
      <c r="CK10" s="26"/>
      <c r="CL10" s="26"/>
      <c r="CM10" s="29"/>
      <c r="CN10" s="28"/>
      <c r="CO10" s="26"/>
      <c r="CP10" s="26"/>
      <c r="CQ10" s="29"/>
      <c r="CR10" s="28"/>
      <c r="CS10" s="26"/>
      <c r="CT10" s="26"/>
      <c r="CU10" s="29"/>
      <c r="CV10" s="28"/>
      <c r="CW10" s="26"/>
      <c r="CX10" s="26"/>
      <c r="CY10" s="29"/>
      <c r="CZ10" s="28"/>
      <c r="DA10" s="26"/>
      <c r="DB10" s="26"/>
      <c r="DC10" s="29"/>
    </row>
    <row r="11" spans="1:107" ht="19.899999999999999" customHeight="1" x14ac:dyDescent="0.25">
      <c r="A11" s="190"/>
      <c r="B11" s="154" t="str">
        <f>Jugadores!F10</f>
        <v>Argemiro Medina</v>
      </c>
      <c r="C11" s="155"/>
      <c r="D11" s="24">
        <f t="shared" si="0"/>
        <v>8</v>
      </c>
      <c r="E11" s="24">
        <f t="shared" si="1"/>
        <v>5</v>
      </c>
      <c r="F11" s="115">
        <f t="shared" si="2"/>
        <v>0</v>
      </c>
      <c r="G11" s="115">
        <f t="shared" si="3"/>
        <v>0</v>
      </c>
      <c r="H11" s="28"/>
      <c r="I11" s="26"/>
      <c r="J11" s="26"/>
      <c r="K11" s="29"/>
      <c r="L11" s="28"/>
      <c r="M11" s="26"/>
      <c r="N11" s="26"/>
      <c r="O11" s="29"/>
      <c r="P11" s="28"/>
      <c r="Q11" s="26"/>
      <c r="R11" s="26"/>
      <c r="S11" s="29"/>
      <c r="T11" s="28"/>
      <c r="U11" s="26"/>
      <c r="V11" s="26"/>
      <c r="W11" s="29"/>
      <c r="X11" s="28">
        <v>1</v>
      </c>
      <c r="Y11" s="26"/>
      <c r="Z11" s="26"/>
      <c r="AA11" s="29"/>
      <c r="AB11" s="28"/>
      <c r="AC11" s="26"/>
      <c r="AD11" s="26"/>
      <c r="AE11" s="29"/>
      <c r="AF11" s="28"/>
      <c r="AG11" s="26"/>
      <c r="AH11" s="26"/>
      <c r="AI11" s="29"/>
      <c r="AJ11" s="28"/>
      <c r="AK11" s="26"/>
      <c r="AL11" s="26"/>
      <c r="AM11" s="29"/>
      <c r="AN11" s="28"/>
      <c r="AO11" s="26">
        <v>1</v>
      </c>
      <c r="AP11" s="26"/>
      <c r="AQ11" s="29"/>
      <c r="AR11" s="28"/>
      <c r="AS11" s="26"/>
      <c r="AT11" s="26"/>
      <c r="AU11" s="29"/>
      <c r="AV11" s="28"/>
      <c r="AW11" s="26">
        <v>1</v>
      </c>
      <c r="AX11" s="26"/>
      <c r="AY11" s="29"/>
      <c r="AZ11" s="28"/>
      <c r="BA11" s="26"/>
      <c r="BB11" s="26"/>
      <c r="BC11" s="29"/>
      <c r="BD11" s="28">
        <v>4</v>
      </c>
      <c r="BE11" s="26"/>
      <c r="BF11" s="26"/>
      <c r="BG11" s="29"/>
      <c r="BH11" s="28"/>
      <c r="BI11" s="26"/>
      <c r="BJ11" s="26"/>
      <c r="BK11" s="29"/>
      <c r="BL11" s="28">
        <v>1</v>
      </c>
      <c r="BM11" s="26"/>
      <c r="BN11" s="26"/>
      <c r="BO11" s="29"/>
      <c r="BP11" s="28"/>
      <c r="BQ11" s="26"/>
      <c r="BR11" s="26"/>
      <c r="BS11" s="29"/>
      <c r="BT11" s="28"/>
      <c r="BU11" s="26"/>
      <c r="BV11" s="26"/>
      <c r="BW11" s="29"/>
      <c r="BX11" s="28"/>
      <c r="BY11" s="26"/>
      <c r="BZ11" s="26"/>
      <c r="CA11" s="29"/>
      <c r="CB11" s="28"/>
      <c r="CC11" s="26"/>
      <c r="CD11" s="26"/>
      <c r="CE11" s="29"/>
      <c r="CF11" s="28"/>
      <c r="CG11" s="26"/>
      <c r="CH11" s="26"/>
      <c r="CI11" s="29"/>
      <c r="CJ11" s="28"/>
      <c r="CK11" s="26">
        <v>1</v>
      </c>
      <c r="CL11" s="26"/>
      <c r="CM11" s="29"/>
      <c r="CN11" s="28">
        <v>1</v>
      </c>
      <c r="CO11" s="26"/>
      <c r="CP11" s="26"/>
      <c r="CQ11" s="29"/>
      <c r="CR11" s="28"/>
      <c r="CS11" s="26">
        <v>1</v>
      </c>
      <c r="CT11" s="26"/>
      <c r="CU11" s="29"/>
      <c r="CV11" s="28">
        <v>1</v>
      </c>
      <c r="CW11" s="26">
        <v>1</v>
      </c>
      <c r="CX11" s="26"/>
      <c r="CY11" s="29"/>
      <c r="CZ11" s="28"/>
      <c r="DA11" s="26"/>
      <c r="DB11" s="26"/>
      <c r="DC11" s="29"/>
    </row>
    <row r="12" spans="1:107" ht="19.899999999999999" customHeight="1" x14ac:dyDescent="0.25">
      <c r="A12" s="190"/>
      <c r="B12" s="154" t="str">
        <f>Jugadores!F11</f>
        <v>Omar Salazar</v>
      </c>
      <c r="C12" s="155"/>
      <c r="D12" s="24">
        <f t="shared" si="0"/>
        <v>2</v>
      </c>
      <c r="E12" s="24">
        <f t="shared" si="1"/>
        <v>0</v>
      </c>
      <c r="F12" s="115">
        <f t="shared" si="2"/>
        <v>0</v>
      </c>
      <c r="G12" s="115">
        <f t="shared" si="3"/>
        <v>0</v>
      </c>
      <c r="H12" s="28">
        <v>2</v>
      </c>
      <c r="I12" s="26"/>
      <c r="J12" s="26"/>
      <c r="K12" s="29"/>
      <c r="L12" s="28"/>
      <c r="M12" s="26"/>
      <c r="N12" s="26"/>
      <c r="O12" s="29"/>
      <c r="P12" s="28"/>
      <c r="Q12" s="26"/>
      <c r="R12" s="26"/>
      <c r="S12" s="29"/>
      <c r="T12" s="28"/>
      <c r="U12" s="26"/>
      <c r="V12" s="26"/>
      <c r="W12" s="29"/>
      <c r="X12" s="28"/>
      <c r="Y12" s="26"/>
      <c r="Z12" s="26"/>
      <c r="AA12" s="29"/>
      <c r="AB12" s="28"/>
      <c r="AC12" s="26"/>
      <c r="AD12" s="26"/>
      <c r="AE12" s="29"/>
      <c r="AF12" s="28"/>
      <c r="AG12" s="26"/>
      <c r="AH12" s="26"/>
      <c r="AI12" s="29"/>
      <c r="AJ12" s="28"/>
      <c r="AK12" s="26"/>
      <c r="AL12" s="26"/>
      <c r="AM12" s="29"/>
      <c r="AN12" s="28"/>
      <c r="AO12" s="26"/>
      <c r="AP12" s="26"/>
      <c r="AQ12" s="29"/>
      <c r="AR12" s="28"/>
      <c r="AS12" s="26"/>
      <c r="AT12" s="26"/>
      <c r="AU12" s="29"/>
      <c r="AV12" s="28"/>
      <c r="AW12" s="26"/>
      <c r="AX12" s="26"/>
      <c r="AY12" s="29"/>
      <c r="AZ12" s="28"/>
      <c r="BA12" s="26"/>
      <c r="BB12" s="26"/>
      <c r="BC12" s="29"/>
      <c r="BD12" s="28"/>
      <c r="BE12" s="26"/>
      <c r="BF12" s="26"/>
      <c r="BG12" s="29"/>
      <c r="BH12" s="28"/>
      <c r="BI12" s="26"/>
      <c r="BJ12" s="26"/>
      <c r="BK12" s="29"/>
      <c r="BL12" s="28"/>
      <c r="BM12" s="26"/>
      <c r="BN12" s="26"/>
      <c r="BO12" s="29"/>
      <c r="BP12" s="28"/>
      <c r="BQ12" s="26"/>
      <c r="BR12" s="26"/>
      <c r="BS12" s="29"/>
      <c r="BT12" s="28"/>
      <c r="BU12" s="26"/>
      <c r="BV12" s="26"/>
      <c r="BW12" s="29"/>
      <c r="BX12" s="28"/>
      <c r="BY12" s="26"/>
      <c r="BZ12" s="26"/>
      <c r="CA12" s="29"/>
      <c r="CB12" s="28"/>
      <c r="CC12" s="26"/>
      <c r="CD12" s="26"/>
      <c r="CE12" s="29"/>
      <c r="CF12" s="28"/>
      <c r="CG12" s="26"/>
      <c r="CH12" s="26"/>
      <c r="CI12" s="29"/>
      <c r="CJ12" s="28"/>
      <c r="CK12" s="26"/>
      <c r="CL12" s="26"/>
      <c r="CM12" s="29"/>
      <c r="CN12" s="28"/>
      <c r="CO12" s="26"/>
      <c r="CP12" s="26"/>
      <c r="CQ12" s="29"/>
      <c r="CR12" s="28"/>
      <c r="CS12" s="26"/>
      <c r="CT12" s="26"/>
      <c r="CU12" s="29"/>
      <c r="CV12" s="28"/>
      <c r="CW12" s="26"/>
      <c r="CX12" s="26"/>
      <c r="CY12" s="29"/>
      <c r="CZ12" s="28"/>
      <c r="DA12" s="26"/>
      <c r="DB12" s="26"/>
      <c r="DC12" s="29"/>
    </row>
    <row r="13" spans="1:107" ht="19.899999999999999" customHeight="1" x14ac:dyDescent="0.25">
      <c r="A13" s="190"/>
      <c r="B13" s="154" t="str">
        <f>Jugadores!F12</f>
        <v>Dany Gaviria</v>
      </c>
      <c r="C13" s="155"/>
      <c r="D13" s="24">
        <f t="shared" si="0"/>
        <v>18</v>
      </c>
      <c r="E13" s="24">
        <f t="shared" si="1"/>
        <v>2</v>
      </c>
      <c r="F13" s="115">
        <f t="shared" si="2"/>
        <v>0</v>
      </c>
      <c r="G13" s="115">
        <f t="shared" si="3"/>
        <v>0</v>
      </c>
      <c r="H13" s="28"/>
      <c r="I13" s="26"/>
      <c r="J13" s="26"/>
      <c r="K13" s="29"/>
      <c r="L13" s="28">
        <v>1</v>
      </c>
      <c r="M13" s="26"/>
      <c r="N13" s="26"/>
      <c r="O13" s="29"/>
      <c r="P13" s="28"/>
      <c r="Q13" s="26"/>
      <c r="R13" s="26"/>
      <c r="S13" s="29"/>
      <c r="T13" s="28">
        <v>1</v>
      </c>
      <c r="U13" s="26"/>
      <c r="V13" s="26"/>
      <c r="W13" s="29"/>
      <c r="X13" s="28">
        <v>1</v>
      </c>
      <c r="Y13" s="26"/>
      <c r="Z13" s="26"/>
      <c r="AA13" s="29"/>
      <c r="AB13" s="28">
        <v>1</v>
      </c>
      <c r="AC13" s="26"/>
      <c r="AD13" s="26"/>
      <c r="AE13" s="29"/>
      <c r="AF13" s="28">
        <v>2</v>
      </c>
      <c r="AG13" s="26"/>
      <c r="AH13" s="26"/>
      <c r="AI13" s="29"/>
      <c r="AJ13" s="28"/>
      <c r="AK13" s="26"/>
      <c r="AL13" s="26"/>
      <c r="AM13" s="29"/>
      <c r="AN13" s="28">
        <v>1</v>
      </c>
      <c r="AO13" s="26"/>
      <c r="AP13" s="26"/>
      <c r="AQ13" s="29"/>
      <c r="AR13" s="28">
        <v>2</v>
      </c>
      <c r="AS13" s="26">
        <v>1</v>
      </c>
      <c r="AT13" s="26"/>
      <c r="AU13" s="29"/>
      <c r="AV13" s="28"/>
      <c r="AW13" s="26"/>
      <c r="AX13" s="26"/>
      <c r="AY13" s="29"/>
      <c r="AZ13" s="28">
        <v>2</v>
      </c>
      <c r="BA13" s="26"/>
      <c r="BB13" s="26"/>
      <c r="BC13" s="29"/>
      <c r="BD13" s="28"/>
      <c r="BE13" s="26"/>
      <c r="BF13" s="26"/>
      <c r="BG13" s="29"/>
      <c r="BH13" s="28"/>
      <c r="BI13" s="26"/>
      <c r="BJ13" s="26"/>
      <c r="BK13" s="29"/>
      <c r="BL13" s="28"/>
      <c r="BM13" s="26"/>
      <c r="BN13" s="26"/>
      <c r="BO13" s="29"/>
      <c r="BP13" s="28">
        <v>4</v>
      </c>
      <c r="BQ13" s="26"/>
      <c r="BR13" s="26"/>
      <c r="BS13" s="29"/>
      <c r="BT13" s="28"/>
      <c r="BU13" s="26">
        <v>1</v>
      </c>
      <c r="BV13" s="26"/>
      <c r="BW13" s="29"/>
      <c r="BX13" s="28"/>
      <c r="BY13" s="26"/>
      <c r="BZ13" s="26"/>
      <c r="CA13" s="29"/>
      <c r="CB13" s="28"/>
      <c r="CC13" s="26"/>
      <c r="CD13" s="26"/>
      <c r="CE13" s="29"/>
      <c r="CF13" s="28"/>
      <c r="CG13" s="26"/>
      <c r="CH13" s="26"/>
      <c r="CI13" s="29"/>
      <c r="CJ13" s="28"/>
      <c r="CK13" s="26"/>
      <c r="CL13" s="26"/>
      <c r="CM13" s="29"/>
      <c r="CN13" s="28">
        <v>1</v>
      </c>
      <c r="CO13" s="26"/>
      <c r="CP13" s="26"/>
      <c r="CQ13" s="29"/>
      <c r="CR13" s="28">
        <v>1</v>
      </c>
      <c r="CS13" s="26"/>
      <c r="CT13" s="26"/>
      <c r="CU13" s="29"/>
      <c r="CV13" s="28">
        <v>1</v>
      </c>
      <c r="CW13" s="26"/>
      <c r="CX13" s="26"/>
      <c r="CY13" s="29"/>
      <c r="CZ13" s="28"/>
      <c r="DA13" s="26"/>
      <c r="DB13" s="26"/>
      <c r="DC13" s="29"/>
    </row>
    <row r="14" spans="1:107" ht="19.899999999999999" customHeight="1" x14ac:dyDescent="0.25">
      <c r="A14" s="190"/>
      <c r="B14" s="154" t="str">
        <f>Jugadores!F13</f>
        <v>Duvan Lara</v>
      </c>
      <c r="C14" s="155"/>
      <c r="D14" s="24">
        <f t="shared" si="0"/>
        <v>0</v>
      </c>
      <c r="E14" s="24">
        <f t="shared" si="1"/>
        <v>0</v>
      </c>
      <c r="F14" s="115">
        <f t="shared" si="2"/>
        <v>0</v>
      </c>
      <c r="G14" s="115">
        <f t="shared" si="3"/>
        <v>0</v>
      </c>
      <c r="H14" s="28"/>
      <c r="I14" s="26"/>
      <c r="J14" s="26"/>
      <c r="K14" s="29"/>
      <c r="L14" s="28"/>
      <c r="M14" s="26"/>
      <c r="N14" s="26"/>
      <c r="O14" s="29"/>
      <c r="P14" s="28"/>
      <c r="Q14" s="26"/>
      <c r="R14" s="26"/>
      <c r="S14" s="29"/>
      <c r="T14" s="28"/>
      <c r="U14" s="26"/>
      <c r="V14" s="26"/>
      <c r="W14" s="29"/>
      <c r="X14" s="28"/>
      <c r="Y14" s="26"/>
      <c r="Z14" s="26"/>
      <c r="AA14" s="29"/>
      <c r="AB14" s="28"/>
      <c r="AC14" s="26"/>
      <c r="AD14" s="26"/>
      <c r="AE14" s="29"/>
      <c r="AF14" s="28"/>
      <c r="AG14" s="26"/>
      <c r="AH14" s="26"/>
      <c r="AI14" s="29"/>
      <c r="AJ14" s="28"/>
      <c r="AK14" s="26"/>
      <c r="AL14" s="26"/>
      <c r="AM14" s="29"/>
      <c r="AN14" s="28"/>
      <c r="AO14" s="26"/>
      <c r="AP14" s="26"/>
      <c r="AQ14" s="29"/>
      <c r="AR14" s="28"/>
      <c r="AS14" s="26"/>
      <c r="AT14" s="26"/>
      <c r="AU14" s="29"/>
      <c r="AV14" s="28"/>
      <c r="AW14" s="26"/>
      <c r="AX14" s="26"/>
      <c r="AY14" s="29"/>
      <c r="AZ14" s="28"/>
      <c r="BA14" s="26"/>
      <c r="BB14" s="26"/>
      <c r="BC14" s="29"/>
      <c r="BD14" s="28"/>
      <c r="BE14" s="26"/>
      <c r="BF14" s="26"/>
      <c r="BG14" s="29"/>
      <c r="BH14" s="28"/>
      <c r="BI14" s="26"/>
      <c r="BJ14" s="26"/>
      <c r="BK14" s="29"/>
      <c r="BL14" s="28"/>
      <c r="BM14" s="26"/>
      <c r="BN14" s="26"/>
      <c r="BO14" s="29"/>
      <c r="BP14" s="28"/>
      <c r="BQ14" s="26"/>
      <c r="BR14" s="26"/>
      <c r="BS14" s="29"/>
      <c r="BT14" s="28"/>
      <c r="BU14" s="26"/>
      <c r="BV14" s="26"/>
      <c r="BW14" s="29"/>
      <c r="BX14" s="28"/>
      <c r="BY14" s="26"/>
      <c r="BZ14" s="26"/>
      <c r="CA14" s="29"/>
      <c r="CB14" s="28"/>
      <c r="CC14" s="26"/>
      <c r="CD14" s="26"/>
      <c r="CE14" s="29"/>
      <c r="CF14" s="28"/>
      <c r="CG14" s="26"/>
      <c r="CH14" s="26"/>
      <c r="CI14" s="29"/>
      <c r="CJ14" s="28"/>
      <c r="CK14" s="26"/>
      <c r="CL14" s="26"/>
      <c r="CM14" s="29"/>
      <c r="CN14" s="28"/>
      <c r="CO14" s="26"/>
      <c r="CP14" s="26"/>
      <c r="CQ14" s="29"/>
      <c r="CR14" s="28"/>
      <c r="CS14" s="26"/>
      <c r="CT14" s="26"/>
      <c r="CU14" s="29"/>
      <c r="CV14" s="28"/>
      <c r="CW14" s="26"/>
      <c r="CX14" s="26"/>
      <c r="CY14" s="29"/>
      <c r="CZ14" s="28"/>
      <c r="DA14" s="26"/>
      <c r="DB14" s="26"/>
      <c r="DC14" s="29"/>
    </row>
    <row r="15" spans="1:107" ht="19.899999999999999" customHeight="1" x14ac:dyDescent="0.25">
      <c r="A15" s="190"/>
      <c r="B15" s="154" t="str">
        <f>Jugadores!F14</f>
        <v>Robin Rodríguez</v>
      </c>
      <c r="C15" s="155"/>
      <c r="D15" s="24">
        <f t="shared" si="0"/>
        <v>0</v>
      </c>
      <c r="E15" s="24">
        <f t="shared" si="1"/>
        <v>0</v>
      </c>
      <c r="F15" s="115">
        <f t="shared" si="2"/>
        <v>0</v>
      </c>
      <c r="G15" s="115">
        <f t="shared" si="3"/>
        <v>0</v>
      </c>
      <c r="H15" s="28"/>
      <c r="I15" s="26"/>
      <c r="J15" s="26"/>
      <c r="K15" s="29"/>
      <c r="L15" s="28"/>
      <c r="M15" s="26"/>
      <c r="N15" s="26"/>
      <c r="O15" s="29"/>
      <c r="P15" s="28"/>
      <c r="Q15" s="26"/>
      <c r="R15" s="26"/>
      <c r="S15" s="29"/>
      <c r="T15" s="28"/>
      <c r="U15" s="26"/>
      <c r="V15" s="26"/>
      <c r="W15" s="29"/>
      <c r="X15" s="28"/>
      <c r="Y15" s="26"/>
      <c r="Z15" s="26"/>
      <c r="AA15" s="29"/>
      <c r="AB15" s="28"/>
      <c r="AC15" s="26"/>
      <c r="AD15" s="26"/>
      <c r="AE15" s="29"/>
      <c r="AF15" s="28"/>
      <c r="AG15" s="26"/>
      <c r="AH15" s="26"/>
      <c r="AI15" s="29"/>
      <c r="AJ15" s="28"/>
      <c r="AK15" s="26"/>
      <c r="AL15" s="26"/>
      <c r="AM15" s="29"/>
      <c r="AN15" s="28"/>
      <c r="AO15" s="26"/>
      <c r="AP15" s="26"/>
      <c r="AQ15" s="29"/>
      <c r="AR15" s="28"/>
      <c r="AS15" s="26"/>
      <c r="AT15" s="26"/>
      <c r="AU15" s="29"/>
      <c r="AV15" s="28"/>
      <c r="AW15" s="26"/>
      <c r="AX15" s="26"/>
      <c r="AY15" s="29"/>
      <c r="AZ15" s="28"/>
      <c r="BA15" s="26"/>
      <c r="BB15" s="26"/>
      <c r="BC15" s="29"/>
      <c r="BD15" s="28"/>
      <c r="BE15" s="26"/>
      <c r="BF15" s="26"/>
      <c r="BG15" s="29"/>
      <c r="BH15" s="28"/>
      <c r="BI15" s="26"/>
      <c r="BJ15" s="26"/>
      <c r="BK15" s="29"/>
      <c r="BL15" s="28"/>
      <c r="BM15" s="26"/>
      <c r="BN15" s="26"/>
      <c r="BO15" s="29"/>
      <c r="BP15" s="28"/>
      <c r="BQ15" s="26"/>
      <c r="BR15" s="26"/>
      <c r="BS15" s="29"/>
      <c r="BT15" s="28"/>
      <c r="BU15" s="26"/>
      <c r="BV15" s="26"/>
      <c r="BW15" s="29"/>
      <c r="BX15" s="28"/>
      <c r="BY15" s="26"/>
      <c r="BZ15" s="26"/>
      <c r="CA15" s="29"/>
      <c r="CB15" s="28"/>
      <c r="CC15" s="26"/>
      <c r="CD15" s="26"/>
      <c r="CE15" s="29"/>
      <c r="CF15" s="28"/>
      <c r="CG15" s="26"/>
      <c r="CH15" s="26"/>
      <c r="CI15" s="29"/>
      <c r="CJ15" s="28"/>
      <c r="CK15" s="26"/>
      <c r="CL15" s="26"/>
      <c r="CM15" s="29"/>
      <c r="CN15" s="28"/>
      <c r="CO15" s="26"/>
      <c r="CP15" s="26"/>
      <c r="CQ15" s="29"/>
      <c r="CR15" s="28"/>
      <c r="CS15" s="26"/>
      <c r="CT15" s="26"/>
      <c r="CU15" s="29"/>
      <c r="CV15" s="28"/>
      <c r="CW15" s="26"/>
      <c r="CX15" s="26"/>
      <c r="CY15" s="29"/>
      <c r="CZ15" s="28"/>
      <c r="DA15" s="26"/>
      <c r="DB15" s="26"/>
      <c r="DC15" s="29"/>
    </row>
    <row r="16" spans="1:107" ht="19.899999999999999" customHeight="1" x14ac:dyDescent="0.25">
      <c r="A16" s="190"/>
      <c r="B16" s="154" t="str">
        <f>Jugadores!F15</f>
        <v>Wilmar García</v>
      </c>
      <c r="C16" s="155"/>
      <c r="D16" s="24">
        <f t="shared" si="0"/>
        <v>5</v>
      </c>
      <c r="E16" s="24">
        <f t="shared" si="1"/>
        <v>0</v>
      </c>
      <c r="F16" s="115">
        <f t="shared" si="2"/>
        <v>0</v>
      </c>
      <c r="G16" s="115">
        <f t="shared" si="3"/>
        <v>0</v>
      </c>
      <c r="H16" s="28"/>
      <c r="I16" s="26"/>
      <c r="J16" s="26"/>
      <c r="K16" s="29"/>
      <c r="L16" s="28"/>
      <c r="M16" s="26"/>
      <c r="N16" s="26"/>
      <c r="O16" s="29"/>
      <c r="P16" s="28"/>
      <c r="Q16" s="26"/>
      <c r="R16" s="26"/>
      <c r="S16" s="29"/>
      <c r="T16" s="28">
        <v>1</v>
      </c>
      <c r="U16" s="26"/>
      <c r="V16" s="26"/>
      <c r="W16" s="29"/>
      <c r="X16" s="28"/>
      <c r="Y16" s="26"/>
      <c r="Z16" s="26"/>
      <c r="AA16" s="29"/>
      <c r="AB16" s="28"/>
      <c r="AC16" s="26"/>
      <c r="AD16" s="26"/>
      <c r="AE16" s="29"/>
      <c r="AF16" s="28"/>
      <c r="AG16" s="26"/>
      <c r="AH16" s="26"/>
      <c r="AI16" s="29"/>
      <c r="AJ16" s="28"/>
      <c r="AK16" s="26"/>
      <c r="AL16" s="26"/>
      <c r="AM16" s="29"/>
      <c r="AN16" s="28"/>
      <c r="AO16" s="26"/>
      <c r="AP16" s="26"/>
      <c r="AQ16" s="29"/>
      <c r="AR16" s="28"/>
      <c r="AS16" s="26"/>
      <c r="AT16" s="26"/>
      <c r="AU16" s="29"/>
      <c r="AV16" s="28"/>
      <c r="AW16" s="26"/>
      <c r="AX16" s="26"/>
      <c r="AY16" s="29"/>
      <c r="AZ16" s="28"/>
      <c r="BA16" s="26"/>
      <c r="BB16" s="26"/>
      <c r="BC16" s="29"/>
      <c r="BD16" s="28"/>
      <c r="BE16" s="26"/>
      <c r="BF16" s="26"/>
      <c r="BG16" s="29"/>
      <c r="BH16" s="28"/>
      <c r="BI16" s="26"/>
      <c r="BJ16" s="26"/>
      <c r="BK16" s="29"/>
      <c r="BL16" s="28"/>
      <c r="BM16" s="26"/>
      <c r="BN16" s="26"/>
      <c r="BO16" s="29"/>
      <c r="BP16" s="28"/>
      <c r="BQ16" s="26"/>
      <c r="BR16" s="26"/>
      <c r="BS16" s="29"/>
      <c r="BT16" s="28"/>
      <c r="BU16" s="26"/>
      <c r="BV16" s="26"/>
      <c r="BW16" s="29"/>
      <c r="BX16" s="28">
        <v>3</v>
      </c>
      <c r="BY16" s="26"/>
      <c r="BZ16" s="26"/>
      <c r="CA16" s="29"/>
      <c r="CB16" s="28"/>
      <c r="CC16" s="26"/>
      <c r="CD16" s="26"/>
      <c r="CE16" s="29"/>
      <c r="CF16" s="28">
        <v>1</v>
      </c>
      <c r="CG16" s="26"/>
      <c r="CH16" s="26"/>
      <c r="CI16" s="29"/>
      <c r="CJ16" s="28"/>
      <c r="CK16" s="26"/>
      <c r="CL16" s="26"/>
      <c r="CM16" s="29"/>
      <c r="CN16" s="28"/>
      <c r="CO16" s="26"/>
      <c r="CP16" s="26"/>
      <c r="CQ16" s="29"/>
      <c r="CR16" s="28"/>
      <c r="CS16" s="26"/>
      <c r="CT16" s="26"/>
      <c r="CU16" s="29"/>
      <c r="CV16" s="28"/>
      <c r="CW16" s="26"/>
      <c r="CX16" s="26"/>
      <c r="CY16" s="29"/>
      <c r="CZ16" s="28"/>
      <c r="DA16" s="26"/>
      <c r="DB16" s="26"/>
      <c r="DC16" s="29"/>
    </row>
    <row r="17" spans="1:107" ht="19.899999999999999" customHeight="1" x14ac:dyDescent="0.25">
      <c r="A17" s="190"/>
      <c r="B17" s="154" t="str">
        <f>Jugadores!F16</f>
        <v>Camilo Zapata</v>
      </c>
      <c r="C17" s="155"/>
      <c r="D17" s="24">
        <f t="shared" si="0"/>
        <v>0</v>
      </c>
      <c r="E17" s="24">
        <f t="shared" si="1"/>
        <v>1</v>
      </c>
      <c r="F17" s="115">
        <f t="shared" si="2"/>
        <v>0</v>
      </c>
      <c r="G17" s="115">
        <f t="shared" si="3"/>
        <v>0</v>
      </c>
      <c r="H17" s="28"/>
      <c r="I17" s="26"/>
      <c r="J17" s="26"/>
      <c r="K17" s="29"/>
      <c r="L17" s="28"/>
      <c r="M17" s="26"/>
      <c r="N17" s="26"/>
      <c r="O17" s="29"/>
      <c r="P17" s="28"/>
      <c r="Q17" s="26"/>
      <c r="R17" s="26"/>
      <c r="S17" s="29"/>
      <c r="T17" s="28"/>
      <c r="U17" s="26"/>
      <c r="V17" s="26"/>
      <c r="W17" s="29"/>
      <c r="X17" s="28"/>
      <c r="Y17" s="26"/>
      <c r="Z17" s="26"/>
      <c r="AA17" s="29"/>
      <c r="AB17" s="28"/>
      <c r="AC17" s="26"/>
      <c r="AD17" s="26"/>
      <c r="AE17" s="29"/>
      <c r="AF17" s="28"/>
      <c r="AG17" s="26"/>
      <c r="AH17" s="26"/>
      <c r="AI17" s="29"/>
      <c r="AJ17" s="28"/>
      <c r="AK17" s="26"/>
      <c r="AL17" s="26"/>
      <c r="AM17" s="29"/>
      <c r="AN17" s="28"/>
      <c r="AO17" s="26"/>
      <c r="AP17" s="26"/>
      <c r="AQ17" s="29"/>
      <c r="AR17" s="28"/>
      <c r="AS17" s="26"/>
      <c r="AT17" s="26"/>
      <c r="AU17" s="29"/>
      <c r="AV17" s="28"/>
      <c r="AW17" s="26"/>
      <c r="AX17" s="26"/>
      <c r="AY17" s="29"/>
      <c r="AZ17" s="28"/>
      <c r="BA17" s="26"/>
      <c r="BB17" s="26"/>
      <c r="BC17" s="29"/>
      <c r="BD17" s="28"/>
      <c r="BE17" s="26"/>
      <c r="BF17" s="26"/>
      <c r="BG17" s="29"/>
      <c r="BH17" s="28"/>
      <c r="BI17" s="26"/>
      <c r="BJ17" s="26"/>
      <c r="BK17" s="29"/>
      <c r="BL17" s="28"/>
      <c r="BM17" s="26"/>
      <c r="BN17" s="26"/>
      <c r="BO17" s="29"/>
      <c r="BP17" s="28"/>
      <c r="BQ17" s="26">
        <v>1</v>
      </c>
      <c r="BR17" s="26"/>
      <c r="BS17" s="29"/>
      <c r="BT17" s="28"/>
      <c r="BU17" s="26"/>
      <c r="BV17" s="26"/>
      <c r="BW17" s="29"/>
      <c r="BX17" s="28"/>
      <c r="BY17" s="26"/>
      <c r="BZ17" s="26"/>
      <c r="CA17" s="29"/>
      <c r="CB17" s="28"/>
      <c r="CC17" s="26"/>
      <c r="CD17" s="26"/>
      <c r="CE17" s="29"/>
      <c r="CF17" s="28"/>
      <c r="CG17" s="26"/>
      <c r="CH17" s="26"/>
      <c r="CI17" s="29"/>
      <c r="CJ17" s="28"/>
      <c r="CK17" s="26"/>
      <c r="CL17" s="26"/>
      <c r="CM17" s="29"/>
      <c r="CN17" s="28"/>
      <c r="CO17" s="26"/>
      <c r="CP17" s="26"/>
      <c r="CQ17" s="29"/>
      <c r="CR17" s="28"/>
      <c r="CS17" s="26"/>
      <c r="CT17" s="26"/>
      <c r="CU17" s="29"/>
      <c r="CV17" s="28"/>
      <c r="CW17" s="26"/>
      <c r="CX17" s="26"/>
      <c r="CY17" s="29"/>
      <c r="CZ17" s="28"/>
      <c r="DA17" s="26"/>
      <c r="DB17" s="26"/>
      <c r="DC17" s="29"/>
    </row>
    <row r="18" spans="1:107" ht="19.899999999999999" customHeight="1" x14ac:dyDescent="0.25">
      <c r="A18" s="191"/>
      <c r="B18" s="156" t="str">
        <f>Jugadores!F17</f>
        <v>Diego Patiño</v>
      </c>
      <c r="C18" s="157"/>
      <c r="D18" s="24">
        <f t="shared" si="0"/>
        <v>1</v>
      </c>
      <c r="E18" s="24">
        <f t="shared" si="1"/>
        <v>2</v>
      </c>
      <c r="F18" s="115">
        <f t="shared" si="2"/>
        <v>0</v>
      </c>
      <c r="G18" s="115">
        <f t="shared" si="3"/>
        <v>0</v>
      </c>
      <c r="H18" s="28"/>
      <c r="I18" s="26"/>
      <c r="J18" s="26"/>
      <c r="K18" s="29"/>
      <c r="L18" s="28"/>
      <c r="M18" s="26">
        <v>1</v>
      </c>
      <c r="N18" s="26"/>
      <c r="O18" s="29"/>
      <c r="P18" s="28"/>
      <c r="Q18" s="26"/>
      <c r="R18" s="26"/>
      <c r="S18" s="29"/>
      <c r="T18" s="28"/>
      <c r="U18" s="26"/>
      <c r="V18" s="26"/>
      <c r="W18" s="29"/>
      <c r="X18" s="28"/>
      <c r="Y18" s="26">
        <v>1</v>
      </c>
      <c r="Z18" s="26"/>
      <c r="AA18" s="29"/>
      <c r="AB18" s="28"/>
      <c r="AC18" s="26"/>
      <c r="AD18" s="26"/>
      <c r="AE18" s="29"/>
      <c r="AF18" s="28"/>
      <c r="AG18" s="26"/>
      <c r="AH18" s="26"/>
      <c r="AI18" s="29"/>
      <c r="AJ18" s="28"/>
      <c r="AK18" s="26"/>
      <c r="AL18" s="26"/>
      <c r="AM18" s="29"/>
      <c r="AN18" s="28"/>
      <c r="AO18" s="26"/>
      <c r="AP18" s="26"/>
      <c r="AQ18" s="29"/>
      <c r="AR18" s="28"/>
      <c r="AS18" s="26"/>
      <c r="AT18" s="26"/>
      <c r="AU18" s="29"/>
      <c r="AV18" s="28"/>
      <c r="AW18" s="26"/>
      <c r="AX18" s="26"/>
      <c r="AY18" s="29"/>
      <c r="AZ18" s="28"/>
      <c r="BA18" s="26"/>
      <c r="BB18" s="26"/>
      <c r="BC18" s="29"/>
      <c r="BD18" s="28"/>
      <c r="BE18" s="26"/>
      <c r="BF18" s="26"/>
      <c r="BG18" s="29"/>
      <c r="BH18" s="28">
        <v>1</v>
      </c>
      <c r="BI18" s="26"/>
      <c r="BJ18" s="26"/>
      <c r="BK18" s="29"/>
      <c r="BL18" s="28"/>
      <c r="BM18" s="26"/>
      <c r="BN18" s="26"/>
      <c r="BO18" s="29"/>
      <c r="BP18" s="28"/>
      <c r="BQ18" s="26"/>
      <c r="BR18" s="26"/>
      <c r="BS18" s="29"/>
      <c r="BT18" s="28"/>
      <c r="BU18" s="26"/>
      <c r="BV18" s="26"/>
      <c r="BW18" s="29"/>
      <c r="BX18" s="28"/>
      <c r="BY18" s="26"/>
      <c r="BZ18" s="26"/>
      <c r="CA18" s="29"/>
      <c r="CB18" s="28"/>
      <c r="CC18" s="26"/>
      <c r="CD18" s="26"/>
      <c r="CE18" s="29"/>
      <c r="CF18" s="28"/>
      <c r="CG18" s="26"/>
      <c r="CH18" s="26"/>
      <c r="CI18" s="29"/>
      <c r="CJ18" s="28"/>
      <c r="CK18" s="26"/>
      <c r="CL18" s="26"/>
      <c r="CM18" s="29"/>
      <c r="CN18" s="28"/>
      <c r="CO18" s="26"/>
      <c r="CP18" s="26"/>
      <c r="CQ18" s="29"/>
      <c r="CR18" s="28"/>
      <c r="CS18" s="26"/>
      <c r="CT18" s="26"/>
      <c r="CU18" s="29"/>
      <c r="CV18" s="28"/>
      <c r="CW18" s="26"/>
      <c r="CX18" s="26"/>
      <c r="CY18" s="29"/>
      <c r="CZ18" s="28"/>
      <c r="DA18" s="26"/>
      <c r="DB18" s="26"/>
      <c r="DC18" s="29"/>
    </row>
    <row r="19" spans="1:107" ht="14.45" customHeight="1" x14ac:dyDescent="0.25">
      <c r="B19" s="158" t="s">
        <v>105</v>
      </c>
      <c r="C19" s="159"/>
      <c r="D19" s="160"/>
      <c r="E19" s="160"/>
      <c r="F19" s="160"/>
      <c r="G19" s="160"/>
      <c r="H19" s="28"/>
      <c r="I19" s="26"/>
      <c r="J19" s="26"/>
      <c r="K19" s="29"/>
      <c r="L19" s="28"/>
      <c r="M19" s="26"/>
      <c r="N19" s="26"/>
      <c r="O19" s="29"/>
      <c r="P19" s="28"/>
      <c r="Q19" s="26"/>
      <c r="R19" s="26"/>
      <c r="S19" s="29"/>
      <c r="T19" s="28"/>
      <c r="U19" s="26"/>
      <c r="V19" s="26"/>
      <c r="W19" s="29"/>
      <c r="X19" s="28"/>
      <c r="Y19" s="26"/>
      <c r="Z19" s="26"/>
      <c r="AA19" s="29"/>
      <c r="AB19" s="28"/>
      <c r="AC19" s="26"/>
      <c r="AD19" s="26"/>
      <c r="AE19" s="29"/>
      <c r="AF19" s="28"/>
      <c r="AG19" s="26"/>
      <c r="AH19" s="26"/>
      <c r="AI19" s="29"/>
      <c r="AJ19" s="28"/>
      <c r="AK19" s="26"/>
      <c r="AL19" s="26"/>
      <c r="AM19" s="29"/>
      <c r="AN19" s="28"/>
      <c r="AO19" s="26"/>
      <c r="AP19" s="26"/>
      <c r="AQ19" s="29"/>
      <c r="AR19" s="28"/>
      <c r="AS19" s="26"/>
      <c r="AT19" s="26"/>
      <c r="AU19" s="29"/>
      <c r="AV19" s="28"/>
      <c r="AW19" s="26"/>
      <c r="AX19" s="26"/>
      <c r="AY19" s="29"/>
      <c r="AZ19" s="28"/>
      <c r="BA19" s="26"/>
      <c r="BB19" s="26"/>
      <c r="BC19" s="29"/>
      <c r="BD19" s="28"/>
      <c r="BE19" s="26"/>
      <c r="BF19" s="26"/>
      <c r="BG19" s="29"/>
      <c r="BH19" s="28"/>
      <c r="BI19" s="26"/>
      <c r="BJ19" s="26"/>
      <c r="BK19" s="29"/>
      <c r="BL19" s="28"/>
      <c r="BM19" s="26"/>
      <c r="BN19" s="26"/>
      <c r="BO19" s="29"/>
      <c r="BP19" s="28"/>
      <c r="BQ19" s="26"/>
      <c r="BR19" s="26"/>
      <c r="BS19" s="29"/>
      <c r="BT19" s="28"/>
      <c r="BU19" s="26"/>
      <c r="BV19" s="26"/>
      <c r="BW19" s="29"/>
      <c r="BX19" s="28"/>
      <c r="BY19" s="26"/>
      <c r="BZ19" s="26"/>
      <c r="CA19" s="29"/>
      <c r="CB19" s="28">
        <v>2</v>
      </c>
      <c r="CC19" s="26"/>
      <c r="CD19" s="26"/>
      <c r="CE19" s="29"/>
      <c r="CF19" s="28"/>
      <c r="CG19" s="26"/>
      <c r="CH19" s="26"/>
      <c r="CI19" s="29"/>
      <c r="CJ19" s="28"/>
      <c r="CK19" s="26"/>
      <c r="CL19" s="26"/>
      <c r="CM19" s="29"/>
      <c r="CN19" s="28"/>
      <c r="CO19" s="26"/>
      <c r="CP19" s="26"/>
      <c r="CQ19" s="29"/>
      <c r="CR19" s="28">
        <v>1</v>
      </c>
      <c r="CS19" s="26"/>
      <c r="CT19" s="26"/>
      <c r="CU19" s="29"/>
      <c r="CV19" s="28">
        <v>1</v>
      </c>
      <c r="CW19" s="26"/>
      <c r="CX19" s="26"/>
      <c r="CY19" s="29"/>
      <c r="CZ19" s="28"/>
      <c r="DA19" s="26"/>
      <c r="DB19" s="26"/>
      <c r="DC19" s="29"/>
    </row>
    <row r="20" spans="1:107" x14ac:dyDescent="0.25">
      <c r="B20" s="158" t="s">
        <v>104</v>
      </c>
      <c r="C20" s="159"/>
      <c r="D20" s="159"/>
      <c r="E20" s="159"/>
      <c r="F20" s="159"/>
      <c r="G20" s="159"/>
      <c r="H20" s="28"/>
      <c r="I20" s="26"/>
      <c r="J20" s="26"/>
      <c r="K20" s="29"/>
      <c r="L20" s="28"/>
      <c r="M20" s="26"/>
      <c r="N20" s="26"/>
      <c r="O20" s="29"/>
      <c r="P20" s="28"/>
      <c r="Q20" s="26"/>
      <c r="R20" s="26"/>
      <c r="S20" s="29"/>
      <c r="T20" s="28"/>
      <c r="U20" s="26"/>
      <c r="V20" s="26"/>
      <c r="W20" s="29"/>
      <c r="X20" s="28"/>
      <c r="Y20" s="26"/>
      <c r="Z20" s="26"/>
      <c r="AA20" s="29"/>
      <c r="AB20" s="28"/>
      <c r="AC20" s="26"/>
      <c r="AD20" s="26"/>
      <c r="AE20" s="29"/>
      <c r="AF20" s="28"/>
      <c r="AG20" s="26"/>
      <c r="AH20" s="26"/>
      <c r="AI20" s="29"/>
      <c r="AJ20" s="28"/>
      <c r="AK20" s="26"/>
      <c r="AL20" s="26"/>
      <c r="AM20" s="29"/>
      <c r="AN20" s="28"/>
      <c r="AO20" s="26"/>
      <c r="AP20" s="26"/>
      <c r="AQ20" s="29"/>
      <c r="AR20" s="28"/>
      <c r="AS20" s="26"/>
      <c r="AT20" s="26"/>
      <c r="AU20" s="29"/>
      <c r="AV20" s="28"/>
      <c r="AW20" s="26"/>
      <c r="AX20" s="26"/>
      <c r="AY20" s="29"/>
      <c r="AZ20" s="28"/>
      <c r="BA20" s="26"/>
      <c r="BB20" s="26"/>
      <c r="BC20" s="29"/>
      <c r="BD20" s="28"/>
      <c r="BE20" s="26"/>
      <c r="BF20" s="26"/>
      <c r="BG20" s="29"/>
      <c r="BH20" s="28"/>
      <c r="BI20" s="26"/>
      <c r="BJ20" s="26"/>
      <c r="BK20" s="29"/>
      <c r="BL20" s="28"/>
      <c r="BM20" s="26"/>
      <c r="BN20" s="26"/>
      <c r="BO20" s="29"/>
      <c r="BP20" s="28"/>
      <c r="BQ20" s="26"/>
      <c r="BR20" s="26"/>
      <c r="BS20" s="29"/>
      <c r="BT20" s="28"/>
      <c r="BU20" s="26"/>
      <c r="BV20" s="26"/>
      <c r="BW20" s="29"/>
      <c r="BX20" s="28"/>
      <c r="BY20" s="26"/>
      <c r="BZ20" s="26"/>
      <c r="CA20" s="29"/>
      <c r="CB20" s="28"/>
      <c r="CC20" s="26"/>
      <c r="CD20" s="26"/>
      <c r="CE20" s="29"/>
      <c r="CF20" s="28"/>
      <c r="CG20" s="26"/>
      <c r="CH20" s="26"/>
      <c r="CI20" s="29"/>
      <c r="CJ20" s="28"/>
      <c r="CK20" s="26"/>
      <c r="CL20" s="26"/>
      <c r="CM20" s="29"/>
      <c r="CN20" s="28"/>
      <c r="CO20" s="26"/>
      <c r="CP20" s="26"/>
      <c r="CQ20" s="29"/>
      <c r="CR20" s="28"/>
      <c r="CS20" s="26"/>
      <c r="CT20" s="26"/>
      <c r="CU20" s="29"/>
      <c r="CV20" s="28"/>
      <c r="CW20" s="26"/>
      <c r="CX20" s="26"/>
      <c r="CY20" s="29"/>
      <c r="CZ20" s="28"/>
      <c r="DA20" s="26"/>
      <c r="DB20" s="26"/>
      <c r="DC20" s="29"/>
    </row>
    <row r="21" spans="1:107" ht="15.75" thickBot="1" x14ac:dyDescent="0.3">
      <c r="B21" s="161" t="s">
        <v>106</v>
      </c>
      <c r="C21" s="162"/>
      <c r="D21" s="162"/>
      <c r="E21" s="162"/>
      <c r="F21" s="162"/>
      <c r="G21" s="162"/>
      <c r="H21" s="30"/>
      <c r="I21" s="31"/>
      <c r="J21" s="31"/>
      <c r="K21" s="32"/>
      <c r="L21" s="30"/>
      <c r="M21" s="31"/>
      <c r="N21" s="31"/>
      <c r="O21" s="32"/>
      <c r="P21" s="30"/>
      <c r="Q21" s="31"/>
      <c r="R21" s="31"/>
      <c r="S21" s="32"/>
      <c r="T21" s="30"/>
      <c r="U21" s="31"/>
      <c r="V21" s="31"/>
      <c r="W21" s="32"/>
      <c r="X21" s="30"/>
      <c r="Y21" s="31"/>
      <c r="Z21" s="31"/>
      <c r="AA21" s="32"/>
      <c r="AB21" s="30"/>
      <c r="AC21" s="31"/>
      <c r="AD21" s="31"/>
      <c r="AE21" s="32"/>
      <c r="AF21" s="30"/>
      <c r="AG21" s="31"/>
      <c r="AH21" s="31"/>
      <c r="AI21" s="32"/>
      <c r="AJ21" s="30"/>
      <c r="AK21" s="31"/>
      <c r="AL21" s="31"/>
      <c r="AM21" s="32"/>
      <c r="AN21" s="30"/>
      <c r="AO21" s="31"/>
      <c r="AP21" s="31"/>
      <c r="AQ21" s="32"/>
      <c r="AR21" s="30"/>
      <c r="AS21" s="31"/>
      <c r="AT21" s="31"/>
      <c r="AU21" s="32"/>
      <c r="AV21" s="30"/>
      <c r="AW21" s="31"/>
      <c r="AX21" s="31"/>
      <c r="AY21" s="32"/>
      <c r="AZ21" s="30"/>
      <c r="BA21" s="31"/>
      <c r="BB21" s="31"/>
      <c r="BC21" s="32"/>
      <c r="BD21" s="30"/>
      <c r="BE21" s="31"/>
      <c r="BF21" s="31"/>
      <c r="BG21" s="32"/>
      <c r="BH21" s="30"/>
      <c r="BI21" s="31"/>
      <c r="BJ21" s="31"/>
      <c r="BK21" s="32"/>
      <c r="BL21" s="30"/>
      <c r="BM21" s="31"/>
      <c r="BN21" s="31"/>
      <c r="BO21" s="32"/>
      <c r="BP21" s="30"/>
      <c r="BQ21" s="31"/>
      <c r="BR21" s="31"/>
      <c r="BS21" s="32"/>
      <c r="BT21" s="30"/>
      <c r="BU21" s="31"/>
      <c r="BV21" s="26"/>
      <c r="BW21" s="32"/>
      <c r="BX21" s="30"/>
      <c r="BY21" s="31"/>
      <c r="BZ21" s="31"/>
      <c r="CA21" s="32"/>
      <c r="CB21" s="30"/>
      <c r="CC21" s="31"/>
      <c r="CD21" s="31"/>
      <c r="CE21" s="32"/>
      <c r="CF21" s="30"/>
      <c r="CG21" s="31"/>
      <c r="CH21" s="31"/>
      <c r="CI21" s="32"/>
      <c r="CJ21" s="30"/>
      <c r="CK21" s="31"/>
      <c r="CL21" s="31"/>
      <c r="CM21" s="32"/>
      <c r="CN21" s="30"/>
      <c r="CO21" s="31"/>
      <c r="CP21" s="31"/>
      <c r="CQ21" s="32"/>
      <c r="CR21" s="30"/>
      <c r="CS21" s="31"/>
      <c r="CT21" s="31"/>
      <c r="CU21" s="32"/>
      <c r="CV21" s="30"/>
      <c r="CW21" s="31"/>
      <c r="CX21" s="31"/>
      <c r="CY21" s="32"/>
      <c r="CZ21" s="30"/>
      <c r="DA21" s="31"/>
      <c r="DB21" s="31"/>
      <c r="DC21" s="32"/>
    </row>
    <row r="22" spans="1:107" x14ac:dyDescent="0.25">
      <c r="B22" s="3"/>
      <c r="C22" s="27"/>
      <c r="D22" s="23">
        <f>H22+L22+P22+T22+X22+AB22+AF22+AJ22+AN22+AR22+AV22+AZ22+BD22+BH22+BL22+BP22+BT22+BX22+CB22+CF22+CJ22+CN22+CR22+CV22+CZ22</f>
        <v>101</v>
      </c>
      <c r="E22" s="23">
        <f t="shared" ref="E22:G22" si="4">I22+M22+Q22+U22+Y22+AC22+AG22+AK22+AO22+AS22+AW22+BA22+BE22+BI22+BM22+BQ22+BU22+BY22+CC22+CG22+CK22+CO22+CS22+CW22+DA22</f>
        <v>19</v>
      </c>
      <c r="F22" s="23">
        <f t="shared" si="4"/>
        <v>0</v>
      </c>
      <c r="G22" s="23">
        <f t="shared" si="4"/>
        <v>0</v>
      </c>
      <c r="H22" s="33">
        <f>SUM(H4:H21)</f>
        <v>3</v>
      </c>
      <c r="I22" s="34">
        <f>SUM(I4:I18)</f>
        <v>0</v>
      </c>
      <c r="J22" s="34">
        <f>SUM(J4:J18)</f>
        <v>0</v>
      </c>
      <c r="K22" s="35">
        <f>SUM(K4:K20)</f>
        <v>0</v>
      </c>
      <c r="L22" s="33">
        <f t="shared" ref="L22" si="5">SUM(L4:L21)</f>
        <v>2</v>
      </c>
      <c r="M22" s="34">
        <f>SUM(M4:M21)</f>
        <v>1</v>
      </c>
      <c r="N22" s="34">
        <f t="shared" ref="N22" si="6">SUM(N4:N18)</f>
        <v>0</v>
      </c>
      <c r="O22" s="35">
        <f t="shared" ref="O22" si="7">SUM(O4:O20)</f>
        <v>0</v>
      </c>
      <c r="P22" s="33">
        <f t="shared" ref="P22" si="8">SUM(P4:P21)</f>
        <v>1</v>
      </c>
      <c r="Q22" s="34">
        <f>SUM(Q4:Q21)</f>
        <v>1</v>
      </c>
      <c r="R22" s="34">
        <f>SUM(R4:R21)</f>
        <v>0</v>
      </c>
      <c r="S22" s="35">
        <f>SUM(S4:S21)</f>
        <v>0</v>
      </c>
      <c r="T22" s="33">
        <f t="shared" ref="T22" si="9">SUM(T4:T21)</f>
        <v>5</v>
      </c>
      <c r="U22" s="34">
        <f t="shared" ref="U22:V22" si="10">SUM(U4:U18)</f>
        <v>1</v>
      </c>
      <c r="V22" s="34">
        <f t="shared" si="10"/>
        <v>0</v>
      </c>
      <c r="W22" s="35">
        <f t="shared" ref="W22" si="11">SUM(W4:W20)</f>
        <v>0</v>
      </c>
      <c r="X22" s="33">
        <f t="shared" ref="X22" si="12">SUM(X4:X21)</f>
        <v>8</v>
      </c>
      <c r="Y22" s="34">
        <f t="shared" ref="Y22:Z22" si="13">SUM(Y4:Y18)</f>
        <v>1</v>
      </c>
      <c r="Z22" s="34">
        <f t="shared" si="13"/>
        <v>0</v>
      </c>
      <c r="AA22" s="35">
        <f t="shared" ref="AA22" si="14">SUM(AA4:AA20)</f>
        <v>0</v>
      </c>
      <c r="AB22" s="33">
        <f t="shared" ref="AB22" si="15">SUM(AB4:AB21)</f>
        <v>9</v>
      </c>
      <c r="AC22" s="34">
        <f t="shared" ref="AC22:AD22" si="16">SUM(AC4:AC18)</f>
        <v>0</v>
      </c>
      <c r="AD22" s="34">
        <f t="shared" si="16"/>
        <v>0</v>
      </c>
      <c r="AE22" s="35">
        <f t="shared" ref="AE22" si="17">SUM(AE4:AE20)</f>
        <v>0</v>
      </c>
      <c r="AF22" s="33">
        <f t="shared" ref="AF22" si="18">SUM(AF4:AF21)</f>
        <v>5</v>
      </c>
      <c r="AG22" s="34">
        <f t="shared" ref="AG22:AH22" si="19">SUM(AG4:AG18)</f>
        <v>0</v>
      </c>
      <c r="AH22" s="34">
        <f t="shared" si="19"/>
        <v>0</v>
      </c>
      <c r="AI22" s="35">
        <f t="shared" ref="AI22" si="20">SUM(AI4:AI20)</f>
        <v>0</v>
      </c>
      <c r="AJ22" s="33">
        <f t="shared" ref="AJ22" si="21">SUM(AJ4:AJ21)</f>
        <v>0</v>
      </c>
      <c r="AK22" s="34">
        <f t="shared" ref="AK22:AL22" si="22">SUM(AK4:AK18)</f>
        <v>0</v>
      </c>
      <c r="AL22" s="34">
        <f t="shared" si="22"/>
        <v>0</v>
      </c>
      <c r="AM22" s="35">
        <f t="shared" ref="AM22" si="23">SUM(AM4:AM20)</f>
        <v>0</v>
      </c>
      <c r="AN22" s="33">
        <f t="shared" ref="AN22" si="24">SUM(AN4:AN21)</f>
        <v>3</v>
      </c>
      <c r="AO22" s="34">
        <f t="shared" ref="AO22:AP22" si="25">SUM(AO4:AO18)</f>
        <v>1</v>
      </c>
      <c r="AP22" s="34">
        <f t="shared" si="25"/>
        <v>0</v>
      </c>
      <c r="AQ22" s="35">
        <f t="shared" ref="AQ22" si="26">SUM(AQ4:AQ20)</f>
        <v>0</v>
      </c>
      <c r="AR22" s="33">
        <f t="shared" ref="AR22" si="27">SUM(AR4:AR21)</f>
        <v>7</v>
      </c>
      <c r="AS22" s="34">
        <f t="shared" ref="AS22:AT22" si="28">SUM(AS4:AS18)</f>
        <v>2</v>
      </c>
      <c r="AT22" s="34">
        <f t="shared" si="28"/>
        <v>0</v>
      </c>
      <c r="AU22" s="35">
        <f t="shared" ref="AU22" si="29">SUM(AU4:AU20)</f>
        <v>0</v>
      </c>
      <c r="AV22" s="33">
        <f t="shared" ref="AV22" si="30">SUM(AV4:AV21)</f>
        <v>3</v>
      </c>
      <c r="AW22" s="34">
        <f t="shared" ref="AW22:AX22" si="31">SUM(AW4:AW18)</f>
        <v>1</v>
      </c>
      <c r="AX22" s="34">
        <f t="shared" si="31"/>
        <v>0</v>
      </c>
      <c r="AY22" s="35">
        <f t="shared" ref="AY22" si="32">SUM(AY4:AY20)</f>
        <v>0</v>
      </c>
      <c r="AZ22" s="33">
        <f t="shared" ref="AZ22" si="33">SUM(AZ4:AZ21)</f>
        <v>5</v>
      </c>
      <c r="BA22" s="34">
        <f t="shared" ref="BA22:BB22" si="34">SUM(BA4:BA18)</f>
        <v>0</v>
      </c>
      <c r="BB22" s="34">
        <f t="shared" si="34"/>
        <v>0</v>
      </c>
      <c r="BC22" s="35">
        <f t="shared" ref="BC22" si="35">SUM(BC4:BC20)</f>
        <v>0</v>
      </c>
      <c r="BD22" s="33">
        <f t="shared" ref="BD22" si="36">SUM(BD4:BD21)</f>
        <v>8</v>
      </c>
      <c r="BE22" s="34">
        <f t="shared" ref="BE22:BF22" si="37">SUM(BE4:BE18)</f>
        <v>1</v>
      </c>
      <c r="BF22" s="34">
        <f t="shared" si="37"/>
        <v>0</v>
      </c>
      <c r="BG22" s="35">
        <f t="shared" ref="BG22" si="38">SUM(BG4:BG20)</f>
        <v>0</v>
      </c>
      <c r="BH22" s="33">
        <f>SUM(BH4:BH21)</f>
        <v>1</v>
      </c>
      <c r="BI22" s="34">
        <f>SUM(BI4:BI18)</f>
        <v>0</v>
      </c>
      <c r="BJ22" s="34">
        <f t="shared" ref="BJ22" si="39">SUM(BJ4:BJ18)</f>
        <v>0</v>
      </c>
      <c r="BK22" s="35">
        <f t="shared" ref="BK22" si="40">SUM(BK4:BK20)</f>
        <v>0</v>
      </c>
      <c r="BL22" s="33">
        <f t="shared" ref="BL22" si="41">SUM(BL4:BL21)</f>
        <v>9</v>
      </c>
      <c r="BM22" s="34">
        <f t="shared" ref="BM22:BN22" si="42">SUM(BM4:BM18)</f>
        <v>1</v>
      </c>
      <c r="BN22" s="34">
        <f t="shared" si="42"/>
        <v>0</v>
      </c>
      <c r="BO22" s="35">
        <f t="shared" ref="BO22" si="43">SUM(BO4:BO20)</f>
        <v>0</v>
      </c>
      <c r="BP22" s="33">
        <f t="shared" ref="BP22" si="44">SUM(BP4:BP21)</f>
        <v>6</v>
      </c>
      <c r="BQ22" s="34">
        <f t="shared" ref="BQ22:BR22" si="45">SUM(BQ4:BQ18)</f>
        <v>1</v>
      </c>
      <c r="BR22" s="34">
        <f t="shared" si="45"/>
        <v>0</v>
      </c>
      <c r="BS22" s="35">
        <f t="shared" ref="BS22" si="46">SUM(BS4:BS20)</f>
        <v>0</v>
      </c>
      <c r="BT22" s="33">
        <f t="shared" ref="BT22" si="47">SUM(BT4:BT21)</f>
        <v>1</v>
      </c>
      <c r="BU22" s="34">
        <f t="shared" ref="BU22:BV22" si="48">SUM(BU4:BU18)</f>
        <v>2</v>
      </c>
      <c r="BV22" s="34">
        <f t="shared" si="48"/>
        <v>0</v>
      </c>
      <c r="BW22" s="35">
        <f t="shared" ref="BW22" si="49">SUM(BW4:BW20)</f>
        <v>0</v>
      </c>
      <c r="BX22" s="33">
        <f t="shared" ref="BX22" si="50">SUM(BX4:BX21)</f>
        <v>7</v>
      </c>
      <c r="BY22" s="34">
        <f t="shared" ref="BY22:BZ22" si="51">SUM(BY4:BY18)</f>
        <v>0</v>
      </c>
      <c r="BZ22" s="34">
        <f t="shared" si="51"/>
        <v>0</v>
      </c>
      <c r="CA22" s="35">
        <f t="shared" ref="CA22" si="52">SUM(CA4:CA20)</f>
        <v>0</v>
      </c>
      <c r="CB22" s="33">
        <f t="shared" ref="CB22" si="53">SUM(CB4:CB21)</f>
        <v>5</v>
      </c>
      <c r="CC22" s="34">
        <f t="shared" ref="CC22:CD22" si="54">SUM(CC4:CC18)</f>
        <v>0</v>
      </c>
      <c r="CD22" s="34">
        <f t="shared" si="54"/>
        <v>0</v>
      </c>
      <c r="CE22" s="35">
        <f t="shared" ref="CE22" si="55">SUM(CE4:CE20)</f>
        <v>0</v>
      </c>
      <c r="CF22" s="33">
        <f t="shared" ref="CF22" si="56">SUM(CF4:CF21)</f>
        <v>2</v>
      </c>
      <c r="CG22" s="34">
        <f t="shared" ref="CG22:CH22" si="57">SUM(CG4:CG18)</f>
        <v>0</v>
      </c>
      <c r="CH22" s="34">
        <f t="shared" si="57"/>
        <v>0</v>
      </c>
      <c r="CI22" s="35">
        <f t="shared" ref="CI22" si="58">SUM(CI4:CI20)</f>
        <v>0</v>
      </c>
      <c r="CJ22" s="33">
        <f t="shared" ref="CJ22" si="59">SUM(CJ4:CJ21)</f>
        <v>1</v>
      </c>
      <c r="CK22" s="34">
        <f t="shared" ref="CK22:CL22" si="60">SUM(CK4:CK18)</f>
        <v>2</v>
      </c>
      <c r="CL22" s="34">
        <f t="shared" si="60"/>
        <v>0</v>
      </c>
      <c r="CM22" s="35">
        <f t="shared" ref="CM22" si="61">SUM(CM4:CM20)</f>
        <v>0</v>
      </c>
      <c r="CN22" s="33">
        <f t="shared" ref="CN22" si="62">SUM(CN4:CN21)</f>
        <v>3</v>
      </c>
      <c r="CO22" s="34">
        <f t="shared" ref="CO22:CP22" si="63">SUM(CO4:CO18)</f>
        <v>1</v>
      </c>
      <c r="CP22" s="34">
        <f t="shared" si="63"/>
        <v>0</v>
      </c>
      <c r="CQ22" s="35">
        <f t="shared" ref="CQ22" si="64">SUM(CQ4:CQ20)</f>
        <v>0</v>
      </c>
      <c r="CR22" s="33">
        <f t="shared" ref="CR22" si="65">SUM(CR4:CR21)</f>
        <v>3</v>
      </c>
      <c r="CS22" s="34">
        <f t="shared" ref="CS22:CT22" si="66">SUM(CS4:CS18)</f>
        <v>2</v>
      </c>
      <c r="CT22" s="34">
        <f t="shared" si="66"/>
        <v>0</v>
      </c>
      <c r="CU22" s="35">
        <f t="shared" ref="CU22" si="67">SUM(CU4:CU20)</f>
        <v>0</v>
      </c>
      <c r="CV22" s="33">
        <f t="shared" ref="CV22" si="68">SUM(CV4:CV21)</f>
        <v>4</v>
      </c>
      <c r="CW22" s="34">
        <f t="shared" ref="CW22:CX22" si="69">SUM(CW4:CW18)</f>
        <v>1</v>
      </c>
      <c r="CX22" s="34">
        <f t="shared" si="69"/>
        <v>0</v>
      </c>
      <c r="CY22" s="35">
        <f t="shared" ref="CY22" si="70">SUM(CY4:CY20)</f>
        <v>0</v>
      </c>
      <c r="CZ22" s="33">
        <f t="shared" ref="CZ22" si="71">SUM(CZ4:CZ21)</f>
        <v>0</v>
      </c>
      <c r="DA22" s="34">
        <f t="shared" ref="DA22:DB22" si="72">SUM(DA4:DA18)</f>
        <v>0</v>
      </c>
      <c r="DB22" s="34">
        <f t="shared" si="72"/>
        <v>0</v>
      </c>
      <c r="DC22" s="35">
        <f t="shared" ref="DC22" si="73">SUM(DC4:DC20)</f>
        <v>0</v>
      </c>
    </row>
    <row r="23" spans="1:107" ht="14.45" customHeight="1" x14ac:dyDescent="0.25">
      <c r="B23" s="3"/>
      <c r="C23" s="27"/>
      <c r="D23" s="148" t="s">
        <v>86</v>
      </c>
      <c r="E23" s="148" t="s">
        <v>97</v>
      </c>
      <c r="F23" s="148" t="s">
        <v>99</v>
      </c>
      <c r="G23" s="148" t="s">
        <v>98</v>
      </c>
      <c r="H23" s="145" t="s">
        <v>86</v>
      </c>
      <c r="I23" s="148" t="s">
        <v>97</v>
      </c>
      <c r="J23" s="148" t="s">
        <v>99</v>
      </c>
      <c r="K23" s="151" t="s">
        <v>98</v>
      </c>
      <c r="L23" s="145" t="s">
        <v>86</v>
      </c>
      <c r="M23" s="148" t="s">
        <v>97</v>
      </c>
      <c r="N23" s="148" t="s">
        <v>99</v>
      </c>
      <c r="O23" s="151" t="s">
        <v>98</v>
      </c>
      <c r="P23" s="145" t="s">
        <v>86</v>
      </c>
      <c r="Q23" s="148" t="s">
        <v>97</v>
      </c>
      <c r="R23" s="148" t="s">
        <v>99</v>
      </c>
      <c r="S23" s="151" t="s">
        <v>98</v>
      </c>
      <c r="T23" s="145" t="s">
        <v>86</v>
      </c>
      <c r="U23" s="148" t="s">
        <v>97</v>
      </c>
      <c r="V23" s="148" t="s">
        <v>99</v>
      </c>
      <c r="W23" s="151" t="s">
        <v>98</v>
      </c>
      <c r="X23" s="145" t="s">
        <v>86</v>
      </c>
      <c r="Y23" s="148" t="s">
        <v>97</v>
      </c>
      <c r="Z23" s="148" t="s">
        <v>99</v>
      </c>
      <c r="AA23" s="151" t="s">
        <v>98</v>
      </c>
      <c r="AB23" s="145" t="s">
        <v>86</v>
      </c>
      <c r="AC23" s="148" t="s">
        <v>97</v>
      </c>
      <c r="AD23" s="148" t="s">
        <v>99</v>
      </c>
      <c r="AE23" s="151" t="s">
        <v>98</v>
      </c>
      <c r="AF23" s="145" t="s">
        <v>86</v>
      </c>
      <c r="AG23" s="148" t="s">
        <v>97</v>
      </c>
      <c r="AH23" s="148" t="s">
        <v>99</v>
      </c>
      <c r="AI23" s="151" t="s">
        <v>98</v>
      </c>
      <c r="AJ23" s="145" t="s">
        <v>86</v>
      </c>
      <c r="AK23" s="148" t="s">
        <v>97</v>
      </c>
      <c r="AL23" s="148" t="s">
        <v>99</v>
      </c>
      <c r="AM23" s="151" t="s">
        <v>98</v>
      </c>
      <c r="AN23" s="145" t="s">
        <v>86</v>
      </c>
      <c r="AO23" s="148" t="s">
        <v>97</v>
      </c>
      <c r="AP23" s="148" t="s">
        <v>99</v>
      </c>
      <c r="AQ23" s="151" t="s">
        <v>98</v>
      </c>
      <c r="AR23" s="145" t="s">
        <v>86</v>
      </c>
      <c r="AS23" s="148" t="s">
        <v>97</v>
      </c>
      <c r="AT23" s="148" t="s">
        <v>99</v>
      </c>
      <c r="AU23" s="151" t="s">
        <v>98</v>
      </c>
      <c r="AV23" s="145" t="s">
        <v>86</v>
      </c>
      <c r="AW23" s="148" t="s">
        <v>97</v>
      </c>
      <c r="AX23" s="148" t="s">
        <v>99</v>
      </c>
      <c r="AY23" s="151" t="s">
        <v>98</v>
      </c>
      <c r="AZ23" s="145" t="s">
        <v>86</v>
      </c>
      <c r="BA23" s="148" t="s">
        <v>97</v>
      </c>
      <c r="BB23" s="148" t="s">
        <v>99</v>
      </c>
      <c r="BC23" s="151" t="s">
        <v>98</v>
      </c>
      <c r="BD23" s="145" t="s">
        <v>86</v>
      </c>
      <c r="BE23" s="148" t="s">
        <v>97</v>
      </c>
      <c r="BF23" s="148" t="s">
        <v>99</v>
      </c>
      <c r="BG23" s="151" t="s">
        <v>98</v>
      </c>
      <c r="BH23" s="145" t="s">
        <v>86</v>
      </c>
      <c r="BI23" s="148" t="s">
        <v>97</v>
      </c>
      <c r="BJ23" s="148" t="s">
        <v>99</v>
      </c>
      <c r="BK23" s="151" t="s">
        <v>98</v>
      </c>
      <c r="BL23" s="145" t="s">
        <v>86</v>
      </c>
      <c r="BM23" s="148" t="s">
        <v>97</v>
      </c>
      <c r="BN23" s="148" t="s">
        <v>99</v>
      </c>
      <c r="BO23" s="151" t="s">
        <v>98</v>
      </c>
      <c r="BP23" s="145" t="s">
        <v>86</v>
      </c>
      <c r="BQ23" s="148" t="s">
        <v>97</v>
      </c>
      <c r="BR23" s="148" t="s">
        <v>99</v>
      </c>
      <c r="BS23" s="151" t="s">
        <v>98</v>
      </c>
      <c r="BT23" s="145" t="s">
        <v>86</v>
      </c>
      <c r="BU23" s="148" t="s">
        <v>97</v>
      </c>
      <c r="BV23" s="148" t="s">
        <v>99</v>
      </c>
      <c r="BW23" s="151" t="s">
        <v>98</v>
      </c>
      <c r="BX23" s="145" t="s">
        <v>86</v>
      </c>
      <c r="BY23" s="148" t="s">
        <v>97</v>
      </c>
      <c r="BZ23" s="148" t="s">
        <v>99</v>
      </c>
      <c r="CA23" s="151" t="s">
        <v>98</v>
      </c>
      <c r="CB23" s="145" t="s">
        <v>86</v>
      </c>
      <c r="CC23" s="148" t="s">
        <v>97</v>
      </c>
      <c r="CD23" s="148" t="s">
        <v>99</v>
      </c>
      <c r="CE23" s="151" t="s">
        <v>98</v>
      </c>
      <c r="CF23" s="145" t="s">
        <v>86</v>
      </c>
      <c r="CG23" s="148" t="s">
        <v>97</v>
      </c>
      <c r="CH23" s="148" t="s">
        <v>99</v>
      </c>
      <c r="CI23" s="151" t="s">
        <v>98</v>
      </c>
      <c r="CJ23" s="145" t="s">
        <v>86</v>
      </c>
      <c r="CK23" s="148" t="s">
        <v>97</v>
      </c>
      <c r="CL23" s="148" t="s">
        <v>99</v>
      </c>
      <c r="CM23" s="151" t="s">
        <v>98</v>
      </c>
      <c r="CN23" s="145" t="s">
        <v>86</v>
      </c>
      <c r="CO23" s="148" t="s">
        <v>97</v>
      </c>
      <c r="CP23" s="148" t="s">
        <v>99</v>
      </c>
      <c r="CQ23" s="151" t="s">
        <v>98</v>
      </c>
      <c r="CR23" s="145" t="s">
        <v>86</v>
      </c>
      <c r="CS23" s="148" t="s">
        <v>97</v>
      </c>
      <c r="CT23" s="148" t="s">
        <v>99</v>
      </c>
      <c r="CU23" s="151" t="s">
        <v>98</v>
      </c>
      <c r="CV23" s="145" t="s">
        <v>86</v>
      </c>
      <c r="CW23" s="148" t="s">
        <v>97</v>
      </c>
      <c r="CX23" s="148" t="s">
        <v>99</v>
      </c>
      <c r="CY23" s="151" t="s">
        <v>98</v>
      </c>
      <c r="CZ23" s="145" t="s">
        <v>86</v>
      </c>
      <c r="DA23" s="148" t="s">
        <v>97</v>
      </c>
      <c r="DB23" s="148" t="s">
        <v>99</v>
      </c>
      <c r="DC23" s="151" t="s">
        <v>98</v>
      </c>
    </row>
    <row r="24" spans="1:107" x14ac:dyDescent="0.25">
      <c r="B24" s="3"/>
      <c r="C24" s="27"/>
      <c r="D24" s="149"/>
      <c r="E24" s="149"/>
      <c r="F24" s="149"/>
      <c r="G24" s="149"/>
      <c r="H24" s="146"/>
      <c r="I24" s="149"/>
      <c r="J24" s="149"/>
      <c r="K24" s="152"/>
      <c r="L24" s="146"/>
      <c r="M24" s="149"/>
      <c r="N24" s="149"/>
      <c r="O24" s="152"/>
      <c r="P24" s="146"/>
      <c r="Q24" s="149"/>
      <c r="R24" s="149"/>
      <c r="S24" s="152"/>
      <c r="T24" s="146"/>
      <c r="U24" s="149"/>
      <c r="V24" s="149"/>
      <c r="W24" s="152"/>
      <c r="X24" s="146"/>
      <c r="Y24" s="149"/>
      <c r="Z24" s="149"/>
      <c r="AA24" s="152"/>
      <c r="AB24" s="146"/>
      <c r="AC24" s="149"/>
      <c r="AD24" s="149"/>
      <c r="AE24" s="152"/>
      <c r="AF24" s="146"/>
      <c r="AG24" s="149"/>
      <c r="AH24" s="149"/>
      <c r="AI24" s="152"/>
      <c r="AJ24" s="146"/>
      <c r="AK24" s="149"/>
      <c r="AL24" s="149"/>
      <c r="AM24" s="152"/>
      <c r="AN24" s="146"/>
      <c r="AO24" s="149"/>
      <c r="AP24" s="149"/>
      <c r="AQ24" s="152"/>
      <c r="AR24" s="146"/>
      <c r="AS24" s="149"/>
      <c r="AT24" s="149"/>
      <c r="AU24" s="152"/>
      <c r="AV24" s="146"/>
      <c r="AW24" s="149"/>
      <c r="AX24" s="149"/>
      <c r="AY24" s="152"/>
      <c r="AZ24" s="146"/>
      <c r="BA24" s="149"/>
      <c r="BB24" s="149"/>
      <c r="BC24" s="152"/>
      <c r="BD24" s="146"/>
      <c r="BE24" s="149"/>
      <c r="BF24" s="149"/>
      <c r="BG24" s="152"/>
      <c r="BH24" s="146"/>
      <c r="BI24" s="149"/>
      <c r="BJ24" s="149"/>
      <c r="BK24" s="152"/>
      <c r="BL24" s="146"/>
      <c r="BM24" s="149"/>
      <c r="BN24" s="149"/>
      <c r="BO24" s="152"/>
      <c r="BP24" s="146"/>
      <c r="BQ24" s="149"/>
      <c r="BR24" s="149"/>
      <c r="BS24" s="152"/>
      <c r="BT24" s="146"/>
      <c r="BU24" s="149"/>
      <c r="BV24" s="149"/>
      <c r="BW24" s="152"/>
      <c r="BX24" s="146"/>
      <c r="BY24" s="149"/>
      <c r="BZ24" s="149"/>
      <c r="CA24" s="152"/>
      <c r="CB24" s="146"/>
      <c r="CC24" s="149"/>
      <c r="CD24" s="149"/>
      <c r="CE24" s="152"/>
      <c r="CF24" s="146"/>
      <c r="CG24" s="149"/>
      <c r="CH24" s="149"/>
      <c r="CI24" s="152"/>
      <c r="CJ24" s="146"/>
      <c r="CK24" s="149"/>
      <c r="CL24" s="149"/>
      <c r="CM24" s="152"/>
      <c r="CN24" s="146"/>
      <c r="CO24" s="149"/>
      <c r="CP24" s="149"/>
      <c r="CQ24" s="152"/>
      <c r="CR24" s="146"/>
      <c r="CS24" s="149"/>
      <c r="CT24" s="149"/>
      <c r="CU24" s="152"/>
      <c r="CV24" s="146"/>
      <c r="CW24" s="149"/>
      <c r="CX24" s="149"/>
      <c r="CY24" s="152"/>
      <c r="CZ24" s="146"/>
      <c r="DA24" s="149"/>
      <c r="DB24" s="149"/>
      <c r="DC24" s="152"/>
    </row>
    <row r="25" spans="1:107" x14ac:dyDescent="0.25">
      <c r="D25" s="149"/>
      <c r="E25" s="149"/>
      <c r="F25" s="149"/>
      <c r="G25" s="149"/>
      <c r="H25" s="146"/>
      <c r="I25" s="149"/>
      <c r="J25" s="149"/>
      <c r="K25" s="152"/>
      <c r="L25" s="146"/>
      <c r="M25" s="149"/>
      <c r="N25" s="149"/>
      <c r="O25" s="152"/>
      <c r="P25" s="146"/>
      <c r="Q25" s="149"/>
      <c r="R25" s="149"/>
      <c r="S25" s="152"/>
      <c r="T25" s="146"/>
      <c r="U25" s="149"/>
      <c r="V25" s="149"/>
      <c r="W25" s="152"/>
      <c r="X25" s="146"/>
      <c r="Y25" s="149"/>
      <c r="Z25" s="149"/>
      <c r="AA25" s="152"/>
      <c r="AB25" s="146"/>
      <c r="AC25" s="149"/>
      <c r="AD25" s="149"/>
      <c r="AE25" s="152"/>
      <c r="AF25" s="146"/>
      <c r="AG25" s="149"/>
      <c r="AH25" s="149"/>
      <c r="AI25" s="152"/>
      <c r="AJ25" s="146"/>
      <c r="AK25" s="149"/>
      <c r="AL25" s="149"/>
      <c r="AM25" s="152"/>
      <c r="AN25" s="146"/>
      <c r="AO25" s="149"/>
      <c r="AP25" s="149"/>
      <c r="AQ25" s="152"/>
      <c r="AR25" s="146"/>
      <c r="AS25" s="149"/>
      <c r="AT25" s="149"/>
      <c r="AU25" s="152"/>
      <c r="AV25" s="146"/>
      <c r="AW25" s="149"/>
      <c r="AX25" s="149"/>
      <c r="AY25" s="152"/>
      <c r="AZ25" s="146"/>
      <c r="BA25" s="149"/>
      <c r="BB25" s="149"/>
      <c r="BC25" s="152"/>
      <c r="BD25" s="146"/>
      <c r="BE25" s="149"/>
      <c r="BF25" s="149"/>
      <c r="BG25" s="152"/>
      <c r="BH25" s="146"/>
      <c r="BI25" s="149"/>
      <c r="BJ25" s="149"/>
      <c r="BK25" s="152"/>
      <c r="BL25" s="146"/>
      <c r="BM25" s="149"/>
      <c r="BN25" s="149"/>
      <c r="BO25" s="152"/>
      <c r="BP25" s="146"/>
      <c r="BQ25" s="149"/>
      <c r="BR25" s="149"/>
      <c r="BS25" s="152"/>
      <c r="BT25" s="146"/>
      <c r="BU25" s="149"/>
      <c r="BV25" s="149"/>
      <c r="BW25" s="152"/>
      <c r="BX25" s="146"/>
      <c r="BY25" s="149"/>
      <c r="BZ25" s="149"/>
      <c r="CA25" s="152"/>
      <c r="CB25" s="146"/>
      <c r="CC25" s="149"/>
      <c r="CD25" s="149"/>
      <c r="CE25" s="152"/>
      <c r="CF25" s="146"/>
      <c r="CG25" s="149"/>
      <c r="CH25" s="149"/>
      <c r="CI25" s="152"/>
      <c r="CJ25" s="146"/>
      <c r="CK25" s="149"/>
      <c r="CL25" s="149"/>
      <c r="CM25" s="152"/>
      <c r="CN25" s="146"/>
      <c r="CO25" s="149"/>
      <c r="CP25" s="149"/>
      <c r="CQ25" s="152"/>
      <c r="CR25" s="146"/>
      <c r="CS25" s="149"/>
      <c r="CT25" s="149"/>
      <c r="CU25" s="152"/>
      <c r="CV25" s="146"/>
      <c r="CW25" s="149"/>
      <c r="CX25" s="149"/>
      <c r="CY25" s="152"/>
      <c r="CZ25" s="146"/>
      <c r="DA25" s="149"/>
      <c r="DB25" s="149"/>
      <c r="DC25" s="152"/>
    </row>
    <row r="26" spans="1:107" ht="15.75" thickBot="1" x14ac:dyDescent="0.3">
      <c r="D26" s="149"/>
      <c r="E26" s="149"/>
      <c r="F26" s="149"/>
      <c r="G26" s="149"/>
      <c r="H26" s="147"/>
      <c r="I26" s="150"/>
      <c r="J26" s="150"/>
      <c r="K26" s="153"/>
      <c r="L26" s="147"/>
      <c r="M26" s="150"/>
      <c r="N26" s="150"/>
      <c r="O26" s="153"/>
      <c r="P26" s="147"/>
      <c r="Q26" s="150"/>
      <c r="R26" s="150"/>
      <c r="S26" s="153"/>
      <c r="T26" s="147"/>
      <c r="U26" s="150"/>
      <c r="V26" s="150"/>
      <c r="W26" s="153"/>
      <c r="X26" s="147"/>
      <c r="Y26" s="150"/>
      <c r="Z26" s="150"/>
      <c r="AA26" s="153"/>
      <c r="AB26" s="147"/>
      <c r="AC26" s="150"/>
      <c r="AD26" s="150"/>
      <c r="AE26" s="153"/>
      <c r="AF26" s="147"/>
      <c r="AG26" s="150"/>
      <c r="AH26" s="150"/>
      <c r="AI26" s="153"/>
      <c r="AJ26" s="147"/>
      <c r="AK26" s="150"/>
      <c r="AL26" s="150"/>
      <c r="AM26" s="153"/>
      <c r="AN26" s="147"/>
      <c r="AO26" s="150"/>
      <c r="AP26" s="150"/>
      <c r="AQ26" s="153"/>
      <c r="AR26" s="147"/>
      <c r="AS26" s="150"/>
      <c r="AT26" s="150"/>
      <c r="AU26" s="153"/>
      <c r="AV26" s="147"/>
      <c r="AW26" s="150"/>
      <c r="AX26" s="150"/>
      <c r="AY26" s="153"/>
      <c r="AZ26" s="147"/>
      <c r="BA26" s="150"/>
      <c r="BB26" s="150"/>
      <c r="BC26" s="153"/>
      <c r="BD26" s="147"/>
      <c r="BE26" s="150"/>
      <c r="BF26" s="150"/>
      <c r="BG26" s="153"/>
      <c r="BH26" s="147"/>
      <c r="BI26" s="150"/>
      <c r="BJ26" s="150"/>
      <c r="BK26" s="153"/>
      <c r="BL26" s="147"/>
      <c r="BM26" s="150"/>
      <c r="BN26" s="150"/>
      <c r="BO26" s="153"/>
      <c r="BP26" s="147"/>
      <c r="BQ26" s="150"/>
      <c r="BR26" s="150"/>
      <c r="BS26" s="153"/>
      <c r="BT26" s="147"/>
      <c r="BU26" s="150"/>
      <c r="BV26" s="150"/>
      <c r="BW26" s="153"/>
      <c r="BX26" s="147"/>
      <c r="BY26" s="150"/>
      <c r="BZ26" s="150"/>
      <c r="CA26" s="153"/>
      <c r="CB26" s="147"/>
      <c r="CC26" s="150"/>
      <c r="CD26" s="150"/>
      <c r="CE26" s="153"/>
      <c r="CF26" s="147"/>
      <c r="CG26" s="150"/>
      <c r="CH26" s="150"/>
      <c r="CI26" s="153"/>
      <c r="CJ26" s="147"/>
      <c r="CK26" s="150"/>
      <c r="CL26" s="150"/>
      <c r="CM26" s="153"/>
      <c r="CN26" s="147"/>
      <c r="CO26" s="150"/>
      <c r="CP26" s="150"/>
      <c r="CQ26" s="153"/>
      <c r="CR26" s="147"/>
      <c r="CS26" s="150"/>
      <c r="CT26" s="150"/>
      <c r="CU26" s="153"/>
      <c r="CV26" s="147"/>
      <c r="CW26" s="150"/>
      <c r="CX26" s="150"/>
      <c r="CY26" s="153"/>
      <c r="CZ26" s="147"/>
      <c r="DA26" s="150"/>
      <c r="DB26" s="150"/>
      <c r="DC26" s="153"/>
    </row>
  </sheetData>
  <mergeCells count="199">
    <mergeCell ref="P1:S1"/>
    <mergeCell ref="T1:W1"/>
    <mergeCell ref="X1:AA1"/>
    <mergeCell ref="BH1:BK1"/>
    <mergeCell ref="BL1:BO1"/>
    <mergeCell ref="H2:K2"/>
    <mergeCell ref="L2:O2"/>
    <mergeCell ref="P2:S2"/>
    <mergeCell ref="T2:W2"/>
    <mergeCell ref="X2:AA2"/>
    <mergeCell ref="AB2:AE2"/>
    <mergeCell ref="AF2:AI2"/>
    <mergeCell ref="AJ2:AM2"/>
    <mergeCell ref="AN2:AQ2"/>
    <mergeCell ref="AB1:AE1"/>
    <mergeCell ref="AF1:AI1"/>
    <mergeCell ref="AJ1:AM1"/>
    <mergeCell ref="AN1:AQ1"/>
    <mergeCell ref="AR1:AU1"/>
    <mergeCell ref="AV1:AY1"/>
    <mergeCell ref="CZ1:DC1"/>
    <mergeCell ref="BX1:CA1"/>
    <mergeCell ref="CB1:CE1"/>
    <mergeCell ref="CF1:CI1"/>
    <mergeCell ref="CJ1:CM1"/>
    <mergeCell ref="CN1:CQ1"/>
    <mergeCell ref="CR1:CU1"/>
    <mergeCell ref="AZ1:BC1"/>
    <mergeCell ref="BD1:BG1"/>
    <mergeCell ref="BP1:BS1"/>
    <mergeCell ref="BT1:BW1"/>
    <mergeCell ref="CV1:CY1"/>
    <mergeCell ref="A4:A18"/>
    <mergeCell ref="B4:C4"/>
    <mergeCell ref="B5:C5"/>
    <mergeCell ref="B6:C6"/>
    <mergeCell ref="B7:C7"/>
    <mergeCell ref="B8:C8"/>
    <mergeCell ref="B9:C9"/>
    <mergeCell ref="CN3:CQ3"/>
    <mergeCell ref="CR3:CU3"/>
    <mergeCell ref="BP3:BS3"/>
    <mergeCell ref="BT3:BW3"/>
    <mergeCell ref="BX3:CA3"/>
    <mergeCell ref="CB3:CE3"/>
    <mergeCell ref="CF3:CI3"/>
    <mergeCell ref="CJ3:CM3"/>
    <mergeCell ref="AR3:AU3"/>
    <mergeCell ref="AV3:AY3"/>
    <mergeCell ref="AZ3:BC3"/>
    <mergeCell ref="BD3:BG3"/>
    <mergeCell ref="BH3:BK3"/>
    <mergeCell ref="BL3:BO3"/>
    <mergeCell ref="A1:C3"/>
    <mergeCell ref="H1:K1"/>
    <mergeCell ref="L1:O1"/>
    <mergeCell ref="B10:C10"/>
    <mergeCell ref="B11:C11"/>
    <mergeCell ref="B12:C12"/>
    <mergeCell ref="B13:C13"/>
    <mergeCell ref="B14:C14"/>
    <mergeCell ref="B15:C15"/>
    <mergeCell ref="CV3:CY3"/>
    <mergeCell ref="CZ3:DC3"/>
    <mergeCell ref="H3:K3"/>
    <mergeCell ref="L3:O3"/>
    <mergeCell ref="P3:S3"/>
    <mergeCell ref="T3:W3"/>
    <mergeCell ref="X3:AA3"/>
    <mergeCell ref="AB3:AE3"/>
    <mergeCell ref="AF3:AI3"/>
    <mergeCell ref="AJ3:AM3"/>
    <mergeCell ref="AN3:AQ3"/>
    <mergeCell ref="H23:H26"/>
    <mergeCell ref="I23:I26"/>
    <mergeCell ref="J23:J26"/>
    <mergeCell ref="K23:K26"/>
    <mergeCell ref="L23:L26"/>
    <mergeCell ref="M23:M26"/>
    <mergeCell ref="B16:C16"/>
    <mergeCell ref="B18:C18"/>
    <mergeCell ref="B19:G19"/>
    <mergeCell ref="B20:G20"/>
    <mergeCell ref="B21:G21"/>
    <mergeCell ref="D23:D26"/>
    <mergeCell ref="E23:E26"/>
    <mergeCell ref="F23:F26"/>
    <mergeCell ref="G23:G26"/>
    <mergeCell ref="B17:C17"/>
    <mergeCell ref="T23:T26"/>
    <mergeCell ref="U23:U26"/>
    <mergeCell ref="V23:V26"/>
    <mergeCell ref="W23:W26"/>
    <mergeCell ref="X23:X26"/>
    <mergeCell ref="Y23:Y26"/>
    <mergeCell ref="N23:N26"/>
    <mergeCell ref="O23:O26"/>
    <mergeCell ref="P23:P26"/>
    <mergeCell ref="Q23:Q26"/>
    <mergeCell ref="R23:R26"/>
    <mergeCell ref="S23:S26"/>
    <mergeCell ref="AF23:AF26"/>
    <mergeCell ref="AG23:AG26"/>
    <mergeCell ref="AH23:AH26"/>
    <mergeCell ref="AI23:AI26"/>
    <mergeCell ref="AJ23:AJ26"/>
    <mergeCell ref="AK23:AK26"/>
    <mergeCell ref="Z23:Z26"/>
    <mergeCell ref="AA23:AA26"/>
    <mergeCell ref="AB23:AB26"/>
    <mergeCell ref="AC23:AC26"/>
    <mergeCell ref="AD23:AD26"/>
    <mergeCell ref="AE23:AE26"/>
    <mergeCell ref="AR23:AR26"/>
    <mergeCell ref="AS23:AS26"/>
    <mergeCell ref="AT23:AT26"/>
    <mergeCell ref="AU23:AU26"/>
    <mergeCell ref="AV23:AV26"/>
    <mergeCell ref="AW23:AW26"/>
    <mergeCell ref="AL23:AL26"/>
    <mergeCell ref="AM23:AM26"/>
    <mergeCell ref="AN23:AN26"/>
    <mergeCell ref="AO23:AO26"/>
    <mergeCell ref="AP23:AP26"/>
    <mergeCell ref="AQ23:AQ26"/>
    <mergeCell ref="BD23:BD26"/>
    <mergeCell ref="BE23:BE26"/>
    <mergeCell ref="BF23:BF26"/>
    <mergeCell ref="BG23:BG26"/>
    <mergeCell ref="BH23:BH26"/>
    <mergeCell ref="BI23:BI26"/>
    <mergeCell ref="AX23:AX26"/>
    <mergeCell ref="AY23:AY26"/>
    <mergeCell ref="AZ23:AZ26"/>
    <mergeCell ref="BA23:BA26"/>
    <mergeCell ref="BB23:BB26"/>
    <mergeCell ref="BC23:BC26"/>
    <mergeCell ref="BP23:BP26"/>
    <mergeCell ref="BQ23:BQ26"/>
    <mergeCell ref="BR23:BR26"/>
    <mergeCell ref="BS23:BS26"/>
    <mergeCell ref="BT23:BT26"/>
    <mergeCell ref="BU23:BU26"/>
    <mergeCell ref="BJ23:BJ26"/>
    <mergeCell ref="BK23:BK26"/>
    <mergeCell ref="BL23:BL26"/>
    <mergeCell ref="BM23:BM26"/>
    <mergeCell ref="BN23:BN26"/>
    <mergeCell ref="BO23:BO26"/>
    <mergeCell ref="CB23:CB26"/>
    <mergeCell ref="CC23:CC26"/>
    <mergeCell ref="CD23:CD26"/>
    <mergeCell ref="CE23:CE26"/>
    <mergeCell ref="CF23:CF26"/>
    <mergeCell ref="CG23:CG26"/>
    <mergeCell ref="BV23:BV26"/>
    <mergeCell ref="BW23:BW26"/>
    <mergeCell ref="BX23:BX26"/>
    <mergeCell ref="BY23:BY26"/>
    <mergeCell ref="BZ23:BZ26"/>
    <mergeCell ref="CA23:CA26"/>
    <mergeCell ref="CN23:CN26"/>
    <mergeCell ref="CO23:CO26"/>
    <mergeCell ref="CP23:CP26"/>
    <mergeCell ref="CQ23:CQ26"/>
    <mergeCell ref="CR23:CR26"/>
    <mergeCell ref="CS23:CS26"/>
    <mergeCell ref="CH23:CH26"/>
    <mergeCell ref="CI23:CI26"/>
    <mergeCell ref="CJ23:CJ26"/>
    <mergeCell ref="CK23:CK26"/>
    <mergeCell ref="CL23:CL26"/>
    <mergeCell ref="CM23:CM26"/>
    <mergeCell ref="CZ23:CZ26"/>
    <mergeCell ref="DA23:DA26"/>
    <mergeCell ref="DB23:DB26"/>
    <mergeCell ref="DC23:DC26"/>
    <mergeCell ref="CT23:CT26"/>
    <mergeCell ref="CU23:CU26"/>
    <mergeCell ref="CV23:CV26"/>
    <mergeCell ref="CW23:CW26"/>
    <mergeCell ref="CX23:CX26"/>
    <mergeCell ref="CY23:CY26"/>
    <mergeCell ref="CN2:CQ2"/>
    <mergeCell ref="CR2:CU2"/>
    <mergeCell ref="CV2:CY2"/>
    <mergeCell ref="D2:G2"/>
    <mergeCell ref="BH2:BK2"/>
    <mergeCell ref="BL2:BO2"/>
    <mergeCell ref="BP2:BS2"/>
    <mergeCell ref="BT2:BW2"/>
    <mergeCell ref="BX2:CA2"/>
    <mergeCell ref="CB2:CE2"/>
    <mergeCell ref="CF2:CI2"/>
    <mergeCell ref="CJ2:CM2"/>
    <mergeCell ref="AR2:AU2"/>
    <mergeCell ref="AV2:AY2"/>
    <mergeCell ref="AZ2:BC2"/>
    <mergeCell ref="BD2:BG2"/>
  </mergeCells>
  <hyperlinks>
    <hyperlink ref="A1:C3" location="Equipos!A1" display="Equipos!A1" xr:uid="{00000000-0004-0000-0F00-000000000000}"/>
    <hyperlink ref="A4:A18" location="Jugadores!A1" display="Jugador" xr:uid="{07A4F127-7CE7-41CD-9B76-84475F8DC5EB}"/>
  </hyperlinks>
  <pageMargins left="0.7" right="0.7" top="0.75" bottom="0.75" header="0.3" footer="0.3"/>
  <pageSetup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C26"/>
  <sheetViews>
    <sheetView zoomScale="90" zoomScaleNormal="90" zoomScaleSheetLayoutView="90" workbookViewId="0">
      <pane xSplit="7" ySplit="3" topLeftCell="AV4" activePane="bottomRight" state="frozen"/>
      <selection pane="topRight" activeCell="H1" sqref="H1"/>
      <selection pane="bottomLeft" activeCell="A3" sqref="A3"/>
      <selection pane="bottomRight" sqref="A1:C3"/>
    </sheetView>
  </sheetViews>
  <sheetFormatPr baseColWidth="10" defaultColWidth="11.42578125" defaultRowHeight="15" x14ac:dyDescent="0.25"/>
  <cols>
    <col min="1" max="1" width="4.85546875" customWidth="1"/>
    <col min="2" max="2" width="9.42578125" customWidth="1"/>
    <col min="3" max="3" width="11.5703125" style="3" customWidth="1"/>
    <col min="4" max="7" width="4.28515625" style="3" customWidth="1"/>
    <col min="8" max="8" width="3.42578125" style="3" customWidth="1"/>
    <col min="9" max="15" width="2.7109375" style="3" customWidth="1"/>
    <col min="16" max="16" width="3.140625" style="3" customWidth="1"/>
    <col min="17" max="55" width="2.7109375" style="3" customWidth="1"/>
    <col min="56" max="56" width="3.140625" style="3" customWidth="1"/>
    <col min="57" max="107" width="2.7109375" style="3" customWidth="1"/>
    <col min="108" max="16384" width="11.42578125" style="3"/>
  </cols>
  <sheetData>
    <row r="1" spans="1:107" ht="13.9" customHeight="1" x14ac:dyDescent="0.25">
      <c r="A1" s="180" t="str">
        <f>Equipos!B9</f>
        <v>Amenadim</v>
      </c>
      <c r="B1" s="180"/>
      <c r="C1" s="180"/>
      <c r="H1" s="172" t="s">
        <v>5</v>
      </c>
      <c r="I1" s="173"/>
      <c r="J1" s="173"/>
      <c r="K1" s="174"/>
      <c r="L1" s="172" t="s">
        <v>6</v>
      </c>
      <c r="M1" s="173"/>
      <c r="N1" s="173"/>
      <c r="O1" s="174"/>
      <c r="P1" s="172" t="s">
        <v>7</v>
      </c>
      <c r="Q1" s="173"/>
      <c r="R1" s="173"/>
      <c r="S1" s="174"/>
      <c r="T1" s="172" t="s">
        <v>8</v>
      </c>
      <c r="U1" s="173"/>
      <c r="V1" s="173"/>
      <c r="W1" s="174"/>
      <c r="X1" s="172" t="s">
        <v>9</v>
      </c>
      <c r="Y1" s="173"/>
      <c r="Z1" s="173"/>
      <c r="AA1" s="174"/>
      <c r="AB1" s="172" t="s">
        <v>10</v>
      </c>
      <c r="AC1" s="173"/>
      <c r="AD1" s="173"/>
      <c r="AE1" s="174"/>
      <c r="AF1" s="172" t="s">
        <v>11</v>
      </c>
      <c r="AG1" s="173"/>
      <c r="AH1" s="173"/>
      <c r="AI1" s="174"/>
      <c r="AJ1" s="172" t="s">
        <v>12</v>
      </c>
      <c r="AK1" s="173"/>
      <c r="AL1" s="173"/>
      <c r="AM1" s="174"/>
      <c r="AN1" s="172" t="s">
        <v>13</v>
      </c>
      <c r="AO1" s="173"/>
      <c r="AP1" s="173"/>
      <c r="AQ1" s="174"/>
      <c r="AR1" s="172" t="s">
        <v>14</v>
      </c>
      <c r="AS1" s="173"/>
      <c r="AT1" s="173"/>
      <c r="AU1" s="174"/>
      <c r="AV1" s="172" t="s">
        <v>15</v>
      </c>
      <c r="AW1" s="173"/>
      <c r="AX1" s="173"/>
      <c r="AY1" s="174"/>
      <c r="AZ1" s="172" t="s">
        <v>16</v>
      </c>
      <c r="BA1" s="173"/>
      <c r="BB1" s="173"/>
      <c r="BC1" s="174"/>
      <c r="BD1" s="172" t="s">
        <v>17</v>
      </c>
      <c r="BE1" s="173"/>
      <c r="BF1" s="173"/>
      <c r="BG1" s="174"/>
      <c r="BH1" s="172" t="s">
        <v>18</v>
      </c>
      <c r="BI1" s="173"/>
      <c r="BJ1" s="173"/>
      <c r="BK1" s="174"/>
      <c r="BL1" s="172" t="s">
        <v>19</v>
      </c>
      <c r="BM1" s="173"/>
      <c r="BN1" s="173"/>
      <c r="BO1" s="174"/>
      <c r="BP1" s="172" t="s">
        <v>20</v>
      </c>
      <c r="BQ1" s="173"/>
      <c r="BR1" s="173"/>
      <c r="BS1" s="174"/>
      <c r="BT1" s="172" t="s">
        <v>51</v>
      </c>
      <c r="BU1" s="173"/>
      <c r="BV1" s="173"/>
      <c r="BW1" s="174"/>
      <c r="BX1" s="172" t="s">
        <v>81</v>
      </c>
      <c r="BY1" s="173"/>
      <c r="BZ1" s="173"/>
      <c r="CA1" s="174"/>
      <c r="CB1" s="172" t="s">
        <v>83</v>
      </c>
      <c r="CC1" s="173"/>
      <c r="CD1" s="173"/>
      <c r="CE1" s="174"/>
      <c r="CF1" s="172" t="s">
        <v>84</v>
      </c>
      <c r="CG1" s="173"/>
      <c r="CH1" s="173"/>
      <c r="CI1" s="174"/>
      <c r="CJ1" s="172" t="s">
        <v>85</v>
      </c>
      <c r="CK1" s="173"/>
      <c r="CL1" s="173"/>
      <c r="CM1" s="174"/>
      <c r="CN1" s="172" t="s">
        <v>93</v>
      </c>
      <c r="CO1" s="173"/>
      <c r="CP1" s="173"/>
      <c r="CQ1" s="174"/>
      <c r="CR1" s="172" t="s">
        <v>94</v>
      </c>
      <c r="CS1" s="173"/>
      <c r="CT1" s="173"/>
      <c r="CU1" s="174"/>
      <c r="CV1" s="172" t="s">
        <v>95</v>
      </c>
      <c r="CW1" s="173"/>
      <c r="CX1" s="173"/>
      <c r="CY1" s="174"/>
      <c r="CZ1" s="172" t="s">
        <v>96</v>
      </c>
      <c r="DA1" s="173"/>
      <c r="DB1" s="173"/>
      <c r="DC1" s="174"/>
    </row>
    <row r="2" spans="1:107" ht="13.9" customHeight="1" x14ac:dyDescent="0.25">
      <c r="A2" s="180"/>
      <c r="B2" s="180"/>
      <c r="C2" s="180"/>
      <c r="D2" s="143" t="s">
        <v>272</v>
      </c>
      <c r="E2" s="143"/>
      <c r="F2" s="143"/>
      <c r="G2" s="144"/>
      <c r="H2" s="140" t="str">
        <f>+_xlfn.XLOOKUP($A$1,Fixture!$D$2:$D$9,Fixture!$F$2:$F$9,_xlfn.XLOOKUP($A$1,Fixture!$F$2:$F$9,Fixture!$D$2:$D$9,"Descansa",FALSE))</f>
        <v>Deportivo Fénix</v>
      </c>
      <c r="I2" s="141"/>
      <c r="J2" s="141"/>
      <c r="K2" s="142"/>
      <c r="L2" s="140" t="str">
        <f>+_xlfn.XLOOKUP($A$1,Fixture!$D$10:$D$17,Fixture!$F$10:$F$17,_xlfn.XLOOKUP($A$1,Fixture!$F$10:$F$17,Fixture!$D$10:$D$17,"Descansa",FALSE))</f>
        <v>Rayos FC</v>
      </c>
      <c r="M2" s="141"/>
      <c r="N2" s="141"/>
      <c r="O2" s="142"/>
      <c r="P2" s="175" t="str">
        <f>+_xlfn.XLOOKUP($A$1,Fixture!$D$18:$D$25,Fixture!$F$18:$F$25,_xlfn.XLOOKUP($A$1,Fixture!$F$18:$F$25,Fixture!$D$18:$D$25,"Descansa",FALSE))</f>
        <v>Los Aliados</v>
      </c>
      <c r="Q2" s="176"/>
      <c r="R2" s="176"/>
      <c r="S2" s="177"/>
      <c r="T2" s="140" t="str">
        <f>+_xlfn.XLOOKUP($A$1,Fixture!$D$26:$D$33,Fixture!$F$26:$F$33,_xlfn.XLOOKUP($A$1,Fixture!$F$26:$F$33,Fixture!$D$26:$D$33,"Descansa",FALSE))</f>
        <v>CD El Corozo</v>
      </c>
      <c r="U2" s="141"/>
      <c r="V2" s="141"/>
      <c r="W2" s="142"/>
      <c r="X2" s="140" t="str">
        <f>+_xlfn.XLOOKUP($A$1,Fixture!$D$34:$D$41,Fixture!$F$34:$F$41,_xlfn.XLOOKUP($A$1,Fixture!$F$34:$F$41,Fixture!$D$34:$D$41,"Descansa",FALSE))</f>
        <v>Atalanta</v>
      </c>
      <c r="Y2" s="141"/>
      <c r="Z2" s="141"/>
      <c r="AA2" s="142"/>
      <c r="AB2" s="140" t="str">
        <f>+_xlfn.XLOOKUP($A$1,Fixture!$D$42:$D$49,Fixture!$F$42:$F$49,_xlfn.XLOOKUP($A$1,Fixture!$F$42:$F$49,Fixture!$D$42:$D$49,"Descansa",FALSE))</f>
        <v>Los Amigos</v>
      </c>
      <c r="AC2" s="141"/>
      <c r="AD2" s="141"/>
      <c r="AE2" s="142"/>
      <c r="AF2" s="140" t="str">
        <f>+_xlfn.XLOOKUP($A$1,Fixture!$D$50:$D$57,Fixture!$F$50:$F$57,_xlfn.XLOOKUP($A$1,Fixture!$F$50:$F$57,Fixture!$D$50:$D$57,"Descansa",FALSE))</f>
        <v>La Nueva Era</v>
      </c>
      <c r="AG2" s="141"/>
      <c r="AH2" s="141"/>
      <c r="AI2" s="142"/>
      <c r="AJ2" s="140" t="str">
        <f>+_xlfn.XLOOKUP($A$1,Fixture!$D$58:$D$65,Fixture!$F$58:$F$65,_xlfn.XLOOKUP($A$1,Fixture!$F$58:$F$65,Fixture!$D$58:$D$65,"Descansa",FALSE))</f>
        <v>La Amistad</v>
      </c>
      <c r="AK2" s="141"/>
      <c r="AL2" s="141"/>
      <c r="AM2" s="142"/>
      <c r="AN2" s="140" t="str">
        <f>+_xlfn.XLOOKUP($A$1,Fixture!$D$66:$D$73,Fixture!$F$66:$F$73,_xlfn.XLOOKUP($A$1,Fixture!$F$66:$F$73,Fixture!$D$66:$D$73,"Descansa",FALSE))</f>
        <v>Konami</v>
      </c>
      <c r="AO2" s="141"/>
      <c r="AP2" s="141"/>
      <c r="AQ2" s="142"/>
      <c r="AR2" s="140" t="str">
        <f>+_xlfn.XLOOKUP($A$1,Fixture!$D$74:$D$81,Fixture!$F$74:$F$81,_xlfn.XLOOKUP($A$1,Fixture!$F$74:$F$81,Fixture!$D$74:$D$81,"Descansa",FALSE))</f>
        <v>Villanueva</v>
      </c>
      <c r="AS2" s="141"/>
      <c r="AT2" s="141"/>
      <c r="AU2" s="142"/>
      <c r="AV2" s="140" t="str">
        <f>+_xlfn.XLOOKUP($A$1,Fixture!$D$82:$D$89,Fixture!$F$82:$F$89,_xlfn.XLOOKUP($A$1,Fixture!$F$82:$F$89,Fixture!$D$82:$D$89,"Descansa",FALSE))</f>
        <v>Ron Star</v>
      </c>
      <c r="AW2" s="141"/>
      <c r="AX2" s="141"/>
      <c r="AY2" s="142"/>
      <c r="AZ2" s="140" t="str">
        <f>+_xlfn.XLOOKUP($A$1,Fixture!$D$90:$D$97,Fixture!$F$90:$F$97,_xlfn.XLOOKUP($A$1,Fixture!$F$90:$F$97,Fixture!$D$90:$D$97,"Descansa",FALSE))</f>
        <v>Valentín FC</v>
      </c>
      <c r="BA2" s="141"/>
      <c r="BB2" s="141"/>
      <c r="BC2" s="142"/>
      <c r="BD2" s="140" t="str">
        <f>+_xlfn.XLOOKUP($A$1,Fixture!$D$98:$D$105,Fixture!$F$98:$F$105,_xlfn.XLOOKUP($A$1,Fixture!$F$98:$F$105,Fixture!$D$98:$D$105,"Descansa",FALSE))</f>
        <v>Hojas Anchas</v>
      </c>
      <c r="BE2" s="141"/>
      <c r="BF2" s="141"/>
      <c r="BG2" s="142"/>
      <c r="BH2" s="140" t="str">
        <f>+_xlfn.XLOOKUP($A$1,Fixture!$D$106:$D$113,Fixture!$F$106:$F$113,_xlfn.XLOOKUP($A$1,Fixture!$F$106:$F$113,Fixture!$D$106:$D$113,"Descansa",FALSE))</f>
        <v>La Unión FC</v>
      </c>
      <c r="BI2" s="141"/>
      <c r="BJ2" s="141"/>
      <c r="BK2" s="142"/>
      <c r="BL2" s="140" t="str">
        <f>+_xlfn.XLOOKUP($A$1,Fixture!$D$114:$D$121,Fixture!$F$114:$F$121,_xlfn.XLOOKUP($A$1,Fixture!$F$114:$F$121,Fixture!$D$114:$D$121,"Descansa",FALSE))</f>
        <v>Boca Juniors</v>
      </c>
      <c r="BM2" s="141"/>
      <c r="BN2" s="141"/>
      <c r="BO2" s="142"/>
      <c r="BP2" s="140" t="str">
        <f>+_xlfn.XLOOKUP($A$1,Fixture!$D$122:$D$128,Fixture!$F$122:$F$128,_xlfn.XLOOKUP($A$1,Fixture!$F$122:$F$128,Fixture!$D$122:$D$128,"Descansa",FALSE))</f>
        <v>Deportivo Fénix</v>
      </c>
      <c r="BQ2" s="141"/>
      <c r="BR2" s="141"/>
      <c r="BS2" s="142"/>
      <c r="BT2" s="140" t="str">
        <f>+_xlfn.XLOOKUP($A$1,Fixture!$D$129:$D$135,Fixture!$F$129:$F$135,_xlfn.XLOOKUP($A$1,Fixture!$F$129:$F$135,Fixture!$D$129:$D$135,"Descansa",FALSE))</f>
        <v>Villanueva</v>
      </c>
      <c r="BU2" s="141"/>
      <c r="BV2" s="141"/>
      <c r="BW2" s="142"/>
      <c r="BX2" s="140" t="str">
        <f>+_xlfn.XLOOKUP($A$1,Fixture!$D$136:$D$141,Fixture!$F$136:$F$141,_xlfn.XLOOKUP($A$1,Fixture!$F$136:$F$141,Fixture!$D$136:$D$141,"Descansa",FALSE))</f>
        <v>Descansa</v>
      </c>
      <c r="BY2" s="141"/>
      <c r="BZ2" s="141"/>
      <c r="CA2" s="142"/>
      <c r="CB2" s="140" t="str">
        <f>+_xlfn.XLOOKUP($A$1,Fixture!$D$142:$D$149,Fixture!$F$142:$F$149,_xlfn.XLOOKUP($A$1,Fixture!$F$142:$F$149,Fixture!$D$142:$D$149,"Descansa",FALSE))</f>
        <v>Konami</v>
      </c>
      <c r="CC2" s="141"/>
      <c r="CD2" s="141"/>
      <c r="CE2" s="142"/>
      <c r="CF2" s="140" t="str">
        <f>+_xlfn.XLOOKUP($A$1,Fixture!$D$150:$D$155,Fixture!$F$150:$F$155,_xlfn.XLOOKUP($A$1,Fixture!$F$150:$F$155,Fixture!$D$150:$D$155,"Descansa",FALSE))</f>
        <v>La Amistad</v>
      </c>
      <c r="CG2" s="141"/>
      <c r="CH2" s="141"/>
      <c r="CI2" s="142"/>
      <c r="CJ2" s="140" t="str">
        <f>+_xlfn.XLOOKUP($A$1,Fixture!$D$156:$D$161,Fixture!$F$156:$F$161,_xlfn.XLOOKUP($A$1,Fixture!$F$156:$F$161,Fixture!$D$156:$D$161,"Descansa",FALSE))</f>
        <v>La Nueva Era</v>
      </c>
      <c r="CK2" s="141"/>
      <c r="CL2" s="141"/>
      <c r="CM2" s="142"/>
      <c r="CN2" s="140" t="str">
        <f>+_xlfn.XLOOKUP($A$1,Fixture!$D$162:$D$167,Fixture!$F$162:$F$167,_xlfn.XLOOKUP($A$1,Fixture!$F$162:$F$167,Fixture!$D$162:$D$167,"Descansa",FALSE))</f>
        <v>Descansa</v>
      </c>
      <c r="CO2" s="141"/>
      <c r="CP2" s="141"/>
      <c r="CQ2" s="142"/>
      <c r="CR2" s="140" t="str">
        <f>+_xlfn.XLOOKUP($A$1,Fixture!$D$168:$D$169,Fixture!$F$168:$F$169,_xlfn.XLOOKUP($A$1,Fixture!$F$168:$F$169,Fixture!$D$168:$D$169,"Descanssa",FALSE))</f>
        <v>Descanssa</v>
      </c>
      <c r="CS2" s="141"/>
      <c r="CT2" s="141"/>
      <c r="CU2" s="142"/>
      <c r="CV2" s="140" t="str">
        <f>+_xlfn.XLOOKUP($A$1,Fixture!$D$170:$D$171,Fixture!$F$170:$F$171,_xlfn.XLOOKUP($A$1,Fixture!$F$170:$F$171,Fixture!$D$170:$D$171,"Descansa",FALSE))</f>
        <v>CD El Corozo</v>
      </c>
      <c r="CW2" s="141"/>
      <c r="CX2" s="141"/>
      <c r="CY2" s="142"/>
      <c r="CZ2" s="72"/>
      <c r="DA2" s="73"/>
      <c r="DB2" s="73"/>
      <c r="DC2" s="74"/>
    </row>
    <row r="3" spans="1:107" ht="14.45" customHeight="1" x14ac:dyDescent="0.25">
      <c r="A3" s="180"/>
      <c r="B3" s="180"/>
      <c r="C3" s="180"/>
      <c r="D3" s="22" t="s">
        <v>89</v>
      </c>
      <c r="E3" s="22" t="s">
        <v>90</v>
      </c>
      <c r="F3" s="22" t="s">
        <v>91</v>
      </c>
      <c r="G3" s="24" t="s">
        <v>92</v>
      </c>
      <c r="H3" s="166">
        <f>IF(Fixture!$C5=0,"",Fixture!$C5)</f>
        <v>45676</v>
      </c>
      <c r="I3" s="167"/>
      <c r="J3" s="167"/>
      <c r="K3" s="168"/>
      <c r="L3" s="166">
        <f>IF(Fixture!$C13=0,"",Fixture!$C13)</f>
        <v>45683</v>
      </c>
      <c r="M3" s="167"/>
      <c r="N3" s="167"/>
      <c r="O3" s="168"/>
      <c r="P3" s="166">
        <f>IF(Fixture!$C22=0,"",Fixture!$C22)</f>
        <v>45690</v>
      </c>
      <c r="Q3" s="167"/>
      <c r="R3" s="167"/>
      <c r="S3" s="168"/>
      <c r="T3" s="166">
        <f>IF(Fixture!$C31=0,"",Fixture!$C31)</f>
        <v>45697</v>
      </c>
      <c r="U3" s="167"/>
      <c r="V3" s="167"/>
      <c r="W3" s="168"/>
      <c r="X3" s="166">
        <f>IF(Fixture!$C36=0,"",Fixture!$C36)</f>
        <v>45704</v>
      </c>
      <c r="Y3" s="167"/>
      <c r="Z3" s="167"/>
      <c r="AA3" s="168"/>
      <c r="AB3" s="166">
        <f>IF(Fixture!$C43=0,"",Fixture!$C43)</f>
        <v>45711</v>
      </c>
      <c r="AC3" s="167"/>
      <c r="AD3" s="167"/>
      <c r="AE3" s="168"/>
      <c r="AF3" s="166">
        <f>IF(Fixture!$C51=0,"",Fixture!$C51)</f>
        <v>45718</v>
      </c>
      <c r="AG3" s="167"/>
      <c r="AH3" s="167"/>
      <c r="AI3" s="168"/>
      <c r="AJ3" s="166">
        <f>IF(Fixture!$C58=0,"",Fixture!$C58)</f>
        <v>45725</v>
      </c>
      <c r="AK3" s="167"/>
      <c r="AL3" s="167"/>
      <c r="AM3" s="168"/>
      <c r="AN3" s="166">
        <f>IF(Fixture!$C66=0,"",Fixture!$C66)</f>
        <v>45704</v>
      </c>
      <c r="AO3" s="167"/>
      <c r="AP3" s="167"/>
      <c r="AQ3" s="168"/>
      <c r="AR3" s="166">
        <f>IF(Fixture!$C81=0,"",Fixture!$C81)</f>
        <v>45746</v>
      </c>
      <c r="AS3" s="167"/>
      <c r="AT3" s="167"/>
      <c r="AU3" s="168"/>
      <c r="AV3" s="166">
        <f>IF(Fixture!$C82=0,"",Fixture!$C82)</f>
        <v>45753</v>
      </c>
      <c r="AW3" s="167"/>
      <c r="AX3" s="167"/>
      <c r="AY3" s="168"/>
      <c r="AZ3" s="166">
        <f>IF(Fixture!$C90=0,"",Fixture!$C90)</f>
        <v>45774</v>
      </c>
      <c r="BA3" s="167"/>
      <c r="BB3" s="167"/>
      <c r="BC3" s="168"/>
      <c r="BD3" s="166">
        <f>IF(Fixture!$C99=0,"",Fixture!$C99)</f>
        <v>45781</v>
      </c>
      <c r="BE3" s="167"/>
      <c r="BF3" s="167"/>
      <c r="BG3" s="168"/>
      <c r="BH3" s="163" t="e">
        <f>+VLOOKUP(BH1,Resultados!$A$3:$B$71,2,FALSE)</f>
        <v>#N/A</v>
      </c>
      <c r="BI3" s="164"/>
      <c r="BJ3" s="164"/>
      <c r="BK3" s="165"/>
      <c r="BL3" s="163" t="e">
        <f>+VLOOKUP(BL1,Resultados!$A$3:$B$71,2,FALSE)</f>
        <v>#N/A</v>
      </c>
      <c r="BM3" s="164"/>
      <c r="BN3" s="164"/>
      <c r="BO3" s="165"/>
      <c r="BP3" s="163" t="e">
        <f>+VLOOKUP(BP1,Resultados!$A$3:$B$71,2,FALSE)</f>
        <v>#N/A</v>
      </c>
      <c r="BQ3" s="164"/>
      <c r="BR3" s="164"/>
      <c r="BS3" s="165"/>
      <c r="BT3" s="163" t="e">
        <f>+VLOOKUP(BT1,Resultados!$A$3:$B$71,2,FALSE)</f>
        <v>#N/A</v>
      </c>
      <c r="BU3" s="164"/>
      <c r="BV3" s="164"/>
      <c r="BW3" s="165"/>
      <c r="BX3" s="163" t="e">
        <f>+VLOOKUP(BX1,Resultados!$A$3:$B$71,2,FALSE)</f>
        <v>#N/A</v>
      </c>
      <c r="BY3" s="164"/>
      <c r="BZ3" s="164"/>
      <c r="CA3" s="165"/>
      <c r="CB3" s="163" t="e">
        <f>+VLOOKUP(CB1,Resultados!$A$3:$B$71,2,FALSE)</f>
        <v>#N/A</v>
      </c>
      <c r="CC3" s="164"/>
      <c r="CD3" s="164"/>
      <c r="CE3" s="165"/>
      <c r="CF3" s="163" t="e">
        <f>+VLOOKUP(CF1,Resultados!$A$3:$B$71,2,FALSE)</f>
        <v>#N/A</v>
      </c>
      <c r="CG3" s="164"/>
      <c r="CH3" s="164"/>
      <c r="CI3" s="165"/>
      <c r="CJ3" s="163" t="e">
        <f>+VLOOKUP(CJ1,Resultados!$A$3:$B$71,2,FALSE)</f>
        <v>#N/A</v>
      </c>
      <c r="CK3" s="164"/>
      <c r="CL3" s="164"/>
      <c r="CM3" s="165"/>
      <c r="CN3" s="163" t="e">
        <f>+VLOOKUP(CN1,Resultados!$A$3:$B$71,2,FALSE)</f>
        <v>#N/A</v>
      </c>
      <c r="CO3" s="164"/>
      <c r="CP3" s="164"/>
      <c r="CQ3" s="165"/>
      <c r="CR3" s="163" t="e">
        <f>+VLOOKUP(CR1,Resultados!$A$3:$B$71,2,FALSE)</f>
        <v>#N/A</v>
      </c>
      <c r="CS3" s="164"/>
      <c r="CT3" s="164"/>
      <c r="CU3" s="165"/>
      <c r="CV3" s="163" t="e">
        <f>+VLOOKUP(CV1,Resultados!$A$3:$B$71,2,FALSE)</f>
        <v>#N/A</v>
      </c>
      <c r="CW3" s="164"/>
      <c r="CX3" s="164"/>
      <c r="CY3" s="165"/>
      <c r="CZ3" s="163" t="e">
        <f>+VLOOKUP(CZ1,Resultados!$A$3:$B$71,2,FALSE)</f>
        <v>#N/A</v>
      </c>
      <c r="DA3" s="164"/>
      <c r="DB3" s="164"/>
      <c r="DC3" s="165"/>
    </row>
    <row r="4" spans="1:107" ht="19.899999999999999" customHeight="1" x14ac:dyDescent="0.25">
      <c r="A4" s="190" t="s">
        <v>3</v>
      </c>
      <c r="B4" s="154" t="str">
        <f>Jugadores!G3</f>
        <v>Duver Berrio</v>
      </c>
      <c r="C4" s="155"/>
      <c r="D4" s="24">
        <f>H4+L4+P4+T4+X4+AB4+AF4+AJ4+AN4+AR4+AV4+AZ4+BD4+BH4+BL4+BP4+BT4+BX4+CB4+CF4+CJ4+CN4+CR4+CV4+CZ4</f>
        <v>1</v>
      </c>
      <c r="E4" s="24">
        <f>I4+M4+Q4+U4+Y4+AC4+AG4+AK4+AO4+AS4+AW4+BA4+BE4+BI4+BM4+BQ4+BV4+BY4+CD4+CG4+CL4+CO4+CT4+CW4+DB4</f>
        <v>0</v>
      </c>
      <c r="F4" s="115">
        <f>J4+N4+R4+V4+Z4+AD4+AH4+AL4+AP4+AT4+AX4+BB4+BF4+BJ4+BN4+BT4+BX4+CB4+CF4+CJ4+CN4+CR4+CV4+CZ4</f>
        <v>0</v>
      </c>
      <c r="G4" s="115">
        <f>K4+O4+S4+W4+AA4+AE4+AI4+AM4+AQ4+AU4+AY4+BC4+BG4+BK4+BO4+BV4+BY4+CD4+CG4+CL4+CO4+CT4+CW4+DB4</f>
        <v>0</v>
      </c>
      <c r="H4" s="28"/>
      <c r="I4" s="26"/>
      <c r="J4" s="26"/>
      <c r="K4" s="29"/>
      <c r="L4" s="28"/>
      <c r="M4" s="26"/>
      <c r="N4" s="26"/>
      <c r="O4" s="29"/>
      <c r="P4" s="28">
        <v>1</v>
      </c>
      <c r="Q4" s="26"/>
      <c r="R4" s="26"/>
      <c r="S4" s="29"/>
      <c r="T4" s="28"/>
      <c r="U4" s="26"/>
      <c r="V4" s="26"/>
      <c r="W4" s="29"/>
      <c r="X4" s="28"/>
      <c r="Y4" s="26"/>
      <c r="Z4" s="26"/>
      <c r="AA4" s="29"/>
      <c r="AB4" s="28"/>
      <c r="AC4" s="26"/>
      <c r="AD4" s="26"/>
      <c r="AE4" s="29"/>
      <c r="AF4" s="28"/>
      <c r="AG4" s="26"/>
      <c r="AH4" s="26"/>
      <c r="AI4" s="29"/>
      <c r="AJ4" s="28"/>
      <c r="AK4" s="26"/>
      <c r="AL4" s="26"/>
      <c r="AM4" s="29"/>
      <c r="AN4" s="28"/>
      <c r="AO4" s="26"/>
      <c r="AP4" s="26"/>
      <c r="AQ4" s="29"/>
      <c r="AR4" s="28"/>
      <c r="AS4" s="26"/>
      <c r="AT4" s="26"/>
      <c r="AU4" s="29"/>
      <c r="AV4" s="28"/>
      <c r="AW4" s="26"/>
      <c r="AX4" s="26"/>
      <c r="AY4" s="29"/>
      <c r="AZ4" s="28"/>
      <c r="BA4" s="26"/>
      <c r="BB4" s="26"/>
      <c r="BC4" s="29"/>
      <c r="BD4" s="28"/>
      <c r="BE4" s="26"/>
      <c r="BF4" s="26"/>
      <c r="BG4" s="29"/>
      <c r="BH4" s="28"/>
      <c r="BI4" s="26"/>
      <c r="BJ4" s="26"/>
      <c r="BK4" s="29"/>
      <c r="BL4" s="28"/>
      <c r="BM4" s="26"/>
      <c r="BN4" s="26"/>
      <c r="BO4" s="29"/>
      <c r="BP4" s="28"/>
      <c r="BQ4" s="26"/>
      <c r="BR4" s="26"/>
      <c r="BS4" s="29"/>
      <c r="BT4" s="28"/>
      <c r="BU4" s="26"/>
      <c r="BV4" s="26"/>
      <c r="BW4" s="29"/>
      <c r="BX4" s="28"/>
      <c r="BY4" s="26"/>
      <c r="BZ4" s="26"/>
      <c r="CA4" s="29"/>
      <c r="CB4" s="28"/>
      <c r="CC4" s="26"/>
      <c r="CD4" s="26"/>
      <c r="CE4" s="29"/>
      <c r="CF4" s="28"/>
      <c r="CG4" s="26"/>
      <c r="CH4" s="26"/>
      <c r="CI4" s="29"/>
      <c r="CJ4" s="28"/>
      <c r="CK4" s="26"/>
      <c r="CL4" s="26"/>
      <c r="CM4" s="29"/>
      <c r="CN4" s="28"/>
      <c r="CO4" s="26"/>
      <c r="CP4" s="26"/>
      <c r="CQ4" s="29"/>
      <c r="CR4" s="28"/>
      <c r="CS4" s="26"/>
      <c r="CT4" s="26"/>
      <c r="CU4" s="29"/>
      <c r="CV4" s="28"/>
      <c r="CW4" s="26"/>
      <c r="CX4" s="26"/>
      <c r="CY4" s="29"/>
      <c r="CZ4" s="28"/>
      <c r="DA4" s="26"/>
      <c r="DB4" s="26"/>
      <c r="DC4" s="29"/>
    </row>
    <row r="5" spans="1:107" ht="19.899999999999999" customHeight="1" x14ac:dyDescent="0.25">
      <c r="A5" s="190"/>
      <c r="B5" s="154" t="str">
        <f>Jugadores!G4</f>
        <v>José Barrios</v>
      </c>
      <c r="C5" s="155"/>
      <c r="D5" s="24">
        <f t="shared" ref="D5:D18" si="0">H5+L5+P5+T5+X5+AB5+AF5+AJ5+AN5+AR5+AV5+AZ5+BD5+BH5+BL5+BP5+BT5+BX5+CB5+CF5+CJ5+CN5+CR5+CV5+CZ5</f>
        <v>9</v>
      </c>
      <c r="E5" s="24">
        <f t="shared" ref="E5:E18" si="1">I5+M5+Q5+U5+Y5+AC5+AG5+AK5+AO5+AS5+AW5+BA5+BE5+BI5+BM5+BQ5+BV5+BY5+CD5+CG5+CL5+CO5+CT5+CW5+DB5</f>
        <v>0</v>
      </c>
      <c r="F5" s="115">
        <f t="shared" ref="F5:F18" si="2">J5+N5+R5+V5+Z5+AD5+AH5+AL5+AP5+AT5+AX5+BB5+BF5+BJ5+BN5+BT5+BX5+CB5+CF5+CJ5+CN5+CR5+CV5+CZ5</f>
        <v>0</v>
      </c>
      <c r="G5" s="115">
        <f t="shared" ref="G5:G18" si="3">K5+O5+S5+W5+AA5+AE5+AI5+AM5+AQ5+AU5+AY5+BC5+BG5+BK5+BO5+BV5+BY5+CD5+CG5+CL5+CO5+CT5+CW5+DB5</f>
        <v>0</v>
      </c>
      <c r="H5" s="28">
        <v>1</v>
      </c>
      <c r="I5" s="26"/>
      <c r="J5" s="26"/>
      <c r="K5" s="29"/>
      <c r="L5" s="28"/>
      <c r="M5" s="26"/>
      <c r="N5" s="26"/>
      <c r="O5" s="29"/>
      <c r="P5" s="28"/>
      <c r="Q5" s="26"/>
      <c r="R5" s="26"/>
      <c r="S5" s="29"/>
      <c r="T5" s="28"/>
      <c r="U5" s="26"/>
      <c r="V5" s="26"/>
      <c r="W5" s="29"/>
      <c r="X5" s="28"/>
      <c r="Y5" s="26"/>
      <c r="Z5" s="26"/>
      <c r="AA5" s="29"/>
      <c r="AB5" s="28"/>
      <c r="AC5" s="26"/>
      <c r="AD5" s="26"/>
      <c r="AE5" s="29"/>
      <c r="AF5" s="28">
        <v>1</v>
      </c>
      <c r="AG5" s="26"/>
      <c r="AH5" s="26"/>
      <c r="AI5" s="29"/>
      <c r="AJ5" s="28"/>
      <c r="AK5" s="26"/>
      <c r="AL5" s="26"/>
      <c r="AM5" s="29"/>
      <c r="AN5" s="28"/>
      <c r="AO5" s="26"/>
      <c r="AP5" s="26"/>
      <c r="AQ5" s="29"/>
      <c r="AR5" s="28">
        <v>2</v>
      </c>
      <c r="AS5" s="26"/>
      <c r="AT5" s="26"/>
      <c r="AU5" s="29"/>
      <c r="AV5" s="28"/>
      <c r="AW5" s="26"/>
      <c r="AX5" s="26"/>
      <c r="AY5" s="29"/>
      <c r="AZ5" s="28">
        <v>2</v>
      </c>
      <c r="BA5" s="26"/>
      <c r="BB5" s="26"/>
      <c r="BC5" s="29"/>
      <c r="BD5" s="28"/>
      <c r="BE5" s="26"/>
      <c r="BF5" s="26"/>
      <c r="BG5" s="29"/>
      <c r="BH5" s="28"/>
      <c r="BI5" s="26"/>
      <c r="BJ5" s="26"/>
      <c r="BK5" s="29"/>
      <c r="BL5" s="28"/>
      <c r="BM5" s="26"/>
      <c r="BN5" s="26"/>
      <c r="BO5" s="29"/>
      <c r="BP5" s="28">
        <v>3</v>
      </c>
      <c r="BQ5" s="26"/>
      <c r="BR5" s="26"/>
      <c r="BS5" s="29"/>
      <c r="BT5" s="28"/>
      <c r="BU5" s="26"/>
      <c r="BV5" s="26"/>
      <c r="BW5" s="29"/>
      <c r="BX5" s="28"/>
      <c r="BY5" s="26"/>
      <c r="BZ5" s="26"/>
      <c r="CA5" s="29"/>
      <c r="CB5" s="28"/>
      <c r="CC5" s="26"/>
      <c r="CD5" s="26"/>
      <c r="CE5" s="29"/>
      <c r="CF5" s="28"/>
      <c r="CG5" s="26"/>
      <c r="CH5" s="26"/>
      <c r="CI5" s="29"/>
      <c r="CJ5" s="28"/>
      <c r="CK5" s="26"/>
      <c r="CL5" s="26"/>
      <c r="CM5" s="29"/>
      <c r="CN5" s="28"/>
      <c r="CO5" s="26"/>
      <c r="CP5" s="26"/>
      <c r="CQ5" s="29"/>
      <c r="CR5" s="28"/>
      <c r="CS5" s="26"/>
      <c r="CT5" s="26"/>
      <c r="CU5" s="29"/>
      <c r="CV5" s="28"/>
      <c r="CW5" s="26"/>
      <c r="CX5" s="26"/>
      <c r="CY5" s="29"/>
      <c r="CZ5" s="28"/>
      <c r="DA5" s="26"/>
      <c r="DB5" s="26"/>
      <c r="DC5" s="29"/>
    </row>
    <row r="6" spans="1:107" ht="19.899999999999999" customHeight="1" x14ac:dyDescent="0.25">
      <c r="A6" s="190"/>
      <c r="B6" s="154" t="str">
        <f>Jugadores!G5</f>
        <v>Sebastián Cano</v>
      </c>
      <c r="C6" s="155"/>
      <c r="D6" s="24">
        <f t="shared" si="0"/>
        <v>1</v>
      </c>
      <c r="E6" s="24">
        <f t="shared" si="1"/>
        <v>0</v>
      </c>
      <c r="F6" s="115">
        <f t="shared" si="2"/>
        <v>0</v>
      </c>
      <c r="G6" s="115">
        <f t="shared" si="3"/>
        <v>0</v>
      </c>
      <c r="H6" s="28">
        <v>1</v>
      </c>
      <c r="I6" s="26"/>
      <c r="J6" s="26"/>
      <c r="K6" s="29"/>
      <c r="L6" s="28"/>
      <c r="M6" s="26"/>
      <c r="N6" s="26"/>
      <c r="O6" s="29"/>
      <c r="P6" s="28"/>
      <c r="Q6" s="26"/>
      <c r="R6" s="26"/>
      <c r="S6" s="29"/>
      <c r="T6" s="28"/>
      <c r="U6" s="26"/>
      <c r="V6" s="26"/>
      <c r="W6" s="29"/>
      <c r="X6" s="28"/>
      <c r="Y6" s="26"/>
      <c r="Z6" s="26"/>
      <c r="AA6" s="29"/>
      <c r="AB6" s="28"/>
      <c r="AC6" s="26"/>
      <c r="AD6" s="26"/>
      <c r="AE6" s="29"/>
      <c r="AF6" s="28"/>
      <c r="AG6" s="26"/>
      <c r="AH6" s="26"/>
      <c r="AI6" s="29"/>
      <c r="AJ6" s="28"/>
      <c r="AK6" s="26"/>
      <c r="AL6" s="26"/>
      <c r="AM6" s="29"/>
      <c r="AN6" s="28"/>
      <c r="AO6" s="26"/>
      <c r="AP6" s="26"/>
      <c r="AQ6" s="29"/>
      <c r="AR6" s="28"/>
      <c r="AS6" s="26"/>
      <c r="AT6" s="26"/>
      <c r="AU6" s="29"/>
      <c r="AV6" s="28"/>
      <c r="AW6" s="26"/>
      <c r="AX6" s="26"/>
      <c r="AY6" s="29"/>
      <c r="AZ6" s="28"/>
      <c r="BA6" s="26"/>
      <c r="BB6" s="26"/>
      <c r="BC6" s="29"/>
      <c r="BD6" s="28"/>
      <c r="BE6" s="26"/>
      <c r="BF6" s="26"/>
      <c r="BG6" s="29"/>
      <c r="BH6" s="28"/>
      <c r="BI6" s="26"/>
      <c r="BJ6" s="26"/>
      <c r="BK6" s="29"/>
      <c r="BL6" s="28"/>
      <c r="BM6" s="26"/>
      <c r="BN6" s="26"/>
      <c r="BO6" s="29"/>
      <c r="BP6" s="28"/>
      <c r="BQ6" s="26"/>
      <c r="BR6" s="26"/>
      <c r="BS6" s="29"/>
      <c r="BT6" s="28"/>
      <c r="BU6" s="26"/>
      <c r="BV6" s="26"/>
      <c r="BW6" s="29"/>
      <c r="BX6" s="28"/>
      <c r="BY6" s="26"/>
      <c r="BZ6" s="26"/>
      <c r="CA6" s="29"/>
      <c r="CB6" s="28"/>
      <c r="CC6" s="26"/>
      <c r="CD6" s="26"/>
      <c r="CE6" s="29"/>
      <c r="CF6" s="28"/>
      <c r="CG6" s="26"/>
      <c r="CH6" s="26"/>
      <c r="CI6" s="29"/>
      <c r="CJ6" s="28"/>
      <c r="CK6" s="26"/>
      <c r="CL6" s="26"/>
      <c r="CM6" s="29"/>
      <c r="CN6" s="28"/>
      <c r="CO6" s="26"/>
      <c r="CP6" s="26"/>
      <c r="CQ6" s="29"/>
      <c r="CR6" s="28"/>
      <c r="CS6" s="26"/>
      <c r="CT6" s="26"/>
      <c r="CU6" s="29"/>
      <c r="CV6" s="28"/>
      <c r="CW6" s="26"/>
      <c r="CX6" s="26"/>
      <c r="CY6" s="29"/>
      <c r="CZ6" s="28"/>
      <c r="DA6" s="26"/>
      <c r="DB6" s="26"/>
      <c r="DC6" s="29"/>
    </row>
    <row r="7" spans="1:107" ht="19.899999999999999" customHeight="1" x14ac:dyDescent="0.25">
      <c r="A7" s="190"/>
      <c r="B7" s="154" t="str">
        <f>Jugadores!G6</f>
        <v>Martín Angulo</v>
      </c>
      <c r="C7" s="155"/>
      <c r="D7" s="24">
        <f t="shared" si="0"/>
        <v>14</v>
      </c>
      <c r="E7" s="24">
        <f t="shared" si="1"/>
        <v>4</v>
      </c>
      <c r="F7" s="115">
        <f t="shared" si="2"/>
        <v>2</v>
      </c>
      <c r="G7" s="115">
        <f t="shared" si="3"/>
        <v>1</v>
      </c>
      <c r="H7" s="28"/>
      <c r="I7" s="26"/>
      <c r="J7" s="26"/>
      <c r="K7" s="29"/>
      <c r="L7" s="28">
        <v>1</v>
      </c>
      <c r="M7" s="26"/>
      <c r="N7" s="26"/>
      <c r="O7" s="29"/>
      <c r="P7" s="28">
        <v>2</v>
      </c>
      <c r="Q7" s="26"/>
      <c r="R7" s="26"/>
      <c r="S7" s="29"/>
      <c r="T7" s="28"/>
      <c r="U7" s="26"/>
      <c r="V7" s="26"/>
      <c r="W7" s="29"/>
      <c r="X7" s="28"/>
      <c r="Y7" s="26"/>
      <c r="Z7" s="26"/>
      <c r="AA7" s="29"/>
      <c r="AB7" s="28"/>
      <c r="AC7" s="26"/>
      <c r="AD7" s="26"/>
      <c r="AE7" s="29"/>
      <c r="AF7" s="28"/>
      <c r="AG7" s="26"/>
      <c r="AH7" s="26"/>
      <c r="AI7" s="29"/>
      <c r="AJ7" s="28">
        <v>1</v>
      </c>
      <c r="AK7" s="26"/>
      <c r="AL7" s="26"/>
      <c r="AM7" s="29"/>
      <c r="AN7" s="28">
        <v>3</v>
      </c>
      <c r="AO7" s="26">
        <v>1</v>
      </c>
      <c r="AP7" s="26"/>
      <c r="AQ7" s="29"/>
      <c r="AR7" s="28">
        <v>1</v>
      </c>
      <c r="AS7" s="26">
        <v>1</v>
      </c>
      <c r="AT7" s="26"/>
      <c r="AU7" s="29"/>
      <c r="AV7" s="28"/>
      <c r="AW7" s="26"/>
      <c r="AX7" s="26"/>
      <c r="AY7" s="29"/>
      <c r="AZ7" s="28">
        <v>3</v>
      </c>
      <c r="BA7" s="26">
        <v>1</v>
      </c>
      <c r="BB7" s="26"/>
      <c r="BC7" s="29"/>
      <c r="BD7" s="28">
        <v>1</v>
      </c>
      <c r="BE7" s="26"/>
      <c r="BF7" s="26"/>
      <c r="BG7" s="29"/>
      <c r="BH7" s="28"/>
      <c r="BI7" s="26"/>
      <c r="BJ7" s="26"/>
      <c r="BK7" s="29"/>
      <c r="BL7" s="28"/>
      <c r="BM7" s="26"/>
      <c r="BN7" s="26"/>
      <c r="BO7" s="29"/>
      <c r="BP7" s="28"/>
      <c r="BQ7" s="26"/>
      <c r="BR7" s="26"/>
      <c r="BS7" s="29"/>
      <c r="BT7" s="28"/>
      <c r="BU7" s="26"/>
      <c r="BV7" s="26"/>
      <c r="BW7" s="29"/>
      <c r="BX7" s="28"/>
      <c r="BY7" s="26"/>
      <c r="BZ7" s="26"/>
      <c r="CA7" s="29"/>
      <c r="CB7" s="28"/>
      <c r="CC7" s="26"/>
      <c r="CD7" s="26"/>
      <c r="CE7" s="29"/>
      <c r="CF7" s="28"/>
      <c r="CG7" s="26">
        <v>1</v>
      </c>
      <c r="CH7" s="26"/>
      <c r="CI7" s="29"/>
      <c r="CJ7" s="28">
        <v>2</v>
      </c>
      <c r="CK7" s="26"/>
      <c r="CL7" s="26"/>
      <c r="CM7" s="29"/>
      <c r="CN7" s="28"/>
      <c r="CO7" s="26"/>
      <c r="CP7" s="26"/>
      <c r="CQ7" s="29"/>
      <c r="CR7" s="28"/>
      <c r="CS7" s="26"/>
      <c r="CT7" s="26"/>
      <c r="CU7" s="29"/>
      <c r="CV7" s="28"/>
      <c r="CW7" s="26"/>
      <c r="CX7" s="26"/>
      <c r="CY7" s="29"/>
      <c r="CZ7" s="28"/>
      <c r="DA7" s="26"/>
      <c r="DB7" s="26"/>
      <c r="DC7" s="29"/>
    </row>
    <row r="8" spans="1:107" ht="19.899999999999999" customHeight="1" x14ac:dyDescent="0.25">
      <c r="A8" s="190"/>
      <c r="B8" s="154" t="str">
        <f>Jugadores!G7</f>
        <v>Daniel Zuleta</v>
      </c>
      <c r="C8" s="155"/>
      <c r="D8" s="24">
        <f t="shared" si="0"/>
        <v>8</v>
      </c>
      <c r="E8" s="24">
        <f t="shared" si="1"/>
        <v>0</v>
      </c>
      <c r="F8" s="115">
        <f t="shared" si="2"/>
        <v>4</v>
      </c>
      <c r="G8" s="115">
        <f t="shared" si="3"/>
        <v>0</v>
      </c>
      <c r="H8" s="28"/>
      <c r="I8" s="26"/>
      <c r="J8" s="26"/>
      <c r="K8" s="29"/>
      <c r="L8" s="28">
        <v>1</v>
      </c>
      <c r="M8" s="26"/>
      <c r="N8" s="26"/>
      <c r="O8" s="29"/>
      <c r="P8" s="28"/>
      <c r="Q8" s="26"/>
      <c r="R8" s="26"/>
      <c r="S8" s="29"/>
      <c r="T8" s="28"/>
      <c r="U8" s="26"/>
      <c r="V8" s="26"/>
      <c r="W8" s="29"/>
      <c r="X8" s="28"/>
      <c r="Y8" s="26"/>
      <c r="Z8" s="26"/>
      <c r="AA8" s="29"/>
      <c r="AB8" s="28"/>
      <c r="AC8" s="26"/>
      <c r="AD8" s="26"/>
      <c r="AE8" s="29"/>
      <c r="AF8" s="28">
        <v>1</v>
      </c>
      <c r="AG8" s="26"/>
      <c r="AH8" s="26"/>
      <c r="AI8" s="29"/>
      <c r="AJ8" s="28"/>
      <c r="AK8" s="26"/>
      <c r="AL8" s="26"/>
      <c r="AM8" s="29"/>
      <c r="AN8" s="28"/>
      <c r="AO8" s="26"/>
      <c r="AP8" s="26"/>
      <c r="AQ8" s="29"/>
      <c r="AR8" s="28"/>
      <c r="AS8" s="26"/>
      <c r="AT8" s="26"/>
      <c r="AU8" s="29"/>
      <c r="AV8" s="28"/>
      <c r="AW8" s="26"/>
      <c r="AX8" s="26"/>
      <c r="AY8" s="29"/>
      <c r="AZ8" s="28">
        <v>2</v>
      </c>
      <c r="BA8" s="26"/>
      <c r="BB8" s="26"/>
      <c r="BC8" s="29"/>
      <c r="BD8" s="28"/>
      <c r="BE8" s="26"/>
      <c r="BF8" s="26"/>
      <c r="BG8" s="29"/>
      <c r="BH8" s="28"/>
      <c r="BI8" s="26"/>
      <c r="BJ8" s="26"/>
      <c r="BK8" s="29"/>
      <c r="BL8" s="28"/>
      <c r="BM8" s="26"/>
      <c r="BN8" s="26"/>
      <c r="BO8" s="29"/>
      <c r="BP8" s="28"/>
      <c r="BQ8" s="26"/>
      <c r="BR8" s="26"/>
      <c r="BS8" s="29"/>
      <c r="BT8" s="28"/>
      <c r="BU8" s="26"/>
      <c r="BV8" s="26"/>
      <c r="BW8" s="29"/>
      <c r="BX8" s="28"/>
      <c r="BY8" s="26"/>
      <c r="BZ8" s="26"/>
      <c r="CA8" s="29"/>
      <c r="CB8" s="28"/>
      <c r="CC8" s="26"/>
      <c r="CD8" s="26"/>
      <c r="CE8" s="29"/>
      <c r="CF8" s="28">
        <v>2</v>
      </c>
      <c r="CG8" s="26"/>
      <c r="CH8" s="26"/>
      <c r="CI8" s="29"/>
      <c r="CJ8" s="28">
        <v>2</v>
      </c>
      <c r="CK8" s="26"/>
      <c r="CL8" s="26"/>
      <c r="CM8" s="29"/>
      <c r="CN8" s="28"/>
      <c r="CO8" s="26"/>
      <c r="CP8" s="26"/>
      <c r="CQ8" s="29"/>
      <c r="CR8" s="28"/>
      <c r="CS8" s="26"/>
      <c r="CT8" s="26"/>
      <c r="CU8" s="29"/>
      <c r="CV8" s="28"/>
      <c r="CW8" s="26"/>
      <c r="CX8" s="26"/>
      <c r="CY8" s="29"/>
      <c r="CZ8" s="28"/>
      <c r="DA8" s="26"/>
      <c r="DB8" s="26"/>
      <c r="DC8" s="29"/>
    </row>
    <row r="9" spans="1:107" ht="19.899999999999999" customHeight="1" x14ac:dyDescent="0.25">
      <c r="A9" s="190"/>
      <c r="B9" s="154" t="str">
        <f>Jugadores!G8</f>
        <v>Humberto Ochoa</v>
      </c>
      <c r="C9" s="155"/>
      <c r="D9" s="24">
        <f t="shared" si="0"/>
        <v>6</v>
      </c>
      <c r="E9" s="24">
        <f t="shared" si="1"/>
        <v>3</v>
      </c>
      <c r="F9" s="115">
        <f t="shared" si="2"/>
        <v>1</v>
      </c>
      <c r="G9" s="115">
        <f t="shared" si="3"/>
        <v>0</v>
      </c>
      <c r="H9" s="28">
        <v>1</v>
      </c>
      <c r="I9" s="26"/>
      <c r="J9" s="26"/>
      <c r="K9" s="29"/>
      <c r="L9" s="28"/>
      <c r="M9" s="26"/>
      <c r="N9" s="26"/>
      <c r="O9" s="29"/>
      <c r="P9" s="28"/>
      <c r="Q9" s="26"/>
      <c r="R9" s="26"/>
      <c r="S9" s="29"/>
      <c r="T9" s="28"/>
      <c r="U9" s="26"/>
      <c r="V9" s="26"/>
      <c r="W9" s="29"/>
      <c r="X9" s="28"/>
      <c r="Y9" s="26">
        <v>1</v>
      </c>
      <c r="Z9" s="26"/>
      <c r="AA9" s="29"/>
      <c r="AB9" s="28"/>
      <c r="AC9" s="26"/>
      <c r="AD9" s="26"/>
      <c r="AE9" s="29"/>
      <c r="AF9" s="28"/>
      <c r="AG9" s="26"/>
      <c r="AH9" s="26"/>
      <c r="AI9" s="29"/>
      <c r="AJ9" s="28"/>
      <c r="AK9" s="26">
        <v>1</v>
      </c>
      <c r="AL9" s="26"/>
      <c r="AM9" s="29"/>
      <c r="AN9" s="28">
        <v>1</v>
      </c>
      <c r="AO9" s="26"/>
      <c r="AP9" s="26"/>
      <c r="AQ9" s="29"/>
      <c r="AR9" s="28">
        <v>1</v>
      </c>
      <c r="AS9" s="26"/>
      <c r="AT9" s="26"/>
      <c r="AU9" s="29"/>
      <c r="AV9" s="28"/>
      <c r="AW9" s="26"/>
      <c r="AX9" s="26"/>
      <c r="AY9" s="29"/>
      <c r="AZ9" s="28"/>
      <c r="BA9" s="26"/>
      <c r="BB9" s="26"/>
      <c r="BC9" s="29"/>
      <c r="BD9" s="28">
        <v>1</v>
      </c>
      <c r="BE9" s="26"/>
      <c r="BF9" s="26"/>
      <c r="BG9" s="29"/>
      <c r="BH9" s="28"/>
      <c r="BI9" s="26"/>
      <c r="BJ9" s="26"/>
      <c r="BK9" s="29"/>
      <c r="BL9" s="28">
        <v>1</v>
      </c>
      <c r="BM9" s="26">
        <v>1</v>
      </c>
      <c r="BN9" s="26"/>
      <c r="BO9" s="29"/>
      <c r="BP9" s="28"/>
      <c r="BQ9" s="26"/>
      <c r="BR9" s="26"/>
      <c r="BS9" s="29"/>
      <c r="BT9" s="28"/>
      <c r="BU9" s="26">
        <v>1</v>
      </c>
      <c r="BV9" s="26"/>
      <c r="BW9" s="29"/>
      <c r="BX9" s="28"/>
      <c r="BY9" s="26"/>
      <c r="BZ9" s="26"/>
      <c r="CA9" s="29"/>
      <c r="CB9" s="28"/>
      <c r="CC9" s="26"/>
      <c r="CD9" s="26"/>
      <c r="CE9" s="29"/>
      <c r="CF9" s="28"/>
      <c r="CG9" s="26"/>
      <c r="CH9" s="26"/>
      <c r="CI9" s="29"/>
      <c r="CJ9" s="28">
        <v>1</v>
      </c>
      <c r="CK9" s="26"/>
      <c r="CL9" s="26"/>
      <c r="CM9" s="29"/>
      <c r="CN9" s="28"/>
      <c r="CO9" s="26"/>
      <c r="CP9" s="26"/>
      <c r="CQ9" s="29"/>
      <c r="CR9" s="28"/>
      <c r="CS9" s="26">
        <v>1</v>
      </c>
      <c r="CT9" s="26"/>
      <c r="CU9" s="29"/>
      <c r="CV9" s="28"/>
      <c r="CW9" s="26"/>
      <c r="CX9" s="26"/>
      <c r="CY9" s="29"/>
      <c r="CZ9" s="28"/>
      <c r="DA9" s="26"/>
      <c r="DB9" s="26"/>
      <c r="DC9" s="29"/>
    </row>
    <row r="10" spans="1:107" ht="19.899999999999999" customHeight="1" x14ac:dyDescent="0.25">
      <c r="A10" s="190"/>
      <c r="B10" s="154" t="str">
        <f>Jugadores!G9</f>
        <v>Juan David García</v>
      </c>
      <c r="C10" s="155"/>
      <c r="D10" s="24">
        <f t="shared" si="0"/>
        <v>11</v>
      </c>
      <c r="E10" s="24">
        <f t="shared" si="1"/>
        <v>1</v>
      </c>
      <c r="F10" s="115">
        <f t="shared" si="2"/>
        <v>0</v>
      </c>
      <c r="G10" s="115">
        <f t="shared" si="3"/>
        <v>1</v>
      </c>
      <c r="H10" s="28"/>
      <c r="I10" s="26"/>
      <c r="J10" s="26"/>
      <c r="K10" s="29"/>
      <c r="L10" s="28"/>
      <c r="M10" s="26"/>
      <c r="N10" s="26"/>
      <c r="O10" s="29"/>
      <c r="P10" s="28">
        <v>3</v>
      </c>
      <c r="Q10" s="26"/>
      <c r="R10" s="26"/>
      <c r="S10" s="29"/>
      <c r="T10" s="28">
        <v>2</v>
      </c>
      <c r="U10" s="26"/>
      <c r="V10" s="26"/>
      <c r="W10" s="29"/>
      <c r="X10" s="28">
        <v>1</v>
      </c>
      <c r="Y10" s="26"/>
      <c r="Z10" s="26"/>
      <c r="AA10" s="29"/>
      <c r="AB10" s="28">
        <v>1</v>
      </c>
      <c r="AC10" s="26"/>
      <c r="AD10" s="26"/>
      <c r="AE10" s="29"/>
      <c r="AF10" s="28">
        <v>2</v>
      </c>
      <c r="AG10" s="26"/>
      <c r="AH10" s="26"/>
      <c r="AI10" s="29"/>
      <c r="AJ10" s="28"/>
      <c r="AK10" s="26"/>
      <c r="AL10" s="26"/>
      <c r="AM10" s="29"/>
      <c r="AN10" s="28"/>
      <c r="AO10" s="26"/>
      <c r="AP10" s="26"/>
      <c r="AQ10" s="29"/>
      <c r="AR10" s="28"/>
      <c r="AS10" s="26">
        <v>1</v>
      </c>
      <c r="AT10" s="26"/>
      <c r="AU10" s="29"/>
      <c r="AV10" s="28"/>
      <c r="AW10" s="26"/>
      <c r="AX10" s="26"/>
      <c r="AY10" s="29"/>
      <c r="AZ10" s="28">
        <v>1</v>
      </c>
      <c r="BA10" s="26"/>
      <c r="BB10" s="26"/>
      <c r="BC10" s="29">
        <v>1</v>
      </c>
      <c r="BD10" s="28"/>
      <c r="BE10" s="26"/>
      <c r="BF10" s="26"/>
      <c r="BG10" s="29"/>
      <c r="BH10" s="28">
        <v>1</v>
      </c>
      <c r="BI10" s="26"/>
      <c r="BJ10" s="26"/>
      <c r="BK10" s="29"/>
      <c r="BL10" s="28"/>
      <c r="BM10" s="26"/>
      <c r="BN10" s="26"/>
      <c r="BO10" s="29"/>
      <c r="BP10" s="28"/>
      <c r="BQ10" s="26"/>
      <c r="BR10" s="26"/>
      <c r="BS10" s="29"/>
      <c r="BT10" s="28"/>
      <c r="BU10" s="26">
        <v>1</v>
      </c>
      <c r="BV10" s="26"/>
      <c r="BW10" s="29"/>
      <c r="BX10" s="28"/>
      <c r="BY10" s="26"/>
      <c r="BZ10" s="26"/>
      <c r="CA10" s="29"/>
      <c r="CB10" s="28"/>
      <c r="CC10" s="26"/>
      <c r="CD10" s="26"/>
      <c r="CE10" s="29"/>
      <c r="CF10" s="28"/>
      <c r="CG10" s="26"/>
      <c r="CH10" s="26"/>
      <c r="CI10" s="29"/>
      <c r="CJ10" s="28"/>
      <c r="CK10" s="26"/>
      <c r="CL10" s="26"/>
      <c r="CM10" s="29"/>
      <c r="CN10" s="28"/>
      <c r="CO10" s="26"/>
      <c r="CP10" s="26"/>
      <c r="CQ10" s="29"/>
      <c r="CR10" s="28"/>
      <c r="CS10" s="26">
        <v>1</v>
      </c>
      <c r="CT10" s="26"/>
      <c r="CU10" s="29"/>
      <c r="CV10" s="28"/>
      <c r="CW10" s="26"/>
      <c r="CX10" s="26"/>
      <c r="CY10" s="29"/>
      <c r="CZ10" s="28"/>
      <c r="DA10" s="26"/>
      <c r="DB10" s="26"/>
      <c r="DC10" s="29"/>
    </row>
    <row r="11" spans="1:107" ht="19.899999999999999" customHeight="1" x14ac:dyDescent="0.25">
      <c r="A11" s="190"/>
      <c r="B11" s="154" t="str">
        <f>Jugadores!G10</f>
        <v>Donnis Garrido</v>
      </c>
      <c r="C11" s="155"/>
      <c r="D11" s="24">
        <f t="shared" si="0"/>
        <v>0</v>
      </c>
      <c r="E11" s="24">
        <f t="shared" si="1"/>
        <v>1</v>
      </c>
      <c r="F11" s="115">
        <f t="shared" si="2"/>
        <v>0</v>
      </c>
      <c r="G11" s="115">
        <f t="shared" si="3"/>
        <v>0</v>
      </c>
      <c r="H11" s="28"/>
      <c r="I11" s="26"/>
      <c r="J11" s="26"/>
      <c r="K11" s="29"/>
      <c r="L11" s="28"/>
      <c r="M11" s="26"/>
      <c r="N11" s="26"/>
      <c r="O11" s="29"/>
      <c r="P11" s="28"/>
      <c r="Q11" s="26"/>
      <c r="R11" s="26"/>
      <c r="S11" s="29"/>
      <c r="T11" s="28"/>
      <c r="U11" s="26"/>
      <c r="V11" s="26"/>
      <c r="W11" s="29"/>
      <c r="X11" s="28"/>
      <c r="Y11" s="26">
        <v>1</v>
      </c>
      <c r="Z11" s="26"/>
      <c r="AA11" s="29"/>
      <c r="AB11" s="28"/>
      <c r="AC11" s="26"/>
      <c r="AD11" s="26"/>
      <c r="AE11" s="29"/>
      <c r="AF11" s="28"/>
      <c r="AG11" s="26"/>
      <c r="AH11" s="26"/>
      <c r="AI11" s="29"/>
      <c r="AJ11" s="28"/>
      <c r="AK11" s="26"/>
      <c r="AL11" s="26"/>
      <c r="AM11" s="29"/>
      <c r="AN11" s="28"/>
      <c r="AO11" s="26"/>
      <c r="AP11" s="26"/>
      <c r="AQ11" s="29"/>
      <c r="AR11" s="28"/>
      <c r="AS11" s="26"/>
      <c r="AT11" s="26"/>
      <c r="AU11" s="29"/>
      <c r="AV11" s="28"/>
      <c r="AW11" s="26"/>
      <c r="AX11" s="26"/>
      <c r="AY11" s="29"/>
      <c r="AZ11" s="28"/>
      <c r="BA11" s="26"/>
      <c r="BB11" s="26"/>
      <c r="BC11" s="29"/>
      <c r="BD11" s="28"/>
      <c r="BE11" s="26"/>
      <c r="BF11" s="26"/>
      <c r="BG11" s="29"/>
      <c r="BH11" s="28"/>
      <c r="BI11" s="26"/>
      <c r="BJ11" s="26"/>
      <c r="BK11" s="29"/>
      <c r="BL11" s="28"/>
      <c r="BM11" s="26"/>
      <c r="BN11" s="26"/>
      <c r="BO11" s="29"/>
      <c r="BP11" s="28"/>
      <c r="BQ11" s="26"/>
      <c r="BR11" s="26"/>
      <c r="BS11" s="29"/>
      <c r="BT11" s="28"/>
      <c r="BU11" s="26"/>
      <c r="BV11" s="26"/>
      <c r="BW11" s="29"/>
      <c r="BX11" s="28"/>
      <c r="BY11" s="26"/>
      <c r="BZ11" s="26"/>
      <c r="CA11" s="29"/>
      <c r="CB11" s="28"/>
      <c r="CC11" s="26"/>
      <c r="CD11" s="26"/>
      <c r="CE11" s="29"/>
      <c r="CF11" s="28"/>
      <c r="CG11" s="26"/>
      <c r="CH11" s="26"/>
      <c r="CI11" s="29"/>
      <c r="CJ11" s="28"/>
      <c r="CK11" s="26"/>
      <c r="CL11" s="26"/>
      <c r="CM11" s="29"/>
      <c r="CN11" s="28"/>
      <c r="CO11" s="26"/>
      <c r="CP11" s="26"/>
      <c r="CQ11" s="29"/>
      <c r="CR11" s="28"/>
      <c r="CS11" s="26"/>
      <c r="CT11" s="26"/>
      <c r="CU11" s="29"/>
      <c r="CV11" s="28"/>
      <c r="CW11" s="26"/>
      <c r="CX11" s="26"/>
      <c r="CY11" s="29"/>
      <c r="CZ11" s="28"/>
      <c r="DA11" s="26"/>
      <c r="DB11" s="26"/>
      <c r="DC11" s="29"/>
    </row>
    <row r="12" spans="1:107" ht="19.899999999999999" customHeight="1" x14ac:dyDescent="0.25">
      <c r="A12" s="190"/>
      <c r="B12" s="154" t="str">
        <f>Jugadores!G11</f>
        <v>Leandro Oviedo</v>
      </c>
      <c r="C12" s="155"/>
      <c r="D12" s="24">
        <f t="shared" si="0"/>
        <v>3</v>
      </c>
      <c r="E12" s="24">
        <f t="shared" si="1"/>
        <v>2</v>
      </c>
      <c r="F12" s="115">
        <f t="shared" si="2"/>
        <v>1</v>
      </c>
      <c r="G12" s="115">
        <f t="shared" si="3"/>
        <v>0</v>
      </c>
      <c r="H12" s="28"/>
      <c r="I12" s="26"/>
      <c r="J12" s="26"/>
      <c r="K12" s="29"/>
      <c r="L12" s="28"/>
      <c r="M12" s="26"/>
      <c r="N12" s="26"/>
      <c r="O12" s="29"/>
      <c r="P12" s="28"/>
      <c r="Q12" s="26"/>
      <c r="R12" s="26"/>
      <c r="S12" s="29"/>
      <c r="T12" s="28"/>
      <c r="U12" s="26"/>
      <c r="V12" s="26"/>
      <c r="W12" s="29"/>
      <c r="X12" s="28"/>
      <c r="Y12" s="26"/>
      <c r="Z12" s="26"/>
      <c r="AA12" s="29"/>
      <c r="AB12" s="28"/>
      <c r="AC12" s="26"/>
      <c r="AD12" s="26"/>
      <c r="AE12" s="29"/>
      <c r="AF12" s="28"/>
      <c r="AG12" s="26"/>
      <c r="AH12" s="26"/>
      <c r="AI12" s="29"/>
      <c r="AJ12" s="28"/>
      <c r="AK12" s="26"/>
      <c r="AL12" s="26"/>
      <c r="AM12" s="29"/>
      <c r="AN12" s="28"/>
      <c r="AO12" s="26"/>
      <c r="AP12" s="26"/>
      <c r="AQ12" s="29"/>
      <c r="AR12" s="28"/>
      <c r="AS12" s="26"/>
      <c r="AT12" s="26"/>
      <c r="AU12" s="29"/>
      <c r="AV12" s="28"/>
      <c r="AW12" s="26"/>
      <c r="AX12" s="26"/>
      <c r="AY12" s="29"/>
      <c r="AZ12" s="28"/>
      <c r="BA12" s="26"/>
      <c r="BB12" s="26"/>
      <c r="BC12" s="29"/>
      <c r="BD12" s="28"/>
      <c r="BE12" s="26"/>
      <c r="BF12" s="26"/>
      <c r="BG12" s="29"/>
      <c r="BH12" s="28"/>
      <c r="BI12" s="26"/>
      <c r="BJ12" s="26"/>
      <c r="BK12" s="29"/>
      <c r="BL12" s="28">
        <v>1</v>
      </c>
      <c r="BM12" s="26">
        <v>1</v>
      </c>
      <c r="BN12" s="26"/>
      <c r="BO12" s="29"/>
      <c r="BP12" s="28">
        <v>1</v>
      </c>
      <c r="BQ12" s="26">
        <v>1</v>
      </c>
      <c r="BR12" s="26"/>
      <c r="BS12" s="29"/>
      <c r="BT12" s="28"/>
      <c r="BU12" s="26"/>
      <c r="BV12" s="26"/>
      <c r="BW12" s="29"/>
      <c r="BX12" s="28"/>
      <c r="BY12" s="26"/>
      <c r="BZ12" s="26"/>
      <c r="CA12" s="29"/>
      <c r="CB12" s="28">
        <v>1</v>
      </c>
      <c r="CC12" s="26"/>
      <c r="CD12" s="26"/>
      <c r="CE12" s="29"/>
      <c r="CF12" s="28"/>
      <c r="CG12" s="26"/>
      <c r="CH12" s="26"/>
      <c r="CI12" s="29"/>
      <c r="CJ12" s="28"/>
      <c r="CK12" s="26"/>
      <c r="CL12" s="26"/>
      <c r="CM12" s="29"/>
      <c r="CN12" s="28"/>
      <c r="CO12" s="26"/>
      <c r="CP12" s="26"/>
      <c r="CQ12" s="29"/>
      <c r="CR12" s="28"/>
      <c r="CS12" s="26"/>
      <c r="CT12" s="26"/>
      <c r="CU12" s="29"/>
      <c r="CV12" s="28"/>
      <c r="CW12" s="26"/>
      <c r="CX12" s="26"/>
      <c r="CY12" s="29"/>
      <c r="CZ12" s="28"/>
      <c r="DA12" s="26"/>
      <c r="DB12" s="26"/>
      <c r="DC12" s="29"/>
    </row>
    <row r="13" spans="1:107" ht="19.899999999999999" customHeight="1" x14ac:dyDescent="0.25">
      <c r="A13" s="190"/>
      <c r="B13" s="154" t="str">
        <f>Jugadores!G12</f>
        <v>Franklin Cuenú</v>
      </c>
      <c r="C13" s="155"/>
      <c r="D13" s="24">
        <f t="shared" si="0"/>
        <v>8</v>
      </c>
      <c r="E13" s="24">
        <f t="shared" si="1"/>
        <v>1</v>
      </c>
      <c r="F13" s="115">
        <f t="shared" si="2"/>
        <v>2</v>
      </c>
      <c r="G13" s="115">
        <f t="shared" si="3"/>
        <v>0</v>
      </c>
      <c r="H13" s="28"/>
      <c r="I13" s="26"/>
      <c r="J13" s="26"/>
      <c r="K13" s="29"/>
      <c r="L13" s="28"/>
      <c r="M13" s="26"/>
      <c r="N13" s="26"/>
      <c r="O13" s="29"/>
      <c r="P13" s="28">
        <v>2</v>
      </c>
      <c r="Q13" s="26"/>
      <c r="R13" s="26"/>
      <c r="S13" s="29"/>
      <c r="T13" s="28">
        <v>1</v>
      </c>
      <c r="U13" s="26"/>
      <c r="V13" s="26"/>
      <c r="W13" s="29"/>
      <c r="X13" s="28"/>
      <c r="Y13" s="26"/>
      <c r="Z13" s="26"/>
      <c r="AA13" s="29"/>
      <c r="AB13" s="28">
        <v>1</v>
      </c>
      <c r="AC13" s="26"/>
      <c r="AD13" s="26"/>
      <c r="AE13" s="29"/>
      <c r="AF13" s="28"/>
      <c r="AG13" s="26">
        <v>1</v>
      </c>
      <c r="AH13" s="26"/>
      <c r="AI13" s="29"/>
      <c r="AJ13" s="28">
        <v>1</v>
      </c>
      <c r="AK13" s="26"/>
      <c r="AL13" s="26"/>
      <c r="AM13" s="29"/>
      <c r="AN13" s="28"/>
      <c r="AO13" s="26"/>
      <c r="AP13" s="26"/>
      <c r="AQ13" s="29"/>
      <c r="AR13" s="28"/>
      <c r="AS13" s="26"/>
      <c r="AT13" s="26"/>
      <c r="AU13" s="29"/>
      <c r="AV13" s="28"/>
      <c r="AW13" s="26"/>
      <c r="AX13" s="26"/>
      <c r="AY13" s="29"/>
      <c r="AZ13" s="28"/>
      <c r="BA13" s="26"/>
      <c r="BB13" s="26"/>
      <c r="BC13" s="29"/>
      <c r="BD13" s="28">
        <v>1</v>
      </c>
      <c r="BE13" s="26"/>
      <c r="BF13" s="26"/>
      <c r="BG13" s="29"/>
      <c r="BH13" s="28"/>
      <c r="BI13" s="26"/>
      <c r="BJ13" s="26"/>
      <c r="BK13" s="29"/>
      <c r="BL13" s="28"/>
      <c r="BM13" s="26"/>
      <c r="BN13" s="26"/>
      <c r="BO13" s="29"/>
      <c r="BP13" s="28"/>
      <c r="BQ13" s="26"/>
      <c r="BR13" s="26"/>
      <c r="BS13" s="29"/>
      <c r="BT13" s="28"/>
      <c r="BU13" s="26"/>
      <c r="BV13" s="26"/>
      <c r="BW13" s="29"/>
      <c r="BX13" s="28"/>
      <c r="BY13" s="26"/>
      <c r="BZ13" s="26"/>
      <c r="CA13" s="29"/>
      <c r="CB13" s="28"/>
      <c r="CC13" s="26"/>
      <c r="CD13" s="26"/>
      <c r="CE13" s="29"/>
      <c r="CF13" s="28"/>
      <c r="CG13" s="26"/>
      <c r="CH13" s="26"/>
      <c r="CI13" s="29"/>
      <c r="CJ13" s="28">
        <v>2</v>
      </c>
      <c r="CK13" s="26"/>
      <c r="CL13" s="26"/>
      <c r="CM13" s="29"/>
      <c r="CN13" s="28"/>
      <c r="CO13" s="26"/>
      <c r="CP13" s="26"/>
      <c r="CQ13" s="29"/>
      <c r="CR13" s="28"/>
      <c r="CS13" s="26"/>
      <c r="CT13" s="26"/>
      <c r="CU13" s="29"/>
      <c r="CV13" s="28"/>
      <c r="CW13" s="26"/>
      <c r="CX13" s="26"/>
      <c r="CY13" s="29"/>
      <c r="CZ13" s="28"/>
      <c r="DA13" s="26"/>
      <c r="DB13" s="26"/>
      <c r="DC13" s="29"/>
    </row>
    <row r="14" spans="1:107" ht="19.899999999999999" customHeight="1" x14ac:dyDescent="0.25">
      <c r="A14" s="190"/>
      <c r="B14" s="154" t="str">
        <f>Jugadores!G13</f>
        <v>Nelson Enrique Velásquez</v>
      </c>
      <c r="C14" s="155"/>
      <c r="D14" s="24">
        <f t="shared" si="0"/>
        <v>4</v>
      </c>
      <c r="E14" s="24">
        <f t="shared" si="1"/>
        <v>0</v>
      </c>
      <c r="F14" s="115">
        <f t="shared" si="2"/>
        <v>0</v>
      </c>
      <c r="G14" s="115">
        <f t="shared" si="3"/>
        <v>0</v>
      </c>
      <c r="H14" s="28"/>
      <c r="I14" s="26"/>
      <c r="J14" s="26"/>
      <c r="K14" s="29"/>
      <c r="L14" s="28">
        <v>1</v>
      </c>
      <c r="M14" s="26"/>
      <c r="N14" s="26"/>
      <c r="O14" s="29"/>
      <c r="P14" s="28">
        <v>2</v>
      </c>
      <c r="Q14" s="26"/>
      <c r="R14" s="26"/>
      <c r="S14" s="29"/>
      <c r="T14" s="28"/>
      <c r="U14" s="26"/>
      <c r="V14" s="26"/>
      <c r="W14" s="29"/>
      <c r="X14" s="28"/>
      <c r="Y14" s="26"/>
      <c r="Z14" s="26"/>
      <c r="AA14" s="29"/>
      <c r="AB14" s="28"/>
      <c r="AC14" s="26"/>
      <c r="AD14" s="26"/>
      <c r="AE14" s="29"/>
      <c r="AF14" s="28"/>
      <c r="AG14" s="26"/>
      <c r="AH14" s="26"/>
      <c r="AI14" s="29"/>
      <c r="AJ14" s="28"/>
      <c r="AK14" s="26"/>
      <c r="AL14" s="26"/>
      <c r="AM14" s="29"/>
      <c r="AN14" s="28"/>
      <c r="AO14" s="26"/>
      <c r="AP14" s="26"/>
      <c r="AQ14" s="29"/>
      <c r="AR14" s="28"/>
      <c r="AS14" s="26"/>
      <c r="AT14" s="26"/>
      <c r="AU14" s="29"/>
      <c r="AV14" s="28"/>
      <c r="AW14" s="26"/>
      <c r="AX14" s="26"/>
      <c r="AY14" s="29"/>
      <c r="AZ14" s="28"/>
      <c r="BA14" s="26"/>
      <c r="BB14" s="26"/>
      <c r="BC14" s="29"/>
      <c r="BD14" s="28"/>
      <c r="BE14" s="26"/>
      <c r="BF14" s="26"/>
      <c r="BG14" s="29"/>
      <c r="BH14" s="28"/>
      <c r="BI14" s="26"/>
      <c r="BJ14" s="26"/>
      <c r="BK14" s="29"/>
      <c r="BL14" s="28"/>
      <c r="BM14" s="26"/>
      <c r="BN14" s="26"/>
      <c r="BO14" s="29"/>
      <c r="BP14" s="28">
        <v>1</v>
      </c>
      <c r="BQ14" s="26"/>
      <c r="BR14" s="26"/>
      <c r="BS14" s="29"/>
      <c r="BT14" s="28"/>
      <c r="BU14" s="26"/>
      <c r="BV14" s="26"/>
      <c r="BW14" s="29"/>
      <c r="BX14" s="28"/>
      <c r="BY14" s="26"/>
      <c r="BZ14" s="26"/>
      <c r="CA14" s="29"/>
      <c r="CB14" s="28"/>
      <c r="CC14" s="26"/>
      <c r="CD14" s="26"/>
      <c r="CE14" s="29"/>
      <c r="CF14" s="28"/>
      <c r="CG14" s="26"/>
      <c r="CH14" s="26"/>
      <c r="CI14" s="29"/>
      <c r="CJ14" s="28"/>
      <c r="CK14" s="26"/>
      <c r="CL14" s="26"/>
      <c r="CM14" s="29"/>
      <c r="CN14" s="28"/>
      <c r="CO14" s="26"/>
      <c r="CP14" s="26"/>
      <c r="CQ14" s="29"/>
      <c r="CR14" s="28"/>
      <c r="CS14" s="26"/>
      <c r="CT14" s="26"/>
      <c r="CU14" s="29"/>
      <c r="CV14" s="28"/>
      <c r="CW14" s="26"/>
      <c r="CX14" s="26"/>
      <c r="CY14" s="29"/>
      <c r="CZ14" s="28"/>
      <c r="DA14" s="26"/>
      <c r="DB14" s="26"/>
      <c r="DC14" s="29"/>
    </row>
    <row r="15" spans="1:107" ht="19.899999999999999" customHeight="1" x14ac:dyDescent="0.25">
      <c r="A15" s="190"/>
      <c r="B15" s="154" t="str">
        <f>Jugadores!G14</f>
        <v>Sebastián Sepúlveda</v>
      </c>
      <c r="C15" s="155"/>
      <c r="D15" s="24">
        <f t="shared" si="0"/>
        <v>0</v>
      </c>
      <c r="E15" s="24">
        <f t="shared" si="1"/>
        <v>0</v>
      </c>
      <c r="F15" s="115">
        <f t="shared" si="2"/>
        <v>0</v>
      </c>
      <c r="G15" s="115">
        <f t="shared" si="3"/>
        <v>0</v>
      </c>
      <c r="H15" s="28"/>
      <c r="I15" s="26"/>
      <c r="J15" s="26"/>
      <c r="K15" s="29"/>
      <c r="L15" s="28"/>
      <c r="M15" s="26"/>
      <c r="N15" s="26"/>
      <c r="O15" s="29"/>
      <c r="P15" s="28"/>
      <c r="Q15" s="26"/>
      <c r="R15" s="26"/>
      <c r="S15" s="29"/>
      <c r="T15" s="28"/>
      <c r="U15" s="26"/>
      <c r="V15" s="26"/>
      <c r="W15" s="29"/>
      <c r="X15" s="28"/>
      <c r="Y15" s="26"/>
      <c r="Z15" s="26"/>
      <c r="AA15" s="29"/>
      <c r="AB15" s="28"/>
      <c r="AC15" s="26"/>
      <c r="AD15" s="26"/>
      <c r="AE15" s="29"/>
      <c r="AF15" s="28"/>
      <c r="AG15" s="26"/>
      <c r="AH15" s="26"/>
      <c r="AI15" s="29"/>
      <c r="AJ15" s="28"/>
      <c r="AK15" s="26"/>
      <c r="AL15" s="26"/>
      <c r="AM15" s="29"/>
      <c r="AN15" s="28"/>
      <c r="AO15" s="26"/>
      <c r="AP15" s="26"/>
      <c r="AQ15" s="29"/>
      <c r="AR15" s="28"/>
      <c r="AS15" s="26"/>
      <c r="AT15" s="26"/>
      <c r="AU15" s="29"/>
      <c r="AV15" s="28"/>
      <c r="AW15" s="26"/>
      <c r="AX15" s="26"/>
      <c r="AY15" s="29"/>
      <c r="AZ15" s="28"/>
      <c r="BA15" s="26"/>
      <c r="BB15" s="26"/>
      <c r="BC15" s="29"/>
      <c r="BD15" s="28"/>
      <c r="BE15" s="26"/>
      <c r="BF15" s="26"/>
      <c r="BG15" s="29"/>
      <c r="BH15" s="28"/>
      <c r="BI15" s="26"/>
      <c r="BJ15" s="26"/>
      <c r="BK15" s="29"/>
      <c r="BL15" s="28"/>
      <c r="BM15" s="26"/>
      <c r="BN15" s="26"/>
      <c r="BO15" s="29"/>
      <c r="BP15" s="28"/>
      <c r="BQ15" s="26"/>
      <c r="BR15" s="26"/>
      <c r="BS15" s="29"/>
      <c r="BT15" s="28"/>
      <c r="BU15" s="26"/>
      <c r="BV15" s="26"/>
      <c r="BW15" s="29"/>
      <c r="BX15" s="28"/>
      <c r="BY15" s="26"/>
      <c r="BZ15" s="26"/>
      <c r="CA15" s="29"/>
      <c r="CB15" s="28"/>
      <c r="CC15" s="26"/>
      <c r="CD15" s="26"/>
      <c r="CE15" s="29"/>
      <c r="CF15" s="28"/>
      <c r="CG15" s="26"/>
      <c r="CH15" s="26"/>
      <c r="CI15" s="29"/>
      <c r="CJ15" s="28"/>
      <c r="CK15" s="26"/>
      <c r="CL15" s="26"/>
      <c r="CM15" s="29"/>
      <c r="CN15" s="28"/>
      <c r="CO15" s="26"/>
      <c r="CP15" s="26"/>
      <c r="CQ15" s="29"/>
      <c r="CR15" s="28"/>
      <c r="CS15" s="26"/>
      <c r="CT15" s="26"/>
      <c r="CU15" s="29"/>
      <c r="CV15" s="28"/>
      <c r="CW15" s="26"/>
      <c r="CX15" s="26"/>
      <c r="CY15" s="29"/>
      <c r="CZ15" s="28"/>
      <c r="DA15" s="26"/>
      <c r="DB15" s="26"/>
      <c r="DC15" s="29"/>
    </row>
    <row r="16" spans="1:107" ht="19.899999999999999" customHeight="1" x14ac:dyDescent="0.25">
      <c r="A16" s="190"/>
      <c r="B16" s="154" t="str">
        <f>Jugadores!G15</f>
        <v>Ángel Rocha</v>
      </c>
      <c r="C16" s="155"/>
      <c r="D16" s="24">
        <f t="shared" si="0"/>
        <v>1</v>
      </c>
      <c r="E16" s="24">
        <f t="shared" si="1"/>
        <v>0</v>
      </c>
      <c r="F16" s="115">
        <f t="shared" si="2"/>
        <v>0</v>
      </c>
      <c r="G16" s="115">
        <f t="shared" si="3"/>
        <v>0</v>
      </c>
      <c r="H16" s="28"/>
      <c r="I16" s="26"/>
      <c r="J16" s="26"/>
      <c r="K16" s="29"/>
      <c r="L16" s="28"/>
      <c r="M16" s="26"/>
      <c r="N16" s="26"/>
      <c r="O16" s="29"/>
      <c r="P16" s="28"/>
      <c r="Q16" s="26"/>
      <c r="R16" s="26"/>
      <c r="S16" s="29"/>
      <c r="T16" s="28">
        <v>1</v>
      </c>
      <c r="U16" s="26"/>
      <c r="V16" s="26"/>
      <c r="W16" s="29"/>
      <c r="X16" s="28"/>
      <c r="Y16" s="26"/>
      <c r="Z16" s="26"/>
      <c r="AA16" s="29"/>
      <c r="AB16" s="28"/>
      <c r="AC16" s="26"/>
      <c r="AD16" s="26"/>
      <c r="AE16" s="29"/>
      <c r="AF16" s="28"/>
      <c r="AG16" s="26"/>
      <c r="AH16" s="26"/>
      <c r="AI16" s="29"/>
      <c r="AJ16" s="28"/>
      <c r="AK16" s="26"/>
      <c r="AL16" s="26"/>
      <c r="AM16" s="29"/>
      <c r="AN16" s="28"/>
      <c r="AO16" s="26"/>
      <c r="AP16" s="26"/>
      <c r="AQ16" s="29"/>
      <c r="AR16" s="28"/>
      <c r="AS16" s="26"/>
      <c r="AT16" s="26"/>
      <c r="AU16" s="29"/>
      <c r="AV16" s="28"/>
      <c r="AW16" s="26"/>
      <c r="AX16" s="26"/>
      <c r="AY16" s="29"/>
      <c r="AZ16" s="28"/>
      <c r="BA16" s="26"/>
      <c r="BB16" s="26"/>
      <c r="BC16" s="29"/>
      <c r="BD16" s="28"/>
      <c r="BE16" s="26"/>
      <c r="BF16" s="26"/>
      <c r="BG16" s="29"/>
      <c r="BH16" s="28"/>
      <c r="BI16" s="26"/>
      <c r="BJ16" s="26"/>
      <c r="BK16" s="29"/>
      <c r="BL16" s="28"/>
      <c r="BM16" s="26"/>
      <c r="BN16" s="26"/>
      <c r="BO16" s="29"/>
      <c r="BP16" s="28"/>
      <c r="BQ16" s="26"/>
      <c r="BR16" s="26"/>
      <c r="BS16" s="29"/>
      <c r="BT16" s="28"/>
      <c r="BU16" s="26"/>
      <c r="BV16" s="26"/>
      <c r="BW16" s="29"/>
      <c r="BX16" s="28"/>
      <c r="BY16" s="26"/>
      <c r="BZ16" s="26"/>
      <c r="CA16" s="29"/>
      <c r="CB16" s="28"/>
      <c r="CC16" s="26"/>
      <c r="CD16" s="26"/>
      <c r="CE16" s="29"/>
      <c r="CF16" s="28"/>
      <c r="CG16" s="26"/>
      <c r="CH16" s="26"/>
      <c r="CI16" s="29"/>
      <c r="CJ16" s="28"/>
      <c r="CK16" s="26"/>
      <c r="CL16" s="26"/>
      <c r="CM16" s="29"/>
      <c r="CN16" s="28"/>
      <c r="CO16" s="26"/>
      <c r="CP16" s="26"/>
      <c r="CQ16" s="29"/>
      <c r="CR16" s="28"/>
      <c r="CS16" s="26"/>
      <c r="CT16" s="26"/>
      <c r="CU16" s="29"/>
      <c r="CV16" s="28"/>
      <c r="CW16" s="26"/>
      <c r="CX16" s="26"/>
      <c r="CY16" s="29"/>
      <c r="CZ16" s="28"/>
      <c r="DA16" s="26"/>
      <c r="DB16" s="26"/>
      <c r="DC16" s="29"/>
    </row>
    <row r="17" spans="1:107" ht="19.899999999999999" customHeight="1" x14ac:dyDescent="0.25">
      <c r="A17" s="190"/>
      <c r="B17" s="154" t="str">
        <f>Jugadores!G16</f>
        <v>Francisco Angulo</v>
      </c>
      <c r="C17" s="155"/>
      <c r="D17" s="24">
        <f t="shared" si="0"/>
        <v>1</v>
      </c>
      <c r="E17" s="24">
        <f t="shared" si="1"/>
        <v>1</v>
      </c>
      <c r="F17" s="115">
        <f t="shared" si="2"/>
        <v>1</v>
      </c>
      <c r="G17" s="115">
        <f t="shared" si="3"/>
        <v>1</v>
      </c>
      <c r="H17" s="28"/>
      <c r="I17" s="26"/>
      <c r="J17" s="26"/>
      <c r="K17" s="29"/>
      <c r="L17" s="28"/>
      <c r="M17" s="26"/>
      <c r="N17" s="26"/>
      <c r="O17" s="29"/>
      <c r="P17" s="28"/>
      <c r="Q17" s="26"/>
      <c r="R17" s="26"/>
      <c r="S17" s="29"/>
      <c r="T17" s="28"/>
      <c r="U17" s="26"/>
      <c r="V17" s="26"/>
      <c r="W17" s="29"/>
      <c r="X17" s="28"/>
      <c r="Y17" s="26"/>
      <c r="Z17" s="26"/>
      <c r="AA17" s="29"/>
      <c r="AB17" s="28"/>
      <c r="AC17" s="26"/>
      <c r="AD17" s="26"/>
      <c r="AE17" s="29"/>
      <c r="AF17" s="28"/>
      <c r="AG17" s="26"/>
      <c r="AH17" s="26"/>
      <c r="AI17" s="29"/>
      <c r="AJ17" s="28"/>
      <c r="AK17" s="26"/>
      <c r="AL17" s="26"/>
      <c r="AM17" s="29"/>
      <c r="AN17" s="28"/>
      <c r="AO17" s="26"/>
      <c r="AP17" s="26"/>
      <c r="AQ17" s="29"/>
      <c r="AR17" s="28"/>
      <c r="AS17" s="26"/>
      <c r="AT17" s="26"/>
      <c r="AU17" s="29"/>
      <c r="AV17" s="28"/>
      <c r="AW17" s="26"/>
      <c r="AX17" s="26"/>
      <c r="AY17" s="29"/>
      <c r="AZ17" s="28"/>
      <c r="BA17" s="26"/>
      <c r="BB17" s="26"/>
      <c r="BC17" s="29"/>
      <c r="BD17" s="28"/>
      <c r="BE17" s="26"/>
      <c r="BF17" s="26"/>
      <c r="BG17" s="29"/>
      <c r="BH17" s="28"/>
      <c r="BI17" s="26"/>
      <c r="BJ17" s="26"/>
      <c r="BK17" s="29"/>
      <c r="BL17" s="28"/>
      <c r="BM17" s="26"/>
      <c r="BN17" s="26"/>
      <c r="BO17" s="29"/>
      <c r="BP17" s="28"/>
      <c r="BQ17" s="26"/>
      <c r="BR17" s="26"/>
      <c r="BS17" s="29"/>
      <c r="BT17" s="28"/>
      <c r="BU17" s="26"/>
      <c r="BV17" s="26"/>
      <c r="BW17" s="29"/>
      <c r="BX17" s="28"/>
      <c r="BY17" s="26"/>
      <c r="BZ17" s="26"/>
      <c r="CA17" s="29"/>
      <c r="CB17" s="28"/>
      <c r="CC17" s="26"/>
      <c r="CD17" s="26"/>
      <c r="CE17" s="29"/>
      <c r="CF17" s="28"/>
      <c r="CG17" s="26">
        <v>1</v>
      </c>
      <c r="CH17" s="26"/>
      <c r="CI17" s="29"/>
      <c r="CJ17" s="28">
        <v>1</v>
      </c>
      <c r="CK17" s="26"/>
      <c r="CL17" s="26"/>
      <c r="CM17" s="29"/>
      <c r="CN17" s="28"/>
      <c r="CO17" s="26"/>
      <c r="CP17" s="26"/>
      <c r="CQ17" s="29"/>
      <c r="CR17" s="28"/>
      <c r="CS17" s="26"/>
      <c r="CT17" s="26"/>
      <c r="CU17" s="29"/>
      <c r="CV17" s="28"/>
      <c r="CW17" s="26"/>
      <c r="CX17" s="26"/>
      <c r="CY17" s="29"/>
      <c r="CZ17" s="28"/>
      <c r="DA17" s="26"/>
      <c r="DB17" s="26"/>
      <c r="DC17" s="29"/>
    </row>
    <row r="18" spans="1:107" ht="19.899999999999999" customHeight="1" x14ac:dyDescent="0.25">
      <c r="A18" s="191"/>
      <c r="B18" s="156" t="str">
        <f>Jugadores!G17</f>
        <v>Duván Cárdenas</v>
      </c>
      <c r="C18" s="157"/>
      <c r="D18" s="24">
        <f t="shared" si="0"/>
        <v>0</v>
      </c>
      <c r="E18" s="24">
        <f t="shared" si="1"/>
        <v>0</v>
      </c>
      <c r="F18" s="115">
        <f t="shared" si="2"/>
        <v>0</v>
      </c>
      <c r="G18" s="115">
        <f t="shared" si="3"/>
        <v>0</v>
      </c>
      <c r="H18" s="83"/>
      <c r="I18" s="84"/>
      <c r="J18" s="84"/>
      <c r="K18" s="85"/>
      <c r="L18" s="83"/>
      <c r="M18" s="84"/>
      <c r="N18" s="84"/>
      <c r="O18" s="85"/>
      <c r="P18" s="83"/>
      <c r="Q18" s="84"/>
      <c r="R18" s="84"/>
      <c r="S18" s="85"/>
      <c r="T18" s="83"/>
      <c r="U18" s="84"/>
      <c r="V18" s="84"/>
      <c r="W18" s="85"/>
      <c r="X18" s="83"/>
      <c r="Y18" s="84"/>
      <c r="Z18" s="84"/>
      <c r="AA18" s="85"/>
      <c r="AB18" s="83"/>
      <c r="AC18" s="84"/>
      <c r="AD18" s="84"/>
      <c r="AE18" s="85"/>
      <c r="AF18" s="83"/>
      <c r="AG18" s="84"/>
      <c r="AH18" s="84"/>
      <c r="AI18" s="85"/>
      <c r="AJ18" s="83"/>
      <c r="AK18" s="84"/>
      <c r="AL18" s="84"/>
      <c r="AM18" s="85"/>
      <c r="AN18" s="83"/>
      <c r="AO18" s="84"/>
      <c r="AP18" s="84"/>
      <c r="AQ18" s="85"/>
      <c r="AR18" s="83"/>
      <c r="AS18" s="84"/>
      <c r="AT18" s="84"/>
      <c r="AU18" s="85"/>
      <c r="AV18" s="83"/>
      <c r="AW18" s="84"/>
      <c r="AX18" s="84"/>
      <c r="AY18" s="85"/>
      <c r="AZ18" s="83"/>
      <c r="BA18" s="84"/>
      <c r="BB18" s="84"/>
      <c r="BC18" s="85"/>
      <c r="BD18" s="83"/>
      <c r="BE18" s="84"/>
      <c r="BF18" s="84"/>
      <c r="BG18" s="85"/>
      <c r="BH18" s="83"/>
      <c r="BI18" s="84"/>
      <c r="BJ18" s="84"/>
      <c r="BK18" s="85"/>
      <c r="BL18" s="83"/>
      <c r="BM18" s="84"/>
      <c r="BN18" s="84"/>
      <c r="BO18" s="85"/>
      <c r="BP18" s="83"/>
      <c r="BQ18" s="84"/>
      <c r="BR18" s="84"/>
      <c r="BS18" s="85"/>
      <c r="BT18" s="83"/>
      <c r="BU18" s="84"/>
      <c r="BV18" s="84"/>
      <c r="BW18" s="85"/>
      <c r="BX18" s="83"/>
      <c r="BY18" s="84"/>
      <c r="BZ18" s="84"/>
      <c r="CA18" s="85"/>
      <c r="CB18" s="83"/>
      <c r="CC18" s="84"/>
      <c r="CD18" s="84"/>
      <c r="CE18" s="85"/>
      <c r="CF18" s="83"/>
      <c r="CG18" s="84"/>
      <c r="CH18" s="84"/>
      <c r="CI18" s="85"/>
      <c r="CJ18" s="83"/>
      <c r="CK18" s="84"/>
      <c r="CL18" s="84"/>
      <c r="CM18" s="85"/>
      <c r="CN18" s="83"/>
      <c r="CO18" s="84"/>
      <c r="CP18" s="84"/>
      <c r="CQ18" s="85"/>
      <c r="CR18" s="83"/>
      <c r="CS18" s="84"/>
      <c r="CT18" s="84"/>
      <c r="CU18" s="85"/>
      <c r="CV18" s="83"/>
      <c r="CW18" s="84"/>
      <c r="CX18" s="84"/>
      <c r="CY18" s="85"/>
      <c r="CZ18" s="83"/>
      <c r="DA18" s="84"/>
      <c r="DB18" s="84"/>
      <c r="DC18" s="85"/>
    </row>
    <row r="19" spans="1:107" ht="14.45" customHeight="1" x14ac:dyDescent="0.25">
      <c r="B19" s="158" t="s">
        <v>105</v>
      </c>
      <c r="C19" s="159"/>
      <c r="D19" s="160"/>
      <c r="E19" s="160"/>
      <c r="F19" s="160"/>
      <c r="G19" s="160"/>
      <c r="H19" s="28"/>
      <c r="I19" s="26"/>
      <c r="J19" s="26"/>
      <c r="K19" s="29"/>
      <c r="L19" s="28"/>
      <c r="M19" s="26"/>
      <c r="N19" s="26"/>
      <c r="O19" s="29"/>
      <c r="P19" s="28"/>
      <c r="Q19" s="26"/>
      <c r="R19" s="26"/>
      <c r="S19" s="29"/>
      <c r="T19" s="28"/>
      <c r="U19" s="26"/>
      <c r="V19" s="26"/>
      <c r="W19" s="29"/>
      <c r="X19" s="28"/>
      <c r="Y19" s="26"/>
      <c r="Z19" s="26"/>
      <c r="AA19" s="29">
        <v>1</v>
      </c>
      <c r="AB19" s="28"/>
      <c r="AC19" s="26"/>
      <c r="AD19" s="26"/>
      <c r="AE19" s="29"/>
      <c r="AF19" s="28"/>
      <c r="AG19" s="26"/>
      <c r="AH19" s="26"/>
      <c r="AI19" s="29"/>
      <c r="AJ19" s="28"/>
      <c r="AK19" s="26"/>
      <c r="AL19" s="26"/>
      <c r="AM19" s="29"/>
      <c r="AN19" s="28"/>
      <c r="AO19" s="26"/>
      <c r="AP19" s="26"/>
      <c r="AQ19" s="29"/>
      <c r="AR19" s="28"/>
      <c r="AS19" s="26"/>
      <c r="AT19" s="26"/>
      <c r="AU19" s="29"/>
      <c r="AV19" s="28"/>
      <c r="AW19" s="26"/>
      <c r="AX19" s="26"/>
      <c r="AY19" s="29"/>
      <c r="AZ19" s="28"/>
      <c r="BA19" s="26"/>
      <c r="BB19" s="26"/>
      <c r="BC19" s="29"/>
      <c r="BD19" s="28"/>
      <c r="BE19" s="26"/>
      <c r="BF19" s="26"/>
      <c r="BG19" s="29"/>
      <c r="BH19" s="28"/>
      <c r="BI19" s="26"/>
      <c r="BJ19" s="26"/>
      <c r="BK19" s="29"/>
      <c r="BL19" s="28"/>
      <c r="BM19" s="26"/>
      <c r="BN19" s="26"/>
      <c r="BO19" s="29"/>
      <c r="BP19" s="28"/>
      <c r="BQ19" s="26"/>
      <c r="BR19" s="26"/>
      <c r="BS19" s="29"/>
      <c r="BT19" s="28"/>
      <c r="BU19" s="26"/>
      <c r="BV19" s="26"/>
      <c r="BW19" s="29"/>
      <c r="BX19" s="28"/>
      <c r="BY19" s="26"/>
      <c r="BZ19" s="26"/>
      <c r="CA19" s="29"/>
      <c r="CB19" s="28"/>
      <c r="CC19" s="26"/>
      <c r="CD19" s="26"/>
      <c r="CE19" s="29"/>
      <c r="CF19" s="28"/>
      <c r="CG19" s="26"/>
      <c r="CH19" s="26"/>
      <c r="CI19" s="29"/>
      <c r="CJ19" s="28"/>
      <c r="CK19" s="26"/>
      <c r="CL19" s="26"/>
      <c r="CM19" s="29"/>
      <c r="CN19" s="28"/>
      <c r="CO19" s="26"/>
      <c r="CP19" s="26"/>
      <c r="CQ19" s="29"/>
      <c r="CR19" s="28"/>
      <c r="CS19" s="26"/>
      <c r="CT19" s="26"/>
      <c r="CU19" s="29"/>
      <c r="CV19" s="28"/>
      <c r="CW19" s="26"/>
      <c r="CX19" s="26"/>
      <c r="CY19" s="29"/>
      <c r="CZ19" s="28"/>
      <c r="DA19" s="26"/>
      <c r="DB19" s="26"/>
      <c r="DC19" s="29"/>
    </row>
    <row r="20" spans="1:107" x14ac:dyDescent="0.25">
      <c r="B20" s="158" t="s">
        <v>104</v>
      </c>
      <c r="C20" s="159"/>
      <c r="D20" s="159"/>
      <c r="E20" s="159"/>
      <c r="F20" s="159"/>
      <c r="G20" s="159"/>
      <c r="H20" s="28"/>
      <c r="I20" s="26"/>
      <c r="J20" s="26"/>
      <c r="K20" s="29"/>
      <c r="L20" s="28"/>
      <c r="M20" s="26"/>
      <c r="N20" s="26"/>
      <c r="O20" s="29"/>
      <c r="P20" s="28"/>
      <c r="Q20" s="26"/>
      <c r="R20" s="26"/>
      <c r="S20" s="29"/>
      <c r="T20" s="28"/>
      <c r="U20" s="26"/>
      <c r="V20" s="26"/>
      <c r="W20" s="29"/>
      <c r="X20" s="28"/>
      <c r="Y20" s="26"/>
      <c r="Z20" s="26"/>
      <c r="AA20" s="29"/>
      <c r="AB20" s="28"/>
      <c r="AC20" s="26"/>
      <c r="AD20" s="26"/>
      <c r="AE20" s="29"/>
      <c r="AF20" s="28"/>
      <c r="AG20" s="26"/>
      <c r="AH20" s="26"/>
      <c r="AI20" s="29"/>
      <c r="AJ20" s="28"/>
      <c r="AK20" s="26"/>
      <c r="AL20" s="26"/>
      <c r="AM20" s="29"/>
      <c r="AN20" s="28"/>
      <c r="AO20" s="26"/>
      <c r="AP20" s="26"/>
      <c r="AQ20" s="29"/>
      <c r="AR20" s="28"/>
      <c r="AS20" s="26"/>
      <c r="AT20" s="26"/>
      <c r="AU20" s="29"/>
      <c r="AV20" s="28"/>
      <c r="AW20" s="26"/>
      <c r="AX20" s="26"/>
      <c r="AY20" s="29"/>
      <c r="AZ20" s="28"/>
      <c r="BA20" s="26"/>
      <c r="BB20" s="26"/>
      <c r="BC20" s="29"/>
      <c r="BD20" s="28"/>
      <c r="BE20" s="26"/>
      <c r="BF20" s="26"/>
      <c r="BG20" s="29"/>
      <c r="BH20" s="28"/>
      <c r="BI20" s="26"/>
      <c r="BJ20" s="26"/>
      <c r="BK20" s="29"/>
      <c r="BL20" s="28"/>
      <c r="BM20" s="26"/>
      <c r="BN20" s="26"/>
      <c r="BO20" s="29"/>
      <c r="BP20" s="28"/>
      <c r="BQ20" s="26"/>
      <c r="BR20" s="26"/>
      <c r="BS20" s="29"/>
      <c r="BT20" s="28"/>
      <c r="BU20" s="26"/>
      <c r="BV20" s="26"/>
      <c r="BW20" s="29"/>
      <c r="BX20" s="28"/>
      <c r="BY20" s="26"/>
      <c r="BZ20" s="26"/>
      <c r="CA20" s="29"/>
      <c r="CB20" s="28"/>
      <c r="CC20" s="26"/>
      <c r="CD20" s="26"/>
      <c r="CE20" s="29"/>
      <c r="CF20" s="28"/>
      <c r="CG20" s="26"/>
      <c r="CH20" s="26"/>
      <c r="CI20" s="29"/>
      <c r="CJ20" s="28"/>
      <c r="CK20" s="26"/>
      <c r="CL20" s="26"/>
      <c r="CM20" s="29"/>
      <c r="CN20" s="28">
        <v>3</v>
      </c>
      <c r="CO20" s="26"/>
      <c r="CP20" s="26"/>
      <c r="CQ20" s="29"/>
      <c r="CR20" s="28"/>
      <c r="CS20" s="26"/>
      <c r="CT20" s="26"/>
      <c r="CU20" s="29"/>
      <c r="CV20" s="28"/>
      <c r="CW20" s="26"/>
      <c r="CX20" s="26"/>
      <c r="CY20" s="29"/>
      <c r="CZ20" s="28"/>
      <c r="DA20" s="26"/>
      <c r="DB20" s="26"/>
      <c r="DC20" s="29"/>
    </row>
    <row r="21" spans="1:107" ht="15.75" thickBot="1" x14ac:dyDescent="0.3">
      <c r="B21" s="161" t="s">
        <v>106</v>
      </c>
      <c r="C21" s="162"/>
      <c r="D21" s="162"/>
      <c r="E21" s="162"/>
      <c r="F21" s="162"/>
      <c r="G21" s="162"/>
      <c r="H21" s="30"/>
      <c r="I21" s="31"/>
      <c r="J21" s="31"/>
      <c r="K21" s="32"/>
      <c r="L21" s="30"/>
      <c r="M21" s="31"/>
      <c r="N21" s="31"/>
      <c r="O21" s="32"/>
      <c r="P21" s="30"/>
      <c r="Q21" s="31"/>
      <c r="R21" s="31"/>
      <c r="S21" s="32"/>
      <c r="T21" s="30"/>
      <c r="U21" s="31"/>
      <c r="V21" s="31"/>
      <c r="W21" s="32"/>
      <c r="X21" s="30"/>
      <c r="Y21" s="31"/>
      <c r="Z21" s="31"/>
      <c r="AA21" s="32"/>
      <c r="AB21" s="30"/>
      <c r="AC21" s="31"/>
      <c r="AD21" s="31"/>
      <c r="AE21" s="32"/>
      <c r="AF21" s="30"/>
      <c r="AG21" s="31"/>
      <c r="AH21" s="31"/>
      <c r="AI21" s="32"/>
      <c r="AJ21" s="30"/>
      <c r="AK21" s="31"/>
      <c r="AL21" s="31"/>
      <c r="AM21" s="32"/>
      <c r="AN21" s="30"/>
      <c r="AO21" s="31"/>
      <c r="AP21" s="31"/>
      <c r="AQ21" s="32"/>
      <c r="AR21" s="30"/>
      <c r="AS21" s="31"/>
      <c r="AT21" s="31"/>
      <c r="AU21" s="32"/>
      <c r="AV21" s="30"/>
      <c r="AW21" s="31"/>
      <c r="AX21" s="31"/>
      <c r="AY21" s="32"/>
      <c r="AZ21" s="30"/>
      <c r="BA21" s="31"/>
      <c r="BB21" s="31"/>
      <c r="BC21" s="32"/>
      <c r="BD21" s="30"/>
      <c r="BE21" s="31"/>
      <c r="BF21" s="31"/>
      <c r="BG21" s="32"/>
      <c r="BH21" s="30"/>
      <c r="BI21" s="31"/>
      <c r="BJ21" s="31"/>
      <c r="BK21" s="32"/>
      <c r="BL21" s="30"/>
      <c r="BM21" s="31"/>
      <c r="BN21" s="31"/>
      <c r="BO21" s="32"/>
      <c r="BP21" s="30"/>
      <c r="BQ21" s="31"/>
      <c r="BR21" s="31"/>
      <c r="BS21" s="32"/>
      <c r="BT21" s="30"/>
      <c r="BU21" s="31"/>
      <c r="BV21" s="31"/>
      <c r="BW21" s="32"/>
      <c r="BX21" s="30"/>
      <c r="BY21" s="31"/>
      <c r="BZ21" s="31"/>
      <c r="CA21" s="32"/>
      <c r="CB21" s="30"/>
      <c r="CC21" s="31"/>
      <c r="CD21" s="31"/>
      <c r="CE21" s="32"/>
      <c r="CF21" s="30"/>
      <c r="CG21" s="31"/>
      <c r="CH21" s="31"/>
      <c r="CI21" s="32"/>
      <c r="CJ21" s="30"/>
      <c r="CK21" s="31"/>
      <c r="CL21" s="31"/>
      <c r="CM21" s="32"/>
      <c r="CN21" s="30"/>
      <c r="CO21" s="31"/>
      <c r="CP21" s="31"/>
      <c r="CQ21" s="32"/>
      <c r="CR21" s="30"/>
      <c r="CS21" s="31"/>
      <c r="CT21" s="31"/>
      <c r="CU21" s="32"/>
      <c r="CV21" s="30"/>
      <c r="CW21" s="31"/>
      <c r="CX21" s="31"/>
      <c r="CY21" s="32"/>
      <c r="CZ21" s="30"/>
      <c r="DA21" s="31"/>
      <c r="DB21" s="31"/>
      <c r="DC21" s="32"/>
    </row>
    <row r="22" spans="1:107" x14ac:dyDescent="0.25">
      <c r="B22" s="3"/>
      <c r="C22" s="27"/>
      <c r="D22" s="23">
        <f>H22+L22+P22+T22+X22+AB22+AF22+AJ22+AN22+AR22+AV22+AZ22+BD22+BH22+BL22+BP22+BT22+BX22+CB22+CF22+CJ22+CN22+CR22+CV22+CZ22</f>
        <v>70</v>
      </c>
      <c r="E22" s="23">
        <f>I22+M22+Q22+U22+Y22+AC22+AG22+AK22+AO22+AS22+AW22+BA22+BE22+BI22+BM22+BQ22+BV22+BY22+CD22+CG22+CL22+CO22+CT22+CW22+DB22</f>
        <v>13</v>
      </c>
      <c r="F22" s="23">
        <f>J22+N22+R22+V22+Z22+AD22+AH22+AL22+AP22+AT22+AX22+BB22+BF22+BJ22+BN22+BT22+BX22+CB22+CF22+CJ22+CN22+CR22+CV22+CZ22</f>
        <v>14</v>
      </c>
      <c r="G22" s="23">
        <f>K22+O22+S22+W22+AA22+AE22+AI22+AM22+AQ22+AU22+AY22+BC22+BG22+BK22+BO22+BV22+BY22+CD22+CG22+CL22+CO22+CT22+CW22+DB22</f>
        <v>4</v>
      </c>
      <c r="H22" s="33">
        <f t="shared" ref="H22" si="4">SUM(H4:H21)</f>
        <v>3</v>
      </c>
      <c r="I22" s="34">
        <f t="shared" ref="I22:J22" si="5">SUM(I4:I18)</f>
        <v>0</v>
      </c>
      <c r="J22" s="34">
        <f t="shared" si="5"/>
        <v>0</v>
      </c>
      <c r="K22" s="35">
        <f t="shared" ref="K22" si="6">SUM(K4:K20)</f>
        <v>0</v>
      </c>
      <c r="L22" s="33">
        <f t="shared" ref="L22" si="7">SUM(L4:L21)</f>
        <v>3</v>
      </c>
      <c r="M22" s="34">
        <f t="shared" ref="M22:N22" si="8">SUM(M4:M18)</f>
        <v>0</v>
      </c>
      <c r="N22" s="34">
        <f t="shared" si="8"/>
        <v>0</v>
      </c>
      <c r="O22" s="35">
        <f t="shared" ref="O22" si="9">SUM(O4:O20)</f>
        <v>0</v>
      </c>
      <c r="P22" s="33">
        <f t="shared" ref="P22" si="10">SUM(P4:P21)</f>
        <v>10</v>
      </c>
      <c r="Q22" s="34">
        <f t="shared" ref="Q22:R22" si="11">SUM(Q4:Q18)</f>
        <v>0</v>
      </c>
      <c r="R22" s="34">
        <f t="shared" si="11"/>
        <v>0</v>
      </c>
      <c r="S22" s="35">
        <f t="shared" ref="S22" si="12">SUM(S4:S20)</f>
        <v>0</v>
      </c>
      <c r="T22" s="33">
        <f>SUM(T4:T21)</f>
        <v>4</v>
      </c>
      <c r="U22" s="34">
        <f>SUM(U4:U18)</f>
        <v>0</v>
      </c>
      <c r="V22" s="34">
        <f>SUM(V4:V18)</f>
        <v>0</v>
      </c>
      <c r="W22" s="35">
        <f>SUM(W4:W20)</f>
        <v>0</v>
      </c>
      <c r="X22" s="33">
        <f t="shared" ref="X22" si="13">SUM(X4:X21)</f>
        <v>1</v>
      </c>
      <c r="Y22" s="34">
        <f t="shared" ref="Y22:BV22" si="14">SUM(Y4:Y18)</f>
        <v>2</v>
      </c>
      <c r="Z22" s="34">
        <f t="shared" si="14"/>
        <v>0</v>
      </c>
      <c r="AA22" s="35">
        <f t="shared" ref="AA22:BW22" si="15">SUM(AA4:AA20)</f>
        <v>1</v>
      </c>
      <c r="AB22" s="33">
        <f t="shared" ref="AB22" si="16">SUM(AB4:AB21)</f>
        <v>2</v>
      </c>
      <c r="AC22" s="34">
        <f t="shared" ref="AC22:BZ22" si="17">SUM(AC4:AC18)</f>
        <v>0</v>
      </c>
      <c r="AD22" s="34">
        <f t="shared" si="17"/>
        <v>0</v>
      </c>
      <c r="AE22" s="35">
        <f t="shared" ref="AE22:CA22" si="18">SUM(AE4:AE20)</f>
        <v>0</v>
      </c>
      <c r="AF22" s="33">
        <f t="shared" ref="AF22" si="19">SUM(AF4:AF21)</f>
        <v>4</v>
      </c>
      <c r="AG22" s="34">
        <f t="shared" ref="AG22:CD22" si="20">SUM(AG4:AG18)</f>
        <v>1</v>
      </c>
      <c r="AH22" s="34">
        <f t="shared" si="20"/>
        <v>0</v>
      </c>
      <c r="AI22" s="35">
        <f t="shared" ref="AI22:CE22" si="21">SUM(AI4:AI20)</f>
        <v>0</v>
      </c>
      <c r="AJ22" s="33">
        <f t="shared" ref="AJ22" si="22">SUM(AJ4:AJ21)</f>
        <v>2</v>
      </c>
      <c r="AK22" s="34">
        <f t="shared" ref="AK22:AL22" si="23">SUM(AK4:AK18)</f>
        <v>1</v>
      </c>
      <c r="AL22" s="34">
        <f t="shared" si="23"/>
        <v>0</v>
      </c>
      <c r="AM22" s="35">
        <f t="shared" ref="AM22" si="24">SUM(AM4:AM20)</f>
        <v>0</v>
      </c>
      <c r="AN22" s="33">
        <f t="shared" ref="AN22" si="25">SUM(AN4:AN21)</f>
        <v>4</v>
      </c>
      <c r="AO22" s="34">
        <f t="shared" si="14"/>
        <v>1</v>
      </c>
      <c r="AP22" s="34">
        <f t="shared" si="14"/>
        <v>0</v>
      </c>
      <c r="AQ22" s="35">
        <f t="shared" si="15"/>
        <v>0</v>
      </c>
      <c r="AR22" s="33">
        <f t="shared" ref="AR22" si="26">SUM(AR4:AR21)</f>
        <v>4</v>
      </c>
      <c r="AS22" s="34">
        <f t="shared" si="17"/>
        <v>2</v>
      </c>
      <c r="AT22" s="34">
        <f t="shared" si="17"/>
        <v>0</v>
      </c>
      <c r="AU22" s="35">
        <f t="shared" si="18"/>
        <v>0</v>
      </c>
      <c r="AV22" s="33">
        <f t="shared" ref="AV22" si="27">SUM(AV4:AV21)</f>
        <v>0</v>
      </c>
      <c r="AW22" s="34">
        <f t="shared" si="20"/>
        <v>0</v>
      </c>
      <c r="AX22" s="34">
        <f t="shared" si="20"/>
        <v>0</v>
      </c>
      <c r="AY22" s="35">
        <f t="shared" si="21"/>
        <v>0</v>
      </c>
      <c r="AZ22" s="33">
        <f t="shared" ref="AZ22" si="28">SUM(AZ4:AZ21)</f>
        <v>8</v>
      </c>
      <c r="BA22" s="34">
        <f>SUM(BA4:BA20)</f>
        <v>1</v>
      </c>
      <c r="BB22" s="34">
        <f t="shared" ref="BB22" si="29">SUM(BB4:BB18)</f>
        <v>0</v>
      </c>
      <c r="BC22" s="35">
        <f t="shared" ref="BC22" si="30">SUM(BC4:BC20)</f>
        <v>1</v>
      </c>
      <c r="BD22" s="33">
        <f t="shared" ref="BD22" si="31">SUM(BD4:BD21)</f>
        <v>3</v>
      </c>
      <c r="BE22" s="34">
        <f t="shared" si="14"/>
        <v>0</v>
      </c>
      <c r="BF22" s="34">
        <f t="shared" si="14"/>
        <v>0</v>
      </c>
      <c r="BG22" s="35">
        <f t="shared" si="15"/>
        <v>0</v>
      </c>
      <c r="BH22" s="33">
        <f t="shared" ref="BH22" si="32">SUM(BH4:BH21)</f>
        <v>1</v>
      </c>
      <c r="BI22" s="34">
        <f t="shared" si="17"/>
        <v>0</v>
      </c>
      <c r="BJ22" s="34">
        <f t="shared" si="17"/>
        <v>0</v>
      </c>
      <c r="BK22" s="35">
        <f t="shared" si="18"/>
        <v>0</v>
      </c>
      <c r="BL22" s="33">
        <f t="shared" ref="BL22" si="33">SUM(BL4:BL21)</f>
        <v>2</v>
      </c>
      <c r="BM22" s="34">
        <f t="shared" si="20"/>
        <v>2</v>
      </c>
      <c r="BN22" s="34">
        <f t="shared" si="20"/>
        <v>0</v>
      </c>
      <c r="BO22" s="35">
        <f t="shared" si="21"/>
        <v>0</v>
      </c>
      <c r="BP22" s="33">
        <f t="shared" ref="BP22" si="34">SUM(BP4:BP21)</f>
        <v>5</v>
      </c>
      <c r="BQ22" s="34">
        <f t="shared" ref="BQ22:BR22" si="35">SUM(BQ4:BQ18)</f>
        <v>1</v>
      </c>
      <c r="BR22" s="34">
        <f t="shared" si="35"/>
        <v>0</v>
      </c>
      <c r="BS22" s="35">
        <f t="shared" ref="BS22" si="36">SUM(BS4:BS20)</f>
        <v>0</v>
      </c>
      <c r="BT22" s="33">
        <f t="shared" ref="BT22" si="37">SUM(BT4:BT21)</f>
        <v>0</v>
      </c>
      <c r="BU22" s="34">
        <f t="shared" si="14"/>
        <v>2</v>
      </c>
      <c r="BV22" s="34">
        <f t="shared" si="14"/>
        <v>0</v>
      </c>
      <c r="BW22" s="35">
        <f t="shared" si="15"/>
        <v>0</v>
      </c>
      <c r="BX22" s="33">
        <f t="shared" ref="BX22" si="38">SUM(BX4:BX21)</f>
        <v>0</v>
      </c>
      <c r="BY22" s="34">
        <f t="shared" si="17"/>
        <v>0</v>
      </c>
      <c r="BZ22" s="34">
        <f t="shared" si="17"/>
        <v>0</v>
      </c>
      <c r="CA22" s="35">
        <f t="shared" si="18"/>
        <v>0</v>
      </c>
      <c r="CB22" s="33">
        <f t="shared" ref="CB22" si="39">SUM(CB4:CB21)</f>
        <v>1</v>
      </c>
      <c r="CC22" s="34">
        <f t="shared" si="20"/>
        <v>0</v>
      </c>
      <c r="CD22" s="34">
        <f t="shared" si="20"/>
        <v>0</v>
      </c>
      <c r="CE22" s="35">
        <f t="shared" si="21"/>
        <v>0</v>
      </c>
      <c r="CF22" s="33">
        <f t="shared" ref="CF22" si="40">SUM(CF4:CF21)</f>
        <v>2</v>
      </c>
      <c r="CG22" s="34">
        <f t="shared" ref="CG22:CH22" si="41">SUM(CG4:CG18)</f>
        <v>2</v>
      </c>
      <c r="CH22" s="34">
        <f t="shared" si="41"/>
        <v>0</v>
      </c>
      <c r="CI22" s="35">
        <f t="shared" ref="CI22" si="42">SUM(CI4:CI20)</f>
        <v>0</v>
      </c>
      <c r="CJ22" s="33">
        <f t="shared" ref="CJ22" si="43">SUM(CJ4:CJ21)</f>
        <v>8</v>
      </c>
      <c r="CK22" s="34">
        <f t="shared" ref="CK22:DB22" si="44">SUM(CK4:CK18)</f>
        <v>0</v>
      </c>
      <c r="CL22" s="34">
        <f t="shared" si="44"/>
        <v>0</v>
      </c>
      <c r="CM22" s="35">
        <f t="shared" ref="CM22:DC22" si="45">SUM(CM4:CM20)</f>
        <v>0</v>
      </c>
      <c r="CN22" s="33">
        <f t="shared" ref="CN22" si="46">SUM(CN4:CN21)</f>
        <v>3</v>
      </c>
      <c r="CO22" s="34">
        <f t="shared" ref="CO22:CP22" si="47">SUM(CO4:CO18)</f>
        <v>0</v>
      </c>
      <c r="CP22" s="34">
        <f t="shared" si="47"/>
        <v>0</v>
      </c>
      <c r="CQ22" s="35">
        <f t="shared" ref="CQ22" si="48">SUM(CQ4:CQ20)</f>
        <v>0</v>
      </c>
      <c r="CR22" s="33">
        <f t="shared" ref="CR22" si="49">SUM(CR4:CR21)</f>
        <v>0</v>
      </c>
      <c r="CS22" s="34">
        <f t="shared" ref="CS22:CT22" si="50">SUM(CS4:CS18)</f>
        <v>2</v>
      </c>
      <c r="CT22" s="34">
        <f t="shared" si="50"/>
        <v>0</v>
      </c>
      <c r="CU22" s="35">
        <f t="shared" ref="CU22" si="51">SUM(CU4:CU20)</f>
        <v>0</v>
      </c>
      <c r="CV22" s="33">
        <f t="shared" ref="CV22" si="52">SUM(CV4:CV21)</f>
        <v>0</v>
      </c>
      <c r="CW22" s="34">
        <f t="shared" ref="CW22:CX22" si="53">SUM(CW4:CW18)</f>
        <v>0</v>
      </c>
      <c r="CX22" s="34">
        <f t="shared" si="53"/>
        <v>0</v>
      </c>
      <c r="CY22" s="35">
        <f t="shared" ref="CY22" si="54">SUM(CY4:CY20)</f>
        <v>0</v>
      </c>
      <c r="CZ22" s="33">
        <f t="shared" ref="CZ22" si="55">SUM(CZ4:CZ21)</f>
        <v>0</v>
      </c>
      <c r="DA22" s="34">
        <f t="shared" si="44"/>
        <v>0</v>
      </c>
      <c r="DB22" s="34">
        <f t="shared" si="44"/>
        <v>0</v>
      </c>
      <c r="DC22" s="35">
        <f t="shared" si="45"/>
        <v>0</v>
      </c>
    </row>
    <row r="23" spans="1:107" ht="14.45" customHeight="1" x14ac:dyDescent="0.25">
      <c r="B23" s="3"/>
      <c r="C23" s="27"/>
      <c r="D23" s="148" t="s">
        <v>86</v>
      </c>
      <c r="E23" s="148" t="s">
        <v>97</v>
      </c>
      <c r="F23" s="148" t="s">
        <v>99</v>
      </c>
      <c r="G23" s="148" t="s">
        <v>98</v>
      </c>
      <c r="H23" s="145" t="s">
        <v>86</v>
      </c>
      <c r="I23" s="148" t="s">
        <v>97</v>
      </c>
      <c r="J23" s="148" t="s">
        <v>99</v>
      </c>
      <c r="K23" s="151" t="s">
        <v>98</v>
      </c>
      <c r="L23" s="145" t="s">
        <v>86</v>
      </c>
      <c r="M23" s="148" t="s">
        <v>97</v>
      </c>
      <c r="N23" s="148" t="s">
        <v>99</v>
      </c>
      <c r="O23" s="151" t="s">
        <v>98</v>
      </c>
      <c r="P23" s="145" t="s">
        <v>86</v>
      </c>
      <c r="Q23" s="148" t="s">
        <v>97</v>
      </c>
      <c r="R23" s="148" t="s">
        <v>99</v>
      </c>
      <c r="S23" s="151" t="s">
        <v>98</v>
      </c>
      <c r="T23" s="145" t="s">
        <v>86</v>
      </c>
      <c r="U23" s="148" t="s">
        <v>97</v>
      </c>
      <c r="V23" s="148" t="s">
        <v>99</v>
      </c>
      <c r="W23" s="151" t="s">
        <v>98</v>
      </c>
      <c r="X23" s="145" t="s">
        <v>86</v>
      </c>
      <c r="Y23" s="148" t="s">
        <v>97</v>
      </c>
      <c r="Z23" s="148" t="s">
        <v>99</v>
      </c>
      <c r="AA23" s="151" t="s">
        <v>98</v>
      </c>
      <c r="AB23" s="145" t="s">
        <v>86</v>
      </c>
      <c r="AC23" s="148" t="s">
        <v>97</v>
      </c>
      <c r="AD23" s="148" t="s">
        <v>99</v>
      </c>
      <c r="AE23" s="151" t="s">
        <v>98</v>
      </c>
      <c r="AF23" s="145" t="s">
        <v>86</v>
      </c>
      <c r="AG23" s="148" t="s">
        <v>97</v>
      </c>
      <c r="AH23" s="148" t="s">
        <v>99</v>
      </c>
      <c r="AI23" s="151" t="s">
        <v>98</v>
      </c>
      <c r="AJ23" s="145" t="s">
        <v>86</v>
      </c>
      <c r="AK23" s="148" t="s">
        <v>97</v>
      </c>
      <c r="AL23" s="148" t="s">
        <v>99</v>
      </c>
      <c r="AM23" s="151" t="s">
        <v>98</v>
      </c>
      <c r="AN23" s="145" t="s">
        <v>86</v>
      </c>
      <c r="AO23" s="148" t="s">
        <v>97</v>
      </c>
      <c r="AP23" s="148" t="s">
        <v>99</v>
      </c>
      <c r="AQ23" s="151" t="s">
        <v>98</v>
      </c>
      <c r="AR23" s="145" t="s">
        <v>86</v>
      </c>
      <c r="AS23" s="148" t="s">
        <v>97</v>
      </c>
      <c r="AT23" s="148" t="s">
        <v>99</v>
      </c>
      <c r="AU23" s="151" t="s">
        <v>98</v>
      </c>
      <c r="AV23" s="145" t="s">
        <v>86</v>
      </c>
      <c r="AW23" s="148" t="s">
        <v>97</v>
      </c>
      <c r="AX23" s="148" t="s">
        <v>99</v>
      </c>
      <c r="AY23" s="151" t="s">
        <v>98</v>
      </c>
      <c r="AZ23" s="145" t="s">
        <v>86</v>
      </c>
      <c r="BA23" s="148" t="s">
        <v>97</v>
      </c>
      <c r="BB23" s="148" t="s">
        <v>99</v>
      </c>
      <c r="BC23" s="151" t="s">
        <v>98</v>
      </c>
      <c r="BD23" s="145" t="s">
        <v>86</v>
      </c>
      <c r="BE23" s="148" t="s">
        <v>97</v>
      </c>
      <c r="BF23" s="148" t="s">
        <v>99</v>
      </c>
      <c r="BG23" s="151" t="s">
        <v>98</v>
      </c>
      <c r="BH23" s="145" t="s">
        <v>86</v>
      </c>
      <c r="BI23" s="148" t="s">
        <v>97</v>
      </c>
      <c r="BJ23" s="148" t="s">
        <v>99</v>
      </c>
      <c r="BK23" s="151" t="s">
        <v>98</v>
      </c>
      <c r="BL23" s="145" t="s">
        <v>86</v>
      </c>
      <c r="BM23" s="148" t="s">
        <v>97</v>
      </c>
      <c r="BN23" s="148" t="s">
        <v>99</v>
      </c>
      <c r="BO23" s="151" t="s">
        <v>98</v>
      </c>
      <c r="BP23" s="145" t="s">
        <v>86</v>
      </c>
      <c r="BQ23" s="148" t="s">
        <v>97</v>
      </c>
      <c r="BR23" s="148" t="s">
        <v>99</v>
      </c>
      <c r="BS23" s="151" t="s">
        <v>98</v>
      </c>
      <c r="BT23" s="145" t="s">
        <v>86</v>
      </c>
      <c r="BU23" s="148" t="s">
        <v>97</v>
      </c>
      <c r="BV23" s="148" t="s">
        <v>99</v>
      </c>
      <c r="BW23" s="151" t="s">
        <v>98</v>
      </c>
      <c r="BX23" s="145" t="s">
        <v>86</v>
      </c>
      <c r="BY23" s="148" t="s">
        <v>97</v>
      </c>
      <c r="BZ23" s="148" t="s">
        <v>99</v>
      </c>
      <c r="CA23" s="151" t="s">
        <v>98</v>
      </c>
      <c r="CB23" s="145" t="s">
        <v>86</v>
      </c>
      <c r="CC23" s="148" t="s">
        <v>97</v>
      </c>
      <c r="CD23" s="148" t="s">
        <v>99</v>
      </c>
      <c r="CE23" s="151" t="s">
        <v>98</v>
      </c>
      <c r="CF23" s="145" t="s">
        <v>86</v>
      </c>
      <c r="CG23" s="148" t="s">
        <v>97</v>
      </c>
      <c r="CH23" s="148" t="s">
        <v>99</v>
      </c>
      <c r="CI23" s="151" t="s">
        <v>98</v>
      </c>
      <c r="CJ23" s="145" t="s">
        <v>86</v>
      </c>
      <c r="CK23" s="148" t="s">
        <v>97</v>
      </c>
      <c r="CL23" s="148" t="s">
        <v>99</v>
      </c>
      <c r="CM23" s="151" t="s">
        <v>98</v>
      </c>
      <c r="CN23" s="145" t="s">
        <v>86</v>
      </c>
      <c r="CO23" s="148" t="s">
        <v>97</v>
      </c>
      <c r="CP23" s="148" t="s">
        <v>99</v>
      </c>
      <c r="CQ23" s="151" t="s">
        <v>98</v>
      </c>
      <c r="CR23" s="145" t="s">
        <v>86</v>
      </c>
      <c r="CS23" s="148" t="s">
        <v>97</v>
      </c>
      <c r="CT23" s="148" t="s">
        <v>99</v>
      </c>
      <c r="CU23" s="151" t="s">
        <v>98</v>
      </c>
      <c r="CV23" s="145" t="s">
        <v>86</v>
      </c>
      <c r="CW23" s="148" t="s">
        <v>97</v>
      </c>
      <c r="CX23" s="148" t="s">
        <v>99</v>
      </c>
      <c r="CY23" s="151" t="s">
        <v>98</v>
      </c>
      <c r="CZ23" s="145" t="s">
        <v>86</v>
      </c>
      <c r="DA23" s="148" t="s">
        <v>97</v>
      </c>
      <c r="DB23" s="148" t="s">
        <v>99</v>
      </c>
      <c r="DC23" s="151" t="s">
        <v>98</v>
      </c>
    </row>
    <row r="24" spans="1:107" x14ac:dyDescent="0.25">
      <c r="B24" s="3"/>
      <c r="C24" s="27"/>
      <c r="D24" s="149"/>
      <c r="E24" s="149"/>
      <c r="F24" s="149"/>
      <c r="G24" s="149"/>
      <c r="H24" s="146"/>
      <c r="I24" s="149"/>
      <c r="J24" s="149"/>
      <c r="K24" s="152"/>
      <c r="L24" s="146"/>
      <c r="M24" s="149"/>
      <c r="N24" s="149"/>
      <c r="O24" s="152"/>
      <c r="P24" s="146"/>
      <c r="Q24" s="149"/>
      <c r="R24" s="149"/>
      <c r="S24" s="152"/>
      <c r="T24" s="146"/>
      <c r="U24" s="149"/>
      <c r="V24" s="149"/>
      <c r="W24" s="152"/>
      <c r="X24" s="146"/>
      <c r="Y24" s="149"/>
      <c r="Z24" s="149"/>
      <c r="AA24" s="152"/>
      <c r="AB24" s="146"/>
      <c r="AC24" s="149"/>
      <c r="AD24" s="149"/>
      <c r="AE24" s="152"/>
      <c r="AF24" s="146"/>
      <c r="AG24" s="149"/>
      <c r="AH24" s="149"/>
      <c r="AI24" s="152"/>
      <c r="AJ24" s="146"/>
      <c r="AK24" s="149"/>
      <c r="AL24" s="149"/>
      <c r="AM24" s="152"/>
      <c r="AN24" s="146"/>
      <c r="AO24" s="149"/>
      <c r="AP24" s="149"/>
      <c r="AQ24" s="152"/>
      <c r="AR24" s="146"/>
      <c r="AS24" s="149"/>
      <c r="AT24" s="149"/>
      <c r="AU24" s="152"/>
      <c r="AV24" s="146"/>
      <c r="AW24" s="149"/>
      <c r="AX24" s="149"/>
      <c r="AY24" s="152"/>
      <c r="AZ24" s="146"/>
      <c r="BA24" s="149"/>
      <c r="BB24" s="149"/>
      <c r="BC24" s="152"/>
      <c r="BD24" s="146"/>
      <c r="BE24" s="149"/>
      <c r="BF24" s="149"/>
      <c r="BG24" s="152"/>
      <c r="BH24" s="146"/>
      <c r="BI24" s="149"/>
      <c r="BJ24" s="149"/>
      <c r="BK24" s="152"/>
      <c r="BL24" s="146"/>
      <c r="BM24" s="149"/>
      <c r="BN24" s="149"/>
      <c r="BO24" s="152"/>
      <c r="BP24" s="146"/>
      <c r="BQ24" s="149"/>
      <c r="BR24" s="149"/>
      <c r="BS24" s="152"/>
      <c r="BT24" s="146"/>
      <c r="BU24" s="149"/>
      <c r="BV24" s="149"/>
      <c r="BW24" s="152"/>
      <c r="BX24" s="146"/>
      <c r="BY24" s="149"/>
      <c r="BZ24" s="149"/>
      <c r="CA24" s="152"/>
      <c r="CB24" s="146"/>
      <c r="CC24" s="149"/>
      <c r="CD24" s="149"/>
      <c r="CE24" s="152"/>
      <c r="CF24" s="146"/>
      <c r="CG24" s="149"/>
      <c r="CH24" s="149"/>
      <c r="CI24" s="152"/>
      <c r="CJ24" s="146"/>
      <c r="CK24" s="149"/>
      <c r="CL24" s="149"/>
      <c r="CM24" s="152"/>
      <c r="CN24" s="146"/>
      <c r="CO24" s="149"/>
      <c r="CP24" s="149"/>
      <c r="CQ24" s="152"/>
      <c r="CR24" s="146"/>
      <c r="CS24" s="149"/>
      <c r="CT24" s="149"/>
      <c r="CU24" s="152"/>
      <c r="CV24" s="146"/>
      <c r="CW24" s="149"/>
      <c r="CX24" s="149"/>
      <c r="CY24" s="152"/>
      <c r="CZ24" s="146"/>
      <c r="DA24" s="149"/>
      <c r="DB24" s="149"/>
      <c r="DC24" s="152"/>
    </row>
    <row r="25" spans="1:107" x14ac:dyDescent="0.25">
      <c r="D25" s="149"/>
      <c r="E25" s="149"/>
      <c r="F25" s="149"/>
      <c r="G25" s="149"/>
      <c r="H25" s="146"/>
      <c r="I25" s="149"/>
      <c r="J25" s="149"/>
      <c r="K25" s="152"/>
      <c r="L25" s="146"/>
      <c r="M25" s="149"/>
      <c r="N25" s="149"/>
      <c r="O25" s="152"/>
      <c r="P25" s="146"/>
      <c r="Q25" s="149"/>
      <c r="R25" s="149"/>
      <c r="S25" s="152"/>
      <c r="T25" s="146"/>
      <c r="U25" s="149"/>
      <c r="V25" s="149"/>
      <c r="W25" s="152"/>
      <c r="X25" s="146"/>
      <c r="Y25" s="149"/>
      <c r="Z25" s="149"/>
      <c r="AA25" s="152"/>
      <c r="AB25" s="146"/>
      <c r="AC25" s="149"/>
      <c r="AD25" s="149"/>
      <c r="AE25" s="152"/>
      <c r="AF25" s="146"/>
      <c r="AG25" s="149"/>
      <c r="AH25" s="149"/>
      <c r="AI25" s="152"/>
      <c r="AJ25" s="146"/>
      <c r="AK25" s="149"/>
      <c r="AL25" s="149"/>
      <c r="AM25" s="152"/>
      <c r="AN25" s="146"/>
      <c r="AO25" s="149"/>
      <c r="AP25" s="149"/>
      <c r="AQ25" s="152"/>
      <c r="AR25" s="146"/>
      <c r="AS25" s="149"/>
      <c r="AT25" s="149"/>
      <c r="AU25" s="152"/>
      <c r="AV25" s="146"/>
      <c r="AW25" s="149"/>
      <c r="AX25" s="149"/>
      <c r="AY25" s="152"/>
      <c r="AZ25" s="146"/>
      <c r="BA25" s="149"/>
      <c r="BB25" s="149"/>
      <c r="BC25" s="152"/>
      <c r="BD25" s="146"/>
      <c r="BE25" s="149"/>
      <c r="BF25" s="149"/>
      <c r="BG25" s="152"/>
      <c r="BH25" s="146"/>
      <c r="BI25" s="149"/>
      <c r="BJ25" s="149"/>
      <c r="BK25" s="152"/>
      <c r="BL25" s="146"/>
      <c r="BM25" s="149"/>
      <c r="BN25" s="149"/>
      <c r="BO25" s="152"/>
      <c r="BP25" s="146"/>
      <c r="BQ25" s="149"/>
      <c r="BR25" s="149"/>
      <c r="BS25" s="152"/>
      <c r="BT25" s="146"/>
      <c r="BU25" s="149"/>
      <c r="BV25" s="149"/>
      <c r="BW25" s="152"/>
      <c r="BX25" s="146"/>
      <c r="BY25" s="149"/>
      <c r="BZ25" s="149"/>
      <c r="CA25" s="152"/>
      <c r="CB25" s="146"/>
      <c r="CC25" s="149"/>
      <c r="CD25" s="149"/>
      <c r="CE25" s="152"/>
      <c r="CF25" s="146"/>
      <c r="CG25" s="149"/>
      <c r="CH25" s="149"/>
      <c r="CI25" s="152"/>
      <c r="CJ25" s="146"/>
      <c r="CK25" s="149"/>
      <c r="CL25" s="149"/>
      <c r="CM25" s="152"/>
      <c r="CN25" s="146"/>
      <c r="CO25" s="149"/>
      <c r="CP25" s="149"/>
      <c r="CQ25" s="152"/>
      <c r="CR25" s="146"/>
      <c r="CS25" s="149"/>
      <c r="CT25" s="149"/>
      <c r="CU25" s="152"/>
      <c r="CV25" s="146"/>
      <c r="CW25" s="149"/>
      <c r="CX25" s="149"/>
      <c r="CY25" s="152"/>
      <c r="CZ25" s="146"/>
      <c r="DA25" s="149"/>
      <c r="DB25" s="149"/>
      <c r="DC25" s="152"/>
    </row>
    <row r="26" spans="1:107" ht="15.75" thickBot="1" x14ac:dyDescent="0.3">
      <c r="D26" s="149"/>
      <c r="E26" s="149"/>
      <c r="F26" s="149"/>
      <c r="G26" s="149"/>
      <c r="H26" s="147"/>
      <c r="I26" s="150"/>
      <c r="J26" s="150"/>
      <c r="K26" s="153"/>
      <c r="L26" s="147"/>
      <c r="M26" s="150"/>
      <c r="N26" s="150"/>
      <c r="O26" s="153"/>
      <c r="P26" s="147"/>
      <c r="Q26" s="150"/>
      <c r="R26" s="150"/>
      <c r="S26" s="153"/>
      <c r="T26" s="147"/>
      <c r="U26" s="150"/>
      <c r="V26" s="150"/>
      <c r="W26" s="153"/>
      <c r="X26" s="147"/>
      <c r="Y26" s="150"/>
      <c r="Z26" s="150"/>
      <c r="AA26" s="153"/>
      <c r="AB26" s="147"/>
      <c r="AC26" s="150"/>
      <c r="AD26" s="150"/>
      <c r="AE26" s="153"/>
      <c r="AF26" s="147"/>
      <c r="AG26" s="150"/>
      <c r="AH26" s="150"/>
      <c r="AI26" s="153"/>
      <c r="AJ26" s="147"/>
      <c r="AK26" s="150"/>
      <c r="AL26" s="150"/>
      <c r="AM26" s="153"/>
      <c r="AN26" s="147"/>
      <c r="AO26" s="150"/>
      <c r="AP26" s="150"/>
      <c r="AQ26" s="153"/>
      <c r="AR26" s="147"/>
      <c r="AS26" s="150"/>
      <c r="AT26" s="150"/>
      <c r="AU26" s="153"/>
      <c r="AV26" s="147"/>
      <c r="AW26" s="150"/>
      <c r="AX26" s="150"/>
      <c r="AY26" s="153"/>
      <c r="AZ26" s="147"/>
      <c r="BA26" s="150"/>
      <c r="BB26" s="150"/>
      <c r="BC26" s="153"/>
      <c r="BD26" s="147"/>
      <c r="BE26" s="150"/>
      <c r="BF26" s="150"/>
      <c r="BG26" s="153"/>
      <c r="BH26" s="147"/>
      <c r="BI26" s="150"/>
      <c r="BJ26" s="150"/>
      <c r="BK26" s="153"/>
      <c r="BL26" s="147"/>
      <c r="BM26" s="150"/>
      <c r="BN26" s="150"/>
      <c r="BO26" s="153"/>
      <c r="BP26" s="147"/>
      <c r="BQ26" s="150"/>
      <c r="BR26" s="150"/>
      <c r="BS26" s="153"/>
      <c r="BT26" s="147"/>
      <c r="BU26" s="150"/>
      <c r="BV26" s="150"/>
      <c r="BW26" s="153"/>
      <c r="BX26" s="147"/>
      <c r="BY26" s="150"/>
      <c r="BZ26" s="150"/>
      <c r="CA26" s="153"/>
      <c r="CB26" s="147"/>
      <c r="CC26" s="150"/>
      <c r="CD26" s="150"/>
      <c r="CE26" s="153"/>
      <c r="CF26" s="147"/>
      <c r="CG26" s="150"/>
      <c r="CH26" s="150"/>
      <c r="CI26" s="153"/>
      <c r="CJ26" s="147"/>
      <c r="CK26" s="150"/>
      <c r="CL26" s="150"/>
      <c r="CM26" s="153"/>
      <c r="CN26" s="147"/>
      <c r="CO26" s="150"/>
      <c r="CP26" s="150"/>
      <c r="CQ26" s="153"/>
      <c r="CR26" s="147"/>
      <c r="CS26" s="150"/>
      <c r="CT26" s="150"/>
      <c r="CU26" s="153"/>
      <c r="CV26" s="147"/>
      <c r="CW26" s="150"/>
      <c r="CX26" s="150"/>
      <c r="CY26" s="153"/>
      <c r="CZ26" s="147"/>
      <c r="DA26" s="150"/>
      <c r="DB26" s="150"/>
      <c r="DC26" s="153"/>
    </row>
  </sheetData>
  <mergeCells count="199">
    <mergeCell ref="AR1:AU1"/>
    <mergeCell ref="AV1:AY1"/>
    <mergeCell ref="AR2:AU2"/>
    <mergeCell ref="AV2:AY2"/>
    <mergeCell ref="AZ2:BC2"/>
    <mergeCell ref="BD2:BG2"/>
    <mergeCell ref="H2:K2"/>
    <mergeCell ref="L2:O2"/>
    <mergeCell ref="P2:S2"/>
    <mergeCell ref="T2:W2"/>
    <mergeCell ref="X2:AA2"/>
    <mergeCell ref="AB2:AE2"/>
    <mergeCell ref="AF2:AI2"/>
    <mergeCell ref="AJ2:AM2"/>
    <mergeCell ref="AN2:AQ2"/>
    <mergeCell ref="CV1:CY1"/>
    <mergeCell ref="CZ1:DC1"/>
    <mergeCell ref="BX1:CA1"/>
    <mergeCell ref="CB1:CE1"/>
    <mergeCell ref="CF1:CI1"/>
    <mergeCell ref="CJ1:CM1"/>
    <mergeCell ref="CN1:CQ1"/>
    <mergeCell ref="CR1:CU1"/>
    <mergeCell ref="AZ1:BC1"/>
    <mergeCell ref="BD1:BG1"/>
    <mergeCell ref="BH1:BK1"/>
    <mergeCell ref="BL1:BO1"/>
    <mergeCell ref="BP1:BS1"/>
    <mergeCell ref="BT1:BW1"/>
    <mergeCell ref="AV3:AY3"/>
    <mergeCell ref="AZ3:BC3"/>
    <mergeCell ref="BD3:BG3"/>
    <mergeCell ref="BH3:BK3"/>
    <mergeCell ref="BL3:BO3"/>
    <mergeCell ref="A1:C3"/>
    <mergeCell ref="H1:K1"/>
    <mergeCell ref="L1:O1"/>
    <mergeCell ref="H3:K3"/>
    <mergeCell ref="L3:O3"/>
    <mergeCell ref="P3:S3"/>
    <mergeCell ref="T3:W3"/>
    <mergeCell ref="X3:AA3"/>
    <mergeCell ref="AB3:AE3"/>
    <mergeCell ref="AF3:AI3"/>
    <mergeCell ref="AJ3:AM3"/>
    <mergeCell ref="AN3:AQ3"/>
    <mergeCell ref="P1:S1"/>
    <mergeCell ref="T1:W1"/>
    <mergeCell ref="X1:AA1"/>
    <mergeCell ref="AB1:AE1"/>
    <mergeCell ref="AF1:AI1"/>
    <mergeCell ref="AJ1:AM1"/>
    <mergeCell ref="AN1:AQ1"/>
    <mergeCell ref="B10:C10"/>
    <mergeCell ref="B11:C11"/>
    <mergeCell ref="B12:C12"/>
    <mergeCell ref="B13:C13"/>
    <mergeCell ref="B14:C14"/>
    <mergeCell ref="B15:C15"/>
    <mergeCell ref="CV3:CY3"/>
    <mergeCell ref="CZ3:DC3"/>
    <mergeCell ref="A4:A18"/>
    <mergeCell ref="B4:C4"/>
    <mergeCell ref="B5:C5"/>
    <mergeCell ref="B6:C6"/>
    <mergeCell ref="B7:C7"/>
    <mergeCell ref="B8:C8"/>
    <mergeCell ref="B9:C9"/>
    <mergeCell ref="CN3:CQ3"/>
    <mergeCell ref="CR3:CU3"/>
    <mergeCell ref="BP3:BS3"/>
    <mergeCell ref="BT3:BW3"/>
    <mergeCell ref="BX3:CA3"/>
    <mergeCell ref="CB3:CE3"/>
    <mergeCell ref="CF3:CI3"/>
    <mergeCell ref="CJ3:CM3"/>
    <mergeCell ref="AR3:AU3"/>
    <mergeCell ref="H23:H26"/>
    <mergeCell ref="I23:I26"/>
    <mergeCell ref="J23:J26"/>
    <mergeCell ref="K23:K26"/>
    <mergeCell ref="L23:L26"/>
    <mergeCell ref="M23:M26"/>
    <mergeCell ref="B16:C16"/>
    <mergeCell ref="B18:C18"/>
    <mergeCell ref="B19:G19"/>
    <mergeCell ref="B20:G20"/>
    <mergeCell ref="B21:G21"/>
    <mergeCell ref="D23:D26"/>
    <mergeCell ref="E23:E26"/>
    <mergeCell ref="F23:F26"/>
    <mergeCell ref="G23:G26"/>
    <mergeCell ref="B17:C17"/>
    <mergeCell ref="T23:T26"/>
    <mergeCell ref="U23:U26"/>
    <mergeCell ref="V23:V26"/>
    <mergeCell ref="W23:W26"/>
    <mergeCell ref="X23:X26"/>
    <mergeCell ref="Y23:Y26"/>
    <mergeCell ref="N23:N26"/>
    <mergeCell ref="O23:O26"/>
    <mergeCell ref="P23:P26"/>
    <mergeCell ref="Q23:Q26"/>
    <mergeCell ref="R23:R26"/>
    <mergeCell ref="S23:S26"/>
    <mergeCell ref="AF23:AF26"/>
    <mergeCell ref="AG23:AG26"/>
    <mergeCell ref="AH23:AH26"/>
    <mergeCell ref="AI23:AI26"/>
    <mergeCell ref="AJ23:AJ26"/>
    <mergeCell ref="AK23:AK26"/>
    <mergeCell ref="Z23:Z26"/>
    <mergeCell ref="AA23:AA26"/>
    <mergeCell ref="AB23:AB26"/>
    <mergeCell ref="AC23:AC26"/>
    <mergeCell ref="AD23:AD26"/>
    <mergeCell ref="AE23:AE26"/>
    <mergeCell ref="AR23:AR26"/>
    <mergeCell ref="AS23:AS26"/>
    <mergeCell ref="AT23:AT26"/>
    <mergeCell ref="AU23:AU26"/>
    <mergeCell ref="AV23:AV26"/>
    <mergeCell ref="AW23:AW26"/>
    <mergeCell ref="AL23:AL26"/>
    <mergeCell ref="AM23:AM26"/>
    <mergeCell ref="AN23:AN26"/>
    <mergeCell ref="AO23:AO26"/>
    <mergeCell ref="AP23:AP26"/>
    <mergeCell ref="AQ23:AQ26"/>
    <mergeCell ref="BD23:BD26"/>
    <mergeCell ref="BE23:BE26"/>
    <mergeCell ref="BF23:BF26"/>
    <mergeCell ref="BG23:BG26"/>
    <mergeCell ref="BH23:BH26"/>
    <mergeCell ref="BI23:BI26"/>
    <mergeCell ref="AX23:AX26"/>
    <mergeCell ref="AY23:AY26"/>
    <mergeCell ref="AZ23:AZ26"/>
    <mergeCell ref="BA23:BA26"/>
    <mergeCell ref="BB23:BB26"/>
    <mergeCell ref="BC23:BC26"/>
    <mergeCell ref="BP23:BP26"/>
    <mergeCell ref="BQ23:BQ26"/>
    <mergeCell ref="BR23:BR26"/>
    <mergeCell ref="BS23:BS26"/>
    <mergeCell ref="BT23:BT26"/>
    <mergeCell ref="BU23:BU26"/>
    <mergeCell ref="BJ23:BJ26"/>
    <mergeCell ref="BK23:BK26"/>
    <mergeCell ref="BL23:BL26"/>
    <mergeCell ref="BM23:BM26"/>
    <mergeCell ref="BN23:BN26"/>
    <mergeCell ref="BO23:BO26"/>
    <mergeCell ref="CB23:CB26"/>
    <mergeCell ref="CC23:CC26"/>
    <mergeCell ref="CD23:CD26"/>
    <mergeCell ref="CE23:CE26"/>
    <mergeCell ref="CF23:CF26"/>
    <mergeCell ref="CG23:CG26"/>
    <mergeCell ref="BV23:BV26"/>
    <mergeCell ref="BW23:BW26"/>
    <mergeCell ref="BX23:BX26"/>
    <mergeCell ref="BY23:BY26"/>
    <mergeCell ref="BZ23:BZ26"/>
    <mergeCell ref="CA23:CA26"/>
    <mergeCell ref="CN23:CN26"/>
    <mergeCell ref="CO23:CO26"/>
    <mergeCell ref="CP23:CP26"/>
    <mergeCell ref="CQ23:CQ26"/>
    <mergeCell ref="CR23:CR26"/>
    <mergeCell ref="CS23:CS26"/>
    <mergeCell ref="CH23:CH26"/>
    <mergeCell ref="CI23:CI26"/>
    <mergeCell ref="CJ23:CJ26"/>
    <mergeCell ref="CK23:CK26"/>
    <mergeCell ref="CL23:CL26"/>
    <mergeCell ref="CM23:CM26"/>
    <mergeCell ref="CZ23:CZ26"/>
    <mergeCell ref="DA23:DA26"/>
    <mergeCell ref="DB23:DB26"/>
    <mergeCell ref="DC23:DC26"/>
    <mergeCell ref="CT23:CT26"/>
    <mergeCell ref="CU23:CU26"/>
    <mergeCell ref="CV23:CV26"/>
    <mergeCell ref="CW23:CW26"/>
    <mergeCell ref="CX23:CX26"/>
    <mergeCell ref="CY23:CY26"/>
    <mergeCell ref="CN2:CQ2"/>
    <mergeCell ref="CR2:CU2"/>
    <mergeCell ref="CV2:CY2"/>
    <mergeCell ref="D2:G2"/>
    <mergeCell ref="BH2:BK2"/>
    <mergeCell ref="BL2:BO2"/>
    <mergeCell ref="BP2:BS2"/>
    <mergeCell ref="BT2:BW2"/>
    <mergeCell ref="BX2:CA2"/>
    <mergeCell ref="CB2:CE2"/>
    <mergeCell ref="CF2:CI2"/>
    <mergeCell ref="CJ2:CM2"/>
  </mergeCells>
  <hyperlinks>
    <hyperlink ref="A1:C3" location="Equipos!A1" display="Equipos!A1" xr:uid="{00000000-0004-0000-0B00-000000000000}"/>
    <hyperlink ref="A4:A18" location="Jugadores!A1" display="Jugador" xr:uid="{83CD2886-A146-4ED9-BA5C-B879C7449CD1}"/>
  </hyperlinks>
  <pageMargins left="0.7" right="0.7" top="0.75" bottom="0.75" header="0.3" footer="0.3"/>
  <pageSetup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C28"/>
  <sheetViews>
    <sheetView zoomScale="90" zoomScaleNormal="90" zoomScaleSheetLayoutView="90" workbookViewId="0">
      <pane xSplit="7" ySplit="3" topLeftCell="BO4" activePane="bottomRight" state="frozen"/>
      <selection pane="topRight" activeCell="H1" sqref="H1"/>
      <selection pane="bottomLeft" activeCell="A3" sqref="A3"/>
      <selection pane="bottomRight" sqref="A1:C3"/>
    </sheetView>
  </sheetViews>
  <sheetFormatPr baseColWidth="10" defaultColWidth="11.42578125" defaultRowHeight="15" x14ac:dyDescent="0.25"/>
  <cols>
    <col min="1" max="1" width="4.85546875" customWidth="1"/>
    <col min="2" max="2" width="9.42578125" customWidth="1"/>
    <col min="3" max="3" width="11.5703125" style="3" customWidth="1"/>
    <col min="4" max="7" width="4.28515625" style="3" customWidth="1"/>
    <col min="8" max="11" width="2.7109375" style="3" customWidth="1"/>
    <col min="12" max="12" width="3" style="3" customWidth="1"/>
    <col min="13" max="107" width="2.7109375" style="3" customWidth="1"/>
    <col min="108" max="16384" width="11.42578125" style="3"/>
  </cols>
  <sheetData>
    <row r="1" spans="1:107" ht="13.9" customHeight="1" x14ac:dyDescent="0.25">
      <c r="A1" s="180" t="str">
        <f>Equipos!B10</f>
        <v>Hojas Anchas</v>
      </c>
      <c r="B1" s="180"/>
      <c r="C1" s="180"/>
      <c r="H1" s="172" t="s">
        <v>5</v>
      </c>
      <c r="I1" s="173"/>
      <c r="J1" s="173"/>
      <c r="K1" s="174"/>
      <c r="L1" s="172" t="s">
        <v>6</v>
      </c>
      <c r="M1" s="173"/>
      <c r="N1" s="173"/>
      <c r="O1" s="174"/>
      <c r="P1" s="172" t="s">
        <v>7</v>
      </c>
      <c r="Q1" s="173"/>
      <c r="R1" s="173"/>
      <c r="S1" s="174"/>
      <c r="T1" s="172" t="s">
        <v>8</v>
      </c>
      <c r="U1" s="173"/>
      <c r="V1" s="173"/>
      <c r="W1" s="174"/>
      <c r="X1" s="172" t="s">
        <v>9</v>
      </c>
      <c r="Y1" s="173"/>
      <c r="Z1" s="173"/>
      <c r="AA1" s="174"/>
      <c r="AB1" s="172" t="s">
        <v>10</v>
      </c>
      <c r="AC1" s="173"/>
      <c r="AD1" s="173"/>
      <c r="AE1" s="174"/>
      <c r="AF1" s="172" t="s">
        <v>11</v>
      </c>
      <c r="AG1" s="173"/>
      <c r="AH1" s="173"/>
      <c r="AI1" s="174"/>
      <c r="AJ1" s="172" t="s">
        <v>12</v>
      </c>
      <c r="AK1" s="173"/>
      <c r="AL1" s="173"/>
      <c r="AM1" s="174"/>
      <c r="AN1" s="172" t="s">
        <v>13</v>
      </c>
      <c r="AO1" s="173"/>
      <c r="AP1" s="173"/>
      <c r="AQ1" s="174"/>
      <c r="AR1" s="172" t="s">
        <v>14</v>
      </c>
      <c r="AS1" s="173"/>
      <c r="AT1" s="173"/>
      <c r="AU1" s="174"/>
      <c r="AV1" s="172" t="s">
        <v>15</v>
      </c>
      <c r="AW1" s="173"/>
      <c r="AX1" s="173"/>
      <c r="AY1" s="174"/>
      <c r="AZ1" s="172" t="s">
        <v>16</v>
      </c>
      <c r="BA1" s="173"/>
      <c r="BB1" s="173"/>
      <c r="BC1" s="174"/>
      <c r="BD1" s="172" t="s">
        <v>17</v>
      </c>
      <c r="BE1" s="173"/>
      <c r="BF1" s="173"/>
      <c r="BG1" s="174"/>
      <c r="BH1" s="172" t="s">
        <v>18</v>
      </c>
      <c r="BI1" s="173"/>
      <c r="BJ1" s="173"/>
      <c r="BK1" s="174"/>
      <c r="BL1" s="172" t="s">
        <v>19</v>
      </c>
      <c r="BM1" s="173"/>
      <c r="BN1" s="173"/>
      <c r="BO1" s="174"/>
      <c r="BP1" s="172" t="s">
        <v>20</v>
      </c>
      <c r="BQ1" s="173"/>
      <c r="BR1" s="173"/>
      <c r="BS1" s="174"/>
      <c r="BT1" s="172" t="s">
        <v>51</v>
      </c>
      <c r="BU1" s="173"/>
      <c r="BV1" s="173"/>
      <c r="BW1" s="174"/>
      <c r="BX1" s="172" t="s">
        <v>81</v>
      </c>
      <c r="BY1" s="173"/>
      <c r="BZ1" s="173"/>
      <c r="CA1" s="174"/>
      <c r="CB1" s="172" t="s">
        <v>83</v>
      </c>
      <c r="CC1" s="173"/>
      <c r="CD1" s="173"/>
      <c r="CE1" s="174"/>
      <c r="CF1" s="172" t="s">
        <v>84</v>
      </c>
      <c r="CG1" s="173"/>
      <c r="CH1" s="173"/>
      <c r="CI1" s="174"/>
      <c r="CJ1" s="172" t="s">
        <v>85</v>
      </c>
      <c r="CK1" s="173"/>
      <c r="CL1" s="173"/>
      <c r="CM1" s="174"/>
      <c r="CN1" s="172" t="s">
        <v>93</v>
      </c>
      <c r="CO1" s="173"/>
      <c r="CP1" s="173"/>
      <c r="CQ1" s="174"/>
      <c r="CR1" s="172" t="s">
        <v>94</v>
      </c>
      <c r="CS1" s="173"/>
      <c r="CT1" s="173"/>
      <c r="CU1" s="174"/>
      <c r="CV1" s="172" t="s">
        <v>95</v>
      </c>
      <c r="CW1" s="173"/>
      <c r="CX1" s="173"/>
      <c r="CY1" s="174"/>
      <c r="CZ1" s="172" t="s">
        <v>96</v>
      </c>
      <c r="DA1" s="173"/>
      <c r="DB1" s="173"/>
      <c r="DC1" s="174"/>
    </row>
    <row r="2" spans="1:107" ht="13.9" customHeight="1" x14ac:dyDescent="0.25">
      <c r="A2" s="180"/>
      <c r="B2" s="180"/>
      <c r="C2" s="180"/>
      <c r="D2" s="143" t="s">
        <v>272</v>
      </c>
      <c r="E2" s="143"/>
      <c r="F2" s="143"/>
      <c r="G2" s="144"/>
      <c r="H2" s="140" t="str">
        <f>+_xlfn.XLOOKUP($A$1,Fixture!$D$2:$D$9,Fixture!$F$2:$F$9,_xlfn.XLOOKUP($A$1,Fixture!$F$2:$F$9,Fixture!$D$2:$D$9,"Descansa",FALSE))</f>
        <v>Boca Juniors</v>
      </c>
      <c r="I2" s="141"/>
      <c r="J2" s="141"/>
      <c r="K2" s="142"/>
      <c r="L2" s="140" t="str">
        <f>+_xlfn.XLOOKUP($A$1,Fixture!$D$10:$D$17,Fixture!$F$10:$F$17,_xlfn.XLOOKUP($A$1,Fixture!$F$10:$F$17,Fixture!$D$10:$D$17,"Descansa",FALSE))</f>
        <v>Deportivo Fénix</v>
      </c>
      <c r="M2" s="141"/>
      <c r="N2" s="141"/>
      <c r="O2" s="142"/>
      <c r="P2" s="175" t="str">
        <f>+_xlfn.XLOOKUP($A$1,Fixture!$D$18:$D$25,Fixture!$F$18:$F$25,_xlfn.XLOOKUP($A$1,Fixture!$F$18:$F$25,Fixture!$D$18:$D$25,"Descansa",FALSE))</f>
        <v>Valentín FC</v>
      </c>
      <c r="Q2" s="176"/>
      <c r="R2" s="176"/>
      <c r="S2" s="177"/>
      <c r="T2" s="140" t="str">
        <f>+_xlfn.XLOOKUP($A$1,Fixture!$D$26:$D$33,Fixture!$F$26:$F$33,_xlfn.XLOOKUP($A$1,Fixture!$F$26:$F$33,Fixture!$D$26:$D$33,"Descansa",FALSE))</f>
        <v>La Unión FC</v>
      </c>
      <c r="U2" s="141"/>
      <c r="V2" s="141"/>
      <c r="W2" s="142"/>
      <c r="X2" s="140" t="str">
        <f>+_xlfn.XLOOKUP($A$1,Fixture!$D$34:$D$41,Fixture!$F$34:$F$41,_xlfn.XLOOKUP($A$1,Fixture!$F$34:$F$41,Fixture!$D$34:$D$41,"Descansa",FALSE))</f>
        <v>CD El Corozo</v>
      </c>
      <c r="Y2" s="141"/>
      <c r="Z2" s="141"/>
      <c r="AA2" s="142"/>
      <c r="AB2" s="140" t="str">
        <f>+_xlfn.XLOOKUP($A$1,Fixture!$D$42:$D$49,Fixture!$F$42:$F$49,_xlfn.XLOOKUP($A$1,Fixture!$F$42:$F$49,Fixture!$D$42:$D$49,"Descansa",FALSE))</f>
        <v>Atalanta</v>
      </c>
      <c r="AC2" s="141"/>
      <c r="AD2" s="141"/>
      <c r="AE2" s="142"/>
      <c r="AF2" s="140" t="str">
        <f>+_xlfn.XLOOKUP($A$1,Fixture!$D$50:$D$57,Fixture!$F$50:$F$57,_xlfn.XLOOKUP($A$1,Fixture!$F$50:$F$57,Fixture!$D$50:$D$57,"Descansa",FALSE))</f>
        <v>Los Amigos</v>
      </c>
      <c r="AG2" s="141"/>
      <c r="AH2" s="141"/>
      <c r="AI2" s="142"/>
      <c r="AJ2" s="140" t="str">
        <f>+_xlfn.XLOOKUP($A$1,Fixture!$D$58:$D$65,Fixture!$F$58:$F$65,_xlfn.XLOOKUP($A$1,Fixture!$F$58:$F$65,Fixture!$D$58:$D$65,"Descansa",FALSE))</f>
        <v>La Nueva Era</v>
      </c>
      <c r="AK2" s="141"/>
      <c r="AL2" s="141"/>
      <c r="AM2" s="142"/>
      <c r="AN2" s="140" t="str">
        <f>+_xlfn.XLOOKUP($A$1,Fixture!$D$66:$D$73,Fixture!$F$66:$F$73,_xlfn.XLOOKUP($A$1,Fixture!$F$66:$F$73,Fixture!$D$66:$D$73,"Descansa",FALSE))</f>
        <v>La Amistad</v>
      </c>
      <c r="AO2" s="141"/>
      <c r="AP2" s="141"/>
      <c r="AQ2" s="142"/>
      <c r="AR2" s="140" t="str">
        <f>+_xlfn.XLOOKUP($A$1,Fixture!$D$74:$D$81,Fixture!$F$74:$F$81,_xlfn.XLOOKUP($A$1,Fixture!$F$74:$F$81,Fixture!$D$74:$D$81,"Descansa",FALSE))</f>
        <v>Konami</v>
      </c>
      <c r="AS2" s="141"/>
      <c r="AT2" s="141"/>
      <c r="AU2" s="142"/>
      <c r="AV2" s="140" t="str">
        <f>+_xlfn.XLOOKUP($A$1,Fixture!$D$82:$D$89,Fixture!$F$82:$F$89,_xlfn.XLOOKUP($A$1,Fixture!$F$82:$F$89,Fixture!$D$82:$D$89,"Descansa",FALSE))</f>
        <v>Villanueva</v>
      </c>
      <c r="AW2" s="141"/>
      <c r="AX2" s="141"/>
      <c r="AY2" s="142"/>
      <c r="AZ2" s="140" t="str">
        <f>+_xlfn.XLOOKUP($A$1,Fixture!$D$90:$D$97,Fixture!$F$90:$F$97,_xlfn.XLOOKUP($A$1,Fixture!$F$90:$F$97,Fixture!$D$90:$D$97,"Descansa",FALSE))</f>
        <v>Ron Star</v>
      </c>
      <c r="BA2" s="141"/>
      <c r="BB2" s="141"/>
      <c r="BC2" s="142"/>
      <c r="BD2" s="140" t="str">
        <f>+_xlfn.XLOOKUP($A$1,Fixture!$D$98:$D$105,Fixture!$F$98:$F$105,_xlfn.XLOOKUP($A$1,Fixture!$F$98:$F$105,Fixture!$D$98:$D$105,"Descansa",FALSE))</f>
        <v>Amenadim</v>
      </c>
      <c r="BE2" s="141"/>
      <c r="BF2" s="141"/>
      <c r="BG2" s="142"/>
      <c r="BH2" s="140" t="str">
        <f>+_xlfn.XLOOKUP($A$1,Fixture!$D$106:$D$113,Fixture!$F$106:$F$113,_xlfn.XLOOKUP($A$1,Fixture!$F$106:$F$113,Fixture!$D$106:$D$113,"Descansa",FALSE))</f>
        <v>Rayos FC</v>
      </c>
      <c r="BI2" s="141"/>
      <c r="BJ2" s="141"/>
      <c r="BK2" s="142"/>
      <c r="BL2" s="140" t="str">
        <f>+_xlfn.XLOOKUP($A$1,Fixture!$D$114:$D$121,Fixture!$F$114:$F$121,_xlfn.XLOOKUP($A$1,Fixture!$F$114:$F$121,Fixture!$D$114:$D$121,"Descansa",FALSE))</f>
        <v>Los Aliados</v>
      </c>
      <c r="BM2" s="141"/>
      <c r="BN2" s="141"/>
      <c r="BO2" s="142"/>
      <c r="BP2" s="140" t="str">
        <f>+_xlfn.XLOOKUP($A$1,Fixture!$D$122:$D$128,Fixture!$F$122:$F$128,_xlfn.XLOOKUP($A$1,Fixture!$F$122:$F$128,Fixture!$D$122:$D$128,"Descansa",FALSE))</f>
        <v>Los Aliados</v>
      </c>
      <c r="BQ2" s="141"/>
      <c r="BR2" s="141"/>
      <c r="BS2" s="142"/>
      <c r="BT2" s="140" t="str">
        <f>+_xlfn.XLOOKUP($A$1,Fixture!$D$129:$D$135,Fixture!$F$129:$F$135,_xlfn.XLOOKUP($A$1,Fixture!$F$129:$F$135,Fixture!$D$129:$D$135,"Descansa",FALSE))</f>
        <v>Boca Juniors</v>
      </c>
      <c r="BU2" s="141"/>
      <c r="BV2" s="141"/>
      <c r="BW2" s="142"/>
      <c r="BX2" s="140" t="str">
        <f>+_xlfn.XLOOKUP($A$1,Fixture!$D$136:$D$141,Fixture!$F$136:$F$141,_xlfn.XLOOKUP($A$1,Fixture!$F$136:$F$141,Fixture!$D$136:$D$141,"Descansa",FALSE))</f>
        <v>Valentín FC</v>
      </c>
      <c r="BY2" s="141"/>
      <c r="BZ2" s="141"/>
      <c r="CA2" s="142"/>
      <c r="CB2" s="140" t="str">
        <f>+_xlfn.XLOOKUP($A$1,Fixture!$D$142:$D$149,Fixture!$F$142:$F$149,_xlfn.XLOOKUP($A$1,Fixture!$F$142:$F$149,Fixture!$D$142:$D$149,"Descansa",FALSE))</f>
        <v>Ron Star</v>
      </c>
      <c r="CC2" s="141"/>
      <c r="CD2" s="141"/>
      <c r="CE2" s="142"/>
      <c r="CF2" s="140" t="str">
        <f>+_xlfn.XLOOKUP($A$1,Fixture!$D$150:$D$155,Fixture!$F$150:$F$155,_xlfn.XLOOKUP($A$1,Fixture!$F$150:$F$155,Fixture!$D$150:$D$155,"Descansa",FALSE))</f>
        <v>La Unión FC</v>
      </c>
      <c r="CG2" s="141"/>
      <c r="CH2" s="141"/>
      <c r="CI2" s="142"/>
      <c r="CJ2" s="140" t="str">
        <f>+_xlfn.XLOOKUP($A$1,Fixture!$D$156:$D$161,Fixture!$F$156:$F$161,_xlfn.XLOOKUP($A$1,Fixture!$F$156:$F$161,Fixture!$D$156:$D$161,"Descansa",FALSE))</f>
        <v>Atalanta</v>
      </c>
      <c r="CK2" s="141"/>
      <c r="CL2" s="141"/>
      <c r="CM2" s="142"/>
      <c r="CN2" s="140" t="str">
        <f>+_xlfn.XLOOKUP($A$1,Fixture!$D$162:$D$167,Fixture!$F$162:$F$167,_xlfn.XLOOKUP($A$1,Fixture!$F$162:$F$167,Fixture!$D$162:$D$167,"Descansa",FALSE))</f>
        <v>Los Amigos</v>
      </c>
      <c r="CO2" s="141"/>
      <c r="CP2" s="141"/>
      <c r="CQ2" s="142"/>
      <c r="CR2" s="140" t="str">
        <f>+_xlfn.XLOOKUP($A$1,Fixture!$D$168:$D$169,Fixture!$F$168:$F$169,_xlfn.XLOOKUP($A$1,Fixture!$F$168:$F$169,Fixture!$D$168:$D$169,"Descanssa",FALSE))</f>
        <v>Descanssa</v>
      </c>
      <c r="CS2" s="141"/>
      <c r="CT2" s="141"/>
      <c r="CU2" s="142"/>
      <c r="CV2" s="140" t="str">
        <f>+_xlfn.XLOOKUP($A$1,Fixture!$D$170:$D$171,Fixture!$F$170:$F$171,_xlfn.XLOOKUP($A$1,Fixture!$F$170:$F$171,Fixture!$D$170:$D$171,"Descansa",FALSE))</f>
        <v>Descansa</v>
      </c>
      <c r="CW2" s="141"/>
      <c r="CX2" s="141"/>
      <c r="CY2" s="142"/>
      <c r="CZ2" s="184"/>
      <c r="DA2" s="185"/>
      <c r="DB2" s="185"/>
      <c r="DC2" s="186"/>
    </row>
    <row r="3" spans="1:107" ht="14.45" customHeight="1" x14ac:dyDescent="0.25">
      <c r="A3" s="180"/>
      <c r="B3" s="180"/>
      <c r="C3" s="180"/>
      <c r="D3" s="22" t="s">
        <v>89</v>
      </c>
      <c r="E3" s="22" t="s">
        <v>90</v>
      </c>
      <c r="F3" s="22" t="s">
        <v>91</v>
      </c>
      <c r="G3" s="24" t="s">
        <v>92</v>
      </c>
      <c r="H3" s="166">
        <f>IF(Fixture!$C2=0,"",Fixture!$C2)</f>
        <v>45676</v>
      </c>
      <c r="I3" s="167"/>
      <c r="J3" s="167"/>
      <c r="K3" s="168"/>
      <c r="L3" s="166">
        <f>IF(Fixture!$C10=0,"",Fixture!$C10)</f>
        <v>45683</v>
      </c>
      <c r="M3" s="167"/>
      <c r="N3" s="167"/>
      <c r="O3" s="168"/>
      <c r="P3" s="166">
        <f>IF(Fixture!$C19=0,"",Fixture!$C19)</f>
        <v>45690</v>
      </c>
      <c r="Q3" s="167"/>
      <c r="R3" s="167"/>
      <c r="S3" s="168"/>
      <c r="T3" s="166">
        <f>IF(Fixture!$C27=0,"",Fixture!$C27)</f>
        <v>45697</v>
      </c>
      <c r="U3" s="167"/>
      <c r="V3" s="167"/>
      <c r="W3" s="168"/>
      <c r="X3" s="166">
        <f>IF(Fixture!$C36=0,"",Fixture!$C36)</f>
        <v>45704</v>
      </c>
      <c r="Y3" s="167"/>
      <c r="Z3" s="167"/>
      <c r="AA3" s="168"/>
      <c r="AB3" s="166">
        <f>IF(Fixture!$C44=0,"",Fixture!$C44)</f>
        <v>45711</v>
      </c>
      <c r="AC3" s="167"/>
      <c r="AD3" s="167"/>
      <c r="AE3" s="168"/>
      <c r="AF3" s="166">
        <f>IF(Fixture!$C54=0,"",Fixture!$C54)</f>
        <v>45718</v>
      </c>
      <c r="AG3" s="167"/>
      <c r="AH3" s="167"/>
      <c r="AI3" s="168"/>
      <c r="AJ3" s="166">
        <f>IF(Fixture!$C61=0,"",Fixture!$C61)</f>
        <v>45725</v>
      </c>
      <c r="AK3" s="167"/>
      <c r="AL3" s="167"/>
      <c r="AM3" s="168"/>
      <c r="AN3" s="166">
        <f>IF(Fixture!$C70=0,"",Fixture!$C70)</f>
        <v>45809</v>
      </c>
      <c r="AO3" s="167"/>
      <c r="AP3" s="167"/>
      <c r="AQ3" s="168"/>
      <c r="AR3" s="166">
        <f>IF(Fixture!$C78=0,"",Fixture!$C78)</f>
        <v>45746</v>
      </c>
      <c r="AS3" s="167"/>
      <c r="AT3" s="167"/>
      <c r="AU3" s="168"/>
      <c r="AV3" s="166">
        <f>IF(Fixture!$C87=0,"",Fixture!$C87)</f>
        <v>45753</v>
      </c>
      <c r="AW3" s="167"/>
      <c r="AX3" s="167"/>
      <c r="AY3" s="168"/>
      <c r="AZ3" s="166">
        <f>IF(Fixture!$C95=0,"",Fixture!$C95)</f>
        <v>45774</v>
      </c>
      <c r="BA3" s="167"/>
      <c r="BB3" s="167"/>
      <c r="BC3" s="168"/>
      <c r="BD3" s="166">
        <f>IF(Fixture!$C105=0,"",Fixture!$C105)</f>
        <v>45781</v>
      </c>
      <c r="BE3" s="167"/>
      <c r="BF3" s="167"/>
      <c r="BG3" s="168"/>
      <c r="BH3" s="166" t="e">
        <f>+VLOOKUP(BH1,Resultados!$A$3:$B$71,2,FALSE)</f>
        <v>#N/A</v>
      </c>
      <c r="BI3" s="167"/>
      <c r="BJ3" s="167"/>
      <c r="BK3" s="168"/>
      <c r="BL3" s="166" t="e">
        <f>+VLOOKUP(BL1,Resultados!$A$3:$B$71,2,FALSE)</f>
        <v>#N/A</v>
      </c>
      <c r="BM3" s="167"/>
      <c r="BN3" s="167"/>
      <c r="BO3" s="168"/>
      <c r="BP3" s="163" t="e">
        <f>+VLOOKUP(BP1,Resultados!$A$3:$B$71,2,FALSE)</f>
        <v>#N/A</v>
      </c>
      <c r="BQ3" s="164"/>
      <c r="BR3" s="164"/>
      <c r="BS3" s="165"/>
      <c r="BT3" s="163" t="e">
        <f>+VLOOKUP(BT1,Resultados!$A$3:$B$71,2,FALSE)</f>
        <v>#N/A</v>
      </c>
      <c r="BU3" s="164"/>
      <c r="BV3" s="164"/>
      <c r="BW3" s="165"/>
      <c r="BX3" s="163" t="e">
        <f>+VLOOKUP(BX1,Resultados!$A$3:$B$71,2,FALSE)</f>
        <v>#N/A</v>
      </c>
      <c r="BY3" s="164"/>
      <c r="BZ3" s="164"/>
      <c r="CA3" s="165"/>
      <c r="CB3" s="163" t="e">
        <f>+VLOOKUP(CB1,Resultados!$A$3:$B$71,2,FALSE)</f>
        <v>#N/A</v>
      </c>
      <c r="CC3" s="164"/>
      <c r="CD3" s="164"/>
      <c r="CE3" s="165"/>
      <c r="CF3" s="163" t="e">
        <f>+VLOOKUP(CF1,Resultados!$A$3:$B$71,2,FALSE)</f>
        <v>#N/A</v>
      </c>
      <c r="CG3" s="164"/>
      <c r="CH3" s="164"/>
      <c r="CI3" s="165"/>
      <c r="CJ3" s="163" t="e">
        <f>+VLOOKUP(CJ1,Resultados!$A$3:$B$71,2,FALSE)</f>
        <v>#N/A</v>
      </c>
      <c r="CK3" s="164"/>
      <c r="CL3" s="164"/>
      <c r="CM3" s="165"/>
      <c r="CN3" s="163" t="e">
        <f>+VLOOKUP(CN1,Resultados!$A$3:$B$71,2,FALSE)</f>
        <v>#N/A</v>
      </c>
      <c r="CO3" s="164"/>
      <c r="CP3" s="164"/>
      <c r="CQ3" s="165"/>
      <c r="CR3" s="163" t="e">
        <f>+VLOOKUP(CR1,Resultados!$A$3:$B$71,2,FALSE)</f>
        <v>#N/A</v>
      </c>
      <c r="CS3" s="164"/>
      <c r="CT3" s="164"/>
      <c r="CU3" s="165"/>
      <c r="CV3" s="163" t="e">
        <f>+VLOOKUP(CV1,Resultados!$A$3:$B$71,2,FALSE)</f>
        <v>#N/A</v>
      </c>
      <c r="CW3" s="164"/>
      <c r="CX3" s="164"/>
      <c r="CY3" s="165"/>
      <c r="CZ3" s="163" t="e">
        <f>+VLOOKUP(CZ1,Resultados!$A$3:$B$71,2,FALSE)</f>
        <v>#N/A</v>
      </c>
      <c r="DA3" s="164"/>
      <c r="DB3" s="164"/>
      <c r="DC3" s="165"/>
    </row>
    <row r="4" spans="1:107" ht="19.899999999999999" customHeight="1" x14ac:dyDescent="0.25">
      <c r="A4" s="178" t="s">
        <v>3</v>
      </c>
      <c r="B4" s="154" t="str">
        <f>Jugadores!H3</f>
        <v>Edwar Jaramillo</v>
      </c>
      <c r="C4" s="155"/>
      <c r="D4" s="24">
        <f>H4+L4+P4+T4+X4+AB4+AF4+AJ4+AN4+AR4+AV4+AZ4+BD4+BH4+BL4+BP4+BT4+BX4+CB4+CF4+CJ4+CN4+CR4+CV4+CZ4</f>
        <v>0</v>
      </c>
      <c r="E4" s="24">
        <f>I4+M4+Q4+U4+Y4+AC4+AG4+AK4+AO4+AS4+AW4+BA4+BE4+BI4+BM4+BQ4+BV4+BY4+CD4+CG4+CL4+CO4+CT4+CW4+DB4</f>
        <v>3</v>
      </c>
      <c r="F4" s="115">
        <f>J4+N4+R4+V4+Z4+AD4+AH4+AL4+AP4+AT4+AX4+BB4+BF4+BJ4+BN4+BT4+BX4+CB4+CF4+CJ4+CN4+CR4+CV4+CZ4</f>
        <v>0</v>
      </c>
      <c r="G4" s="115">
        <f>K4+O4+S4+W4+AA4+AE4+AI4+AM4+AQ4+AU4+AY4+BC4+BG4+BK4+BO4+BV4+BY4+CD4+CG4+CL4+CO4+CT4+CW4+DB4</f>
        <v>1</v>
      </c>
      <c r="H4" s="28"/>
      <c r="I4" s="26">
        <v>1</v>
      </c>
      <c r="J4" s="26"/>
      <c r="K4" s="29"/>
      <c r="L4" s="28"/>
      <c r="M4" s="26"/>
      <c r="N4" s="26"/>
      <c r="O4" s="29"/>
      <c r="P4" s="28"/>
      <c r="Q4" s="26">
        <v>1</v>
      </c>
      <c r="R4" s="26"/>
      <c r="S4" s="29"/>
      <c r="T4" s="28"/>
      <c r="U4" s="26"/>
      <c r="V4" s="26"/>
      <c r="W4" s="29"/>
      <c r="X4" s="28"/>
      <c r="Y4" s="26">
        <v>1</v>
      </c>
      <c r="Z4" s="26"/>
      <c r="AA4" s="29"/>
      <c r="AB4" s="28"/>
      <c r="AC4" s="26"/>
      <c r="AD4" s="26"/>
      <c r="AE4" s="29"/>
      <c r="AF4" s="28"/>
      <c r="AG4" s="26"/>
      <c r="AH4" s="26"/>
      <c r="AI4" s="29"/>
      <c r="AJ4" s="28"/>
      <c r="AK4" s="26"/>
      <c r="AL4" s="26"/>
      <c r="AM4" s="29"/>
      <c r="AN4" s="28"/>
      <c r="AO4" s="26"/>
      <c r="AP4" s="26"/>
      <c r="AQ4" s="29">
        <v>1</v>
      </c>
      <c r="AR4" s="28"/>
      <c r="AS4" s="26"/>
      <c r="AT4" s="26"/>
      <c r="AU4" s="29"/>
      <c r="AV4" s="28"/>
      <c r="AW4" s="26"/>
      <c r="AX4" s="26"/>
      <c r="AY4" s="29"/>
      <c r="AZ4" s="28"/>
      <c r="BA4" s="26"/>
      <c r="BB4" s="26"/>
      <c r="BC4" s="29"/>
      <c r="BD4" s="28"/>
      <c r="BE4" s="26"/>
      <c r="BF4" s="26"/>
      <c r="BG4" s="29"/>
      <c r="BH4" s="28"/>
      <c r="BI4" s="26"/>
      <c r="BJ4" s="26"/>
      <c r="BK4" s="29"/>
      <c r="BL4" s="28"/>
      <c r="BM4" s="26"/>
      <c r="BN4" s="26"/>
      <c r="BO4" s="29"/>
      <c r="BP4" s="28"/>
      <c r="BQ4" s="26"/>
      <c r="BR4" s="26"/>
      <c r="BS4" s="29"/>
      <c r="BT4" s="28"/>
      <c r="BU4" s="26">
        <v>1</v>
      </c>
      <c r="BV4" s="26"/>
      <c r="BW4" s="29"/>
      <c r="BX4" s="28"/>
      <c r="BY4" s="26"/>
      <c r="BZ4" s="26"/>
      <c r="CA4" s="29"/>
      <c r="CB4" s="28"/>
      <c r="CC4" s="26"/>
      <c r="CD4" s="26"/>
      <c r="CE4" s="29"/>
      <c r="CF4" s="28"/>
      <c r="CG4" s="26"/>
      <c r="CH4" s="26"/>
      <c r="CI4" s="29"/>
      <c r="CJ4" s="28"/>
      <c r="CK4" s="26"/>
      <c r="CL4" s="26"/>
      <c r="CM4" s="29"/>
      <c r="CN4" s="28"/>
      <c r="CO4" s="26"/>
      <c r="CP4" s="26"/>
      <c r="CQ4" s="29"/>
      <c r="CR4" s="28"/>
      <c r="CS4" s="26"/>
      <c r="CT4" s="26"/>
      <c r="CU4" s="29"/>
      <c r="CV4" s="28"/>
      <c r="CW4" s="26"/>
      <c r="CX4" s="26"/>
      <c r="CY4" s="29"/>
      <c r="CZ4" s="28"/>
      <c r="DA4" s="26"/>
      <c r="DB4" s="26"/>
      <c r="DC4" s="29"/>
    </row>
    <row r="5" spans="1:107" ht="19.899999999999999" customHeight="1" x14ac:dyDescent="0.25">
      <c r="A5" s="178"/>
      <c r="B5" s="154" t="str">
        <f>Jugadores!H4</f>
        <v>Julián Esteban Gil</v>
      </c>
      <c r="C5" s="155"/>
      <c r="D5" s="24">
        <f t="shared" ref="D5:D18" si="0">H5+L5+P5+T5+X5+AB5+AF5+AJ5+AN5+AR5+AV5+AZ5+BD5+BH5+BL5+BP5+BT5+BX5+CB5+CF5+CJ5+CN5+CR5+CV5+CZ5</f>
        <v>4</v>
      </c>
      <c r="E5" s="24">
        <f t="shared" ref="E5:E18" si="1">I5+M5+Q5+U5+Y5+AC5+AG5+AK5+AO5+AS5+AW5+BA5+BE5+BI5+BM5+BQ5+BV5+BY5+CD5+CG5+CL5+CO5+CT5+CW5+DB5</f>
        <v>7</v>
      </c>
      <c r="F5" s="115">
        <f t="shared" ref="F5:F18" si="2">J5+N5+R5+V5+Z5+AD5+AH5+AL5+AP5+AT5+AX5+BB5+BF5+BJ5+BN5+BT5+BX5+CB5+CF5+CJ5+CN5+CR5+CV5+CZ5</f>
        <v>1</v>
      </c>
      <c r="G5" s="115">
        <f t="shared" ref="G5:G18" si="3">K5+O5+S5+W5+AA5+AE5+AI5+AM5+AQ5+AU5+AY5+BC5+BG5+BK5+BO5+BV5+BY5+CD5+CG5+CL5+CO5+CT5+CW5+DB5</f>
        <v>1</v>
      </c>
      <c r="H5" s="28"/>
      <c r="I5" s="26">
        <v>1</v>
      </c>
      <c r="J5" s="26"/>
      <c r="K5" s="29"/>
      <c r="L5" s="28"/>
      <c r="M5" s="26"/>
      <c r="N5" s="26"/>
      <c r="O5" s="29"/>
      <c r="P5" s="28"/>
      <c r="Q5" s="26"/>
      <c r="R5" s="26"/>
      <c r="S5" s="29"/>
      <c r="T5" s="28"/>
      <c r="U5" s="26">
        <v>1</v>
      </c>
      <c r="V5" s="26"/>
      <c r="W5" s="29"/>
      <c r="X5" s="28"/>
      <c r="Y5" s="26">
        <v>1</v>
      </c>
      <c r="Z5" s="26"/>
      <c r="AA5" s="29"/>
      <c r="AB5" s="28">
        <v>1</v>
      </c>
      <c r="AC5" s="26"/>
      <c r="AD5" s="26"/>
      <c r="AE5" s="29"/>
      <c r="AF5" s="28"/>
      <c r="AG5" s="26"/>
      <c r="AH5" s="26">
        <v>1</v>
      </c>
      <c r="AI5" s="29"/>
      <c r="AJ5" s="28"/>
      <c r="AK5" s="26"/>
      <c r="AL5" s="26"/>
      <c r="AM5" s="29"/>
      <c r="AN5" s="28"/>
      <c r="AO5" s="26"/>
      <c r="AP5" s="26"/>
      <c r="AQ5" s="29"/>
      <c r="AR5" s="28"/>
      <c r="AS5" s="26">
        <v>1</v>
      </c>
      <c r="AT5" s="26"/>
      <c r="AU5" s="29"/>
      <c r="AV5" s="28"/>
      <c r="AW5" s="26">
        <v>1</v>
      </c>
      <c r="AX5" s="26"/>
      <c r="AY5" s="29"/>
      <c r="AZ5" s="28"/>
      <c r="BA5" s="26"/>
      <c r="BB5" s="26"/>
      <c r="BC5" s="29"/>
      <c r="BD5" s="28"/>
      <c r="BE5" s="26"/>
      <c r="BF5" s="26"/>
      <c r="BG5" s="29"/>
      <c r="BH5" s="28"/>
      <c r="BI5" s="26"/>
      <c r="BJ5" s="26"/>
      <c r="BK5" s="29"/>
      <c r="BL5" s="28">
        <v>1</v>
      </c>
      <c r="BM5" s="26"/>
      <c r="BN5" s="26"/>
      <c r="BO5" s="29"/>
      <c r="BP5" s="28">
        <v>2</v>
      </c>
      <c r="BQ5" s="26">
        <v>1</v>
      </c>
      <c r="BR5" s="26"/>
      <c r="BS5" s="29"/>
      <c r="BT5" s="28"/>
      <c r="BU5" s="26">
        <v>1</v>
      </c>
      <c r="BV5" s="26"/>
      <c r="BW5" s="29"/>
      <c r="BX5" s="28"/>
      <c r="BY5" s="26"/>
      <c r="BZ5" s="26"/>
      <c r="CA5" s="29"/>
      <c r="CB5" s="28"/>
      <c r="CC5" s="26">
        <v>1</v>
      </c>
      <c r="CD5" s="26"/>
      <c r="CE5" s="29"/>
      <c r="CF5" s="28"/>
      <c r="CG5" s="26"/>
      <c r="CH5" s="26"/>
      <c r="CI5" s="29"/>
      <c r="CJ5" s="28"/>
      <c r="CK5" s="26"/>
      <c r="CL5" s="26"/>
      <c r="CM5" s="29"/>
      <c r="CN5" s="28"/>
      <c r="CO5" s="26">
        <v>1</v>
      </c>
      <c r="CP5" s="26"/>
      <c r="CQ5" s="29"/>
      <c r="CR5" s="28"/>
      <c r="CS5" s="26"/>
      <c r="CT5" s="26"/>
      <c r="CU5" s="29"/>
      <c r="CV5" s="28"/>
      <c r="CW5" s="26"/>
      <c r="CX5" s="26"/>
      <c r="CY5" s="29"/>
      <c r="CZ5" s="28"/>
      <c r="DA5" s="26"/>
      <c r="DB5" s="26"/>
      <c r="DC5" s="29"/>
    </row>
    <row r="6" spans="1:107" ht="19.899999999999999" customHeight="1" x14ac:dyDescent="0.25">
      <c r="A6" s="178"/>
      <c r="B6" s="154" t="str">
        <f>Jugadores!H5</f>
        <v>Jaider Londoño</v>
      </c>
      <c r="C6" s="155"/>
      <c r="D6" s="24">
        <f t="shared" si="0"/>
        <v>6</v>
      </c>
      <c r="E6" s="24">
        <f t="shared" si="1"/>
        <v>3</v>
      </c>
      <c r="F6" s="115">
        <f t="shared" si="2"/>
        <v>1</v>
      </c>
      <c r="G6" s="115">
        <f t="shared" si="3"/>
        <v>0</v>
      </c>
      <c r="H6" s="28"/>
      <c r="I6" s="26"/>
      <c r="J6" s="26"/>
      <c r="K6" s="29"/>
      <c r="L6" s="28">
        <v>3</v>
      </c>
      <c r="M6" s="26"/>
      <c r="N6" s="26"/>
      <c r="O6" s="29"/>
      <c r="P6" s="28"/>
      <c r="Q6" s="26"/>
      <c r="R6" s="26"/>
      <c r="S6" s="29"/>
      <c r="T6" s="28"/>
      <c r="U6" s="26"/>
      <c r="V6" s="26"/>
      <c r="W6" s="29"/>
      <c r="X6" s="28"/>
      <c r="Y6" s="26"/>
      <c r="Z6" s="26"/>
      <c r="AA6" s="29"/>
      <c r="AB6" s="28"/>
      <c r="AC6" s="26"/>
      <c r="AD6" s="26"/>
      <c r="AE6" s="29"/>
      <c r="AF6" s="28"/>
      <c r="AG6" s="26"/>
      <c r="AH6" s="26"/>
      <c r="AI6" s="29"/>
      <c r="AJ6" s="28"/>
      <c r="AK6" s="26"/>
      <c r="AL6" s="26"/>
      <c r="AM6" s="29"/>
      <c r="AN6" s="28"/>
      <c r="AO6" s="26"/>
      <c r="AP6" s="26"/>
      <c r="AQ6" s="29"/>
      <c r="AR6" s="28"/>
      <c r="AS6" s="26">
        <v>1</v>
      </c>
      <c r="AT6" s="26"/>
      <c r="AU6" s="29"/>
      <c r="AV6" s="28">
        <v>1</v>
      </c>
      <c r="AW6" s="26"/>
      <c r="AX6" s="26"/>
      <c r="AY6" s="29"/>
      <c r="AZ6" s="28"/>
      <c r="BA6" s="26"/>
      <c r="BB6" s="26"/>
      <c r="BC6" s="29"/>
      <c r="BD6" s="28">
        <v>1</v>
      </c>
      <c r="BE6" s="26">
        <v>1</v>
      </c>
      <c r="BF6" s="26"/>
      <c r="BG6" s="29"/>
      <c r="BH6" s="28"/>
      <c r="BI6" s="26"/>
      <c r="BJ6" s="26"/>
      <c r="BK6" s="29"/>
      <c r="BL6" s="28"/>
      <c r="BM6" s="26"/>
      <c r="BN6" s="26"/>
      <c r="BO6" s="29"/>
      <c r="BP6" s="28"/>
      <c r="BQ6" s="26">
        <v>1</v>
      </c>
      <c r="BR6" s="26"/>
      <c r="BS6" s="29"/>
      <c r="BT6" s="28">
        <v>1</v>
      </c>
      <c r="BU6" s="26">
        <v>1</v>
      </c>
      <c r="BV6" s="26"/>
      <c r="BW6" s="29"/>
      <c r="BX6" s="28"/>
      <c r="BY6" s="26"/>
      <c r="BZ6" s="26"/>
      <c r="CA6" s="29"/>
      <c r="CB6" s="28"/>
      <c r="CC6" s="26">
        <v>1</v>
      </c>
      <c r="CD6" s="26"/>
      <c r="CE6" s="29"/>
      <c r="CF6" s="28"/>
      <c r="CG6" s="26"/>
      <c r="CH6" s="26"/>
      <c r="CI6" s="29"/>
      <c r="CJ6" s="28"/>
      <c r="CK6" s="26"/>
      <c r="CL6" s="26"/>
      <c r="CM6" s="29"/>
      <c r="CN6" s="28"/>
      <c r="CO6" s="26"/>
      <c r="CP6" s="26"/>
      <c r="CQ6" s="29"/>
      <c r="CR6" s="28"/>
      <c r="CS6" s="26"/>
      <c r="CT6" s="26"/>
      <c r="CU6" s="29"/>
      <c r="CV6" s="28"/>
      <c r="CW6" s="26"/>
      <c r="CX6" s="26"/>
      <c r="CY6" s="29"/>
      <c r="CZ6" s="28"/>
      <c r="DA6" s="26"/>
      <c r="DB6" s="26"/>
      <c r="DC6" s="29"/>
    </row>
    <row r="7" spans="1:107" ht="19.899999999999999" customHeight="1" x14ac:dyDescent="0.25">
      <c r="A7" s="178"/>
      <c r="B7" s="154" t="str">
        <f>Jugadores!H6</f>
        <v>Edisón Gavíria</v>
      </c>
      <c r="C7" s="155"/>
      <c r="D7" s="24">
        <f>H7+L7+P7+T7+X7+AB7+AF7+AJ7+AN7+AR7+AV7+AZ7+BD7+BH7+BL7+BP7+BT7+BX7+CB7+CF7+CJ7+CN7+CR7+CV7+CZ7</f>
        <v>0</v>
      </c>
      <c r="E7" s="24">
        <f t="shared" si="1"/>
        <v>1</v>
      </c>
      <c r="F7" s="115">
        <f t="shared" si="2"/>
        <v>0</v>
      </c>
      <c r="G7" s="115">
        <f t="shared" si="3"/>
        <v>0</v>
      </c>
      <c r="H7" s="28"/>
      <c r="I7" s="26"/>
      <c r="J7" s="26"/>
      <c r="K7" s="29"/>
      <c r="L7" s="28"/>
      <c r="M7" s="26"/>
      <c r="N7" s="26"/>
      <c r="O7" s="29"/>
      <c r="P7" s="28"/>
      <c r="Q7" s="26"/>
      <c r="R7" s="26"/>
      <c r="S7" s="29"/>
      <c r="T7" s="28"/>
      <c r="U7" s="26"/>
      <c r="V7" s="26"/>
      <c r="W7" s="29"/>
      <c r="X7" s="28"/>
      <c r="Y7" s="26">
        <v>1</v>
      </c>
      <c r="Z7" s="26"/>
      <c r="AA7" s="29"/>
      <c r="AB7" s="28"/>
      <c r="AC7" s="26"/>
      <c r="AD7" s="26"/>
      <c r="AE7" s="29"/>
      <c r="AF7" s="28"/>
      <c r="AG7" s="26"/>
      <c r="AH7" s="26"/>
      <c r="AI7" s="29"/>
      <c r="AJ7" s="28"/>
      <c r="AK7" s="26"/>
      <c r="AL7" s="26"/>
      <c r="AM7" s="29"/>
      <c r="AN7" s="28"/>
      <c r="AO7" s="26"/>
      <c r="AP7" s="26"/>
      <c r="AQ7" s="29"/>
      <c r="AR7" s="28"/>
      <c r="AS7" s="26"/>
      <c r="AT7" s="26"/>
      <c r="AU7" s="29"/>
      <c r="AV7" s="28"/>
      <c r="AW7" s="26"/>
      <c r="AX7" s="26"/>
      <c r="AY7" s="29"/>
      <c r="AZ7" s="28"/>
      <c r="BA7" s="26"/>
      <c r="BB7" s="26"/>
      <c r="BC7" s="29"/>
      <c r="BD7" s="28"/>
      <c r="BE7" s="26"/>
      <c r="BF7" s="26"/>
      <c r="BG7" s="29"/>
      <c r="BH7" s="28"/>
      <c r="BI7" s="26"/>
      <c r="BJ7" s="26"/>
      <c r="BK7" s="29"/>
      <c r="BL7" s="28"/>
      <c r="BM7" s="26"/>
      <c r="BN7" s="26"/>
      <c r="BO7" s="29"/>
      <c r="BP7" s="28"/>
      <c r="BQ7" s="26"/>
      <c r="BR7" s="26"/>
      <c r="BS7" s="29"/>
      <c r="BT7" s="28"/>
      <c r="BU7" s="26"/>
      <c r="BV7" s="26"/>
      <c r="BW7" s="29"/>
      <c r="BX7" s="28"/>
      <c r="BY7" s="26"/>
      <c r="BZ7" s="26"/>
      <c r="CA7" s="29"/>
      <c r="CB7" s="28"/>
      <c r="CC7" s="26"/>
      <c r="CD7" s="26"/>
      <c r="CE7" s="29"/>
      <c r="CF7" s="28"/>
      <c r="CG7" s="26"/>
      <c r="CH7" s="26"/>
      <c r="CI7" s="29"/>
      <c r="CJ7" s="28"/>
      <c r="CK7" s="26"/>
      <c r="CL7" s="26"/>
      <c r="CM7" s="29"/>
      <c r="CN7" s="28"/>
      <c r="CO7" s="26"/>
      <c r="CP7" s="26"/>
      <c r="CQ7" s="29"/>
      <c r="CR7" s="28"/>
      <c r="CS7" s="26"/>
      <c r="CT7" s="26"/>
      <c r="CU7" s="29"/>
      <c r="CV7" s="28"/>
      <c r="CW7" s="26"/>
      <c r="CX7" s="26"/>
      <c r="CY7" s="29"/>
      <c r="CZ7" s="28"/>
      <c r="DA7" s="26"/>
      <c r="DB7" s="26"/>
      <c r="DC7" s="29"/>
    </row>
    <row r="8" spans="1:107" ht="19.899999999999999" customHeight="1" x14ac:dyDescent="0.25">
      <c r="A8" s="178"/>
      <c r="B8" s="154" t="str">
        <f>Jugadores!H7</f>
        <v>Jimy Manrique</v>
      </c>
      <c r="C8" s="155"/>
      <c r="D8" s="24">
        <f t="shared" si="0"/>
        <v>9</v>
      </c>
      <c r="E8" s="24">
        <f t="shared" si="1"/>
        <v>2</v>
      </c>
      <c r="F8" s="115">
        <f t="shared" si="2"/>
        <v>3</v>
      </c>
      <c r="G8" s="115">
        <f t="shared" si="3"/>
        <v>1</v>
      </c>
      <c r="H8" s="28"/>
      <c r="I8" s="26"/>
      <c r="J8" s="26"/>
      <c r="K8" s="29"/>
      <c r="L8" s="28"/>
      <c r="M8" s="26"/>
      <c r="N8" s="26"/>
      <c r="O8" s="29"/>
      <c r="P8" s="28"/>
      <c r="Q8" s="26"/>
      <c r="R8" s="26"/>
      <c r="S8" s="29"/>
      <c r="T8" s="28">
        <v>1</v>
      </c>
      <c r="U8" s="26"/>
      <c r="V8" s="26"/>
      <c r="W8" s="29"/>
      <c r="X8" s="28"/>
      <c r="Y8" s="26"/>
      <c r="Z8" s="26"/>
      <c r="AA8" s="29"/>
      <c r="AB8" s="28"/>
      <c r="AC8" s="26"/>
      <c r="AD8" s="26"/>
      <c r="AE8" s="29"/>
      <c r="AF8" s="28"/>
      <c r="AG8" s="26"/>
      <c r="AH8" s="26"/>
      <c r="AI8" s="29"/>
      <c r="AJ8" s="28">
        <v>1</v>
      </c>
      <c r="AK8" s="26"/>
      <c r="AL8" s="26"/>
      <c r="AM8" s="29"/>
      <c r="AN8" s="28">
        <v>1</v>
      </c>
      <c r="AO8" s="26"/>
      <c r="AP8" s="26"/>
      <c r="AQ8" s="29"/>
      <c r="AR8" s="28">
        <v>1</v>
      </c>
      <c r="AS8" s="26"/>
      <c r="AT8" s="26"/>
      <c r="AU8" s="29"/>
      <c r="AV8" s="28"/>
      <c r="AW8" s="26"/>
      <c r="AX8" s="26"/>
      <c r="AY8" s="29"/>
      <c r="AZ8" s="28"/>
      <c r="BA8" s="26"/>
      <c r="BB8" s="26"/>
      <c r="BC8" s="29"/>
      <c r="BD8" s="28"/>
      <c r="BE8" s="26">
        <v>1</v>
      </c>
      <c r="BF8" s="26"/>
      <c r="BG8" s="29"/>
      <c r="BH8" s="28"/>
      <c r="BI8" s="26"/>
      <c r="BJ8" s="26"/>
      <c r="BK8" s="29"/>
      <c r="BL8" s="28"/>
      <c r="BM8" s="26"/>
      <c r="BN8" s="26"/>
      <c r="BO8" s="29"/>
      <c r="BP8" s="28">
        <v>2</v>
      </c>
      <c r="BQ8" s="26"/>
      <c r="BR8" s="26"/>
      <c r="BS8" s="29"/>
      <c r="BT8" s="28"/>
      <c r="BU8" s="26"/>
      <c r="BV8" s="26"/>
      <c r="BW8" s="29"/>
      <c r="BX8" s="28"/>
      <c r="BY8" s="26"/>
      <c r="BZ8" s="26"/>
      <c r="CA8" s="29"/>
      <c r="CB8" s="28"/>
      <c r="CC8" s="26"/>
      <c r="CD8" s="26"/>
      <c r="CE8" s="29"/>
      <c r="CF8" s="28"/>
      <c r="CG8" s="26"/>
      <c r="CH8" s="26"/>
      <c r="CI8" s="29"/>
      <c r="CJ8" s="28">
        <v>3</v>
      </c>
      <c r="CK8" s="26"/>
      <c r="CL8" s="26"/>
      <c r="CM8" s="29"/>
      <c r="CN8" s="28"/>
      <c r="CO8" s="26">
        <v>1</v>
      </c>
      <c r="CP8" s="26"/>
      <c r="CQ8" s="29"/>
      <c r="CR8" s="28"/>
      <c r="CS8" s="26"/>
      <c r="CT8" s="26"/>
      <c r="CU8" s="29"/>
      <c r="CV8" s="28"/>
      <c r="CW8" s="26"/>
      <c r="CX8" s="26"/>
      <c r="CY8" s="29"/>
      <c r="CZ8" s="28"/>
      <c r="DA8" s="26"/>
      <c r="DB8" s="26"/>
      <c r="DC8" s="29"/>
    </row>
    <row r="9" spans="1:107" ht="19.899999999999999" customHeight="1" x14ac:dyDescent="0.25">
      <c r="A9" s="178"/>
      <c r="B9" s="154" t="str">
        <f>Jugadores!H8</f>
        <v xml:space="preserve">Jeison Londoño </v>
      </c>
      <c r="C9" s="155"/>
      <c r="D9" s="24">
        <f t="shared" si="0"/>
        <v>0</v>
      </c>
      <c r="E9" s="24">
        <f t="shared" si="1"/>
        <v>2</v>
      </c>
      <c r="F9" s="115">
        <f t="shared" si="2"/>
        <v>0</v>
      </c>
      <c r="G9" s="115">
        <f t="shared" si="3"/>
        <v>0</v>
      </c>
      <c r="H9" s="28"/>
      <c r="I9" s="26"/>
      <c r="J9" s="26"/>
      <c r="K9" s="29"/>
      <c r="L9" s="28"/>
      <c r="M9" s="26"/>
      <c r="N9" s="26"/>
      <c r="O9" s="29"/>
      <c r="P9" s="28"/>
      <c r="Q9" s="26"/>
      <c r="R9" s="26"/>
      <c r="S9" s="29"/>
      <c r="T9" s="28"/>
      <c r="U9" s="26"/>
      <c r="V9" s="26"/>
      <c r="W9" s="29"/>
      <c r="X9" s="28"/>
      <c r="Y9" s="26"/>
      <c r="Z9" s="26"/>
      <c r="AA9" s="29"/>
      <c r="AB9" s="28"/>
      <c r="AC9" s="26"/>
      <c r="AD9" s="26"/>
      <c r="AE9" s="29"/>
      <c r="AF9" s="28"/>
      <c r="AG9" s="26"/>
      <c r="AH9" s="26"/>
      <c r="AI9" s="29"/>
      <c r="AJ9" s="28"/>
      <c r="AK9" s="26">
        <v>1</v>
      </c>
      <c r="AL9" s="26"/>
      <c r="AM9" s="29"/>
      <c r="AN9" s="28"/>
      <c r="AO9" s="26"/>
      <c r="AP9" s="26"/>
      <c r="AQ9" s="29"/>
      <c r="AR9" s="28"/>
      <c r="AS9" s="26"/>
      <c r="AT9" s="26"/>
      <c r="AU9" s="29"/>
      <c r="AV9" s="28"/>
      <c r="AW9" s="26"/>
      <c r="AX9" s="26"/>
      <c r="AY9" s="29"/>
      <c r="AZ9" s="28"/>
      <c r="BA9" s="26"/>
      <c r="BB9" s="26"/>
      <c r="BC9" s="29"/>
      <c r="BD9" s="28"/>
      <c r="BE9" s="26"/>
      <c r="BF9" s="26"/>
      <c r="BG9" s="29"/>
      <c r="BH9" s="28"/>
      <c r="BI9" s="26"/>
      <c r="BJ9" s="26"/>
      <c r="BK9" s="29"/>
      <c r="BL9" s="28"/>
      <c r="BM9" s="26"/>
      <c r="BN9" s="26"/>
      <c r="BO9" s="29"/>
      <c r="BP9" s="28"/>
      <c r="BQ9" s="26">
        <v>1</v>
      </c>
      <c r="BR9" s="26"/>
      <c r="BS9" s="29"/>
      <c r="BT9" s="28"/>
      <c r="BU9" s="26"/>
      <c r="BV9" s="26"/>
      <c r="BW9" s="29"/>
      <c r="BX9" s="28"/>
      <c r="BY9" s="26"/>
      <c r="BZ9" s="26"/>
      <c r="CA9" s="29"/>
      <c r="CB9" s="28"/>
      <c r="CC9" s="26"/>
      <c r="CD9" s="26"/>
      <c r="CE9" s="29"/>
      <c r="CF9" s="28"/>
      <c r="CG9" s="26"/>
      <c r="CH9" s="26"/>
      <c r="CI9" s="29"/>
      <c r="CJ9" s="28"/>
      <c r="CK9" s="26"/>
      <c r="CL9" s="26"/>
      <c r="CM9" s="29"/>
      <c r="CN9" s="28"/>
      <c r="CO9" s="26"/>
      <c r="CP9" s="26"/>
      <c r="CQ9" s="29"/>
      <c r="CR9" s="28"/>
      <c r="CS9" s="26"/>
      <c r="CT9" s="26"/>
      <c r="CU9" s="29"/>
      <c r="CV9" s="28"/>
      <c r="CW9" s="26"/>
      <c r="CX9" s="26"/>
      <c r="CY9" s="29"/>
      <c r="CZ9" s="28"/>
      <c r="DA9" s="26"/>
      <c r="DB9" s="26"/>
      <c r="DC9" s="29"/>
    </row>
    <row r="10" spans="1:107" ht="19.899999999999999" customHeight="1" x14ac:dyDescent="0.25">
      <c r="A10" s="178"/>
      <c r="B10" s="154" t="str">
        <f>Jugadores!H9</f>
        <v xml:space="preserve">Julio Gaviria </v>
      </c>
      <c r="C10" s="155"/>
      <c r="D10" s="24">
        <f t="shared" si="0"/>
        <v>0</v>
      </c>
      <c r="E10" s="24">
        <f t="shared" si="1"/>
        <v>0</v>
      </c>
      <c r="F10" s="115">
        <f t="shared" si="2"/>
        <v>0</v>
      </c>
      <c r="G10" s="115">
        <f t="shared" si="3"/>
        <v>0</v>
      </c>
      <c r="H10" s="28"/>
      <c r="I10" s="26"/>
      <c r="J10" s="26"/>
      <c r="K10" s="29"/>
      <c r="L10" s="28"/>
      <c r="M10" s="26"/>
      <c r="N10" s="26"/>
      <c r="O10" s="29"/>
      <c r="P10" s="28"/>
      <c r="Q10" s="26"/>
      <c r="R10" s="26"/>
      <c r="S10" s="29"/>
      <c r="T10" s="28"/>
      <c r="U10" s="26"/>
      <c r="V10" s="26"/>
      <c r="W10" s="29"/>
      <c r="X10" s="28"/>
      <c r="Y10" s="26"/>
      <c r="Z10" s="26"/>
      <c r="AA10" s="29"/>
      <c r="AB10" s="28"/>
      <c r="AC10" s="26"/>
      <c r="AD10" s="26"/>
      <c r="AE10" s="29"/>
      <c r="AF10" s="28"/>
      <c r="AG10" s="26"/>
      <c r="AH10" s="26"/>
      <c r="AI10" s="29"/>
      <c r="AJ10" s="28"/>
      <c r="AK10" s="26"/>
      <c r="AL10" s="26"/>
      <c r="AM10" s="29"/>
      <c r="AN10" s="28"/>
      <c r="AO10" s="26"/>
      <c r="AP10" s="26"/>
      <c r="AQ10" s="29"/>
      <c r="AR10" s="28"/>
      <c r="AS10" s="26"/>
      <c r="AT10" s="26"/>
      <c r="AU10" s="29"/>
      <c r="AV10" s="28"/>
      <c r="AW10" s="26"/>
      <c r="AX10" s="26"/>
      <c r="AY10" s="29"/>
      <c r="AZ10" s="28"/>
      <c r="BA10" s="26"/>
      <c r="BB10" s="26"/>
      <c r="BC10" s="29"/>
      <c r="BD10" s="28"/>
      <c r="BE10" s="26"/>
      <c r="BF10" s="26"/>
      <c r="BG10" s="29"/>
      <c r="BH10" s="28"/>
      <c r="BI10" s="26"/>
      <c r="BJ10" s="26"/>
      <c r="BK10" s="29"/>
      <c r="BL10" s="28"/>
      <c r="BM10" s="26"/>
      <c r="BN10" s="26"/>
      <c r="BO10" s="29"/>
      <c r="BP10" s="28"/>
      <c r="BQ10" s="26"/>
      <c r="BR10" s="26"/>
      <c r="BS10" s="29"/>
      <c r="BT10" s="28"/>
      <c r="BU10" s="26"/>
      <c r="BV10" s="26"/>
      <c r="BW10" s="29"/>
      <c r="BX10" s="28"/>
      <c r="BY10" s="26"/>
      <c r="BZ10" s="26"/>
      <c r="CA10" s="29"/>
      <c r="CB10" s="28"/>
      <c r="CC10" s="26"/>
      <c r="CD10" s="26"/>
      <c r="CE10" s="29"/>
      <c r="CF10" s="28"/>
      <c r="CG10" s="26"/>
      <c r="CH10" s="26"/>
      <c r="CI10" s="29"/>
      <c r="CJ10" s="28"/>
      <c r="CK10" s="26"/>
      <c r="CL10" s="26"/>
      <c r="CM10" s="29"/>
      <c r="CN10" s="28"/>
      <c r="CO10" s="26"/>
      <c r="CP10" s="26"/>
      <c r="CQ10" s="29"/>
      <c r="CR10" s="28"/>
      <c r="CS10" s="26"/>
      <c r="CT10" s="26"/>
      <c r="CU10" s="29"/>
      <c r="CV10" s="28"/>
      <c r="CW10" s="26"/>
      <c r="CX10" s="26"/>
      <c r="CY10" s="29"/>
      <c r="CZ10" s="28"/>
      <c r="DA10" s="26"/>
      <c r="DB10" s="26"/>
      <c r="DC10" s="29"/>
    </row>
    <row r="11" spans="1:107" ht="19.899999999999999" customHeight="1" x14ac:dyDescent="0.25">
      <c r="A11" s="178"/>
      <c r="B11" s="154" t="str">
        <f>Jugadores!H10</f>
        <v>José Ángel Londoño</v>
      </c>
      <c r="C11" s="155"/>
      <c r="D11" s="24">
        <f t="shared" si="0"/>
        <v>7</v>
      </c>
      <c r="E11" s="24">
        <f t="shared" si="1"/>
        <v>3</v>
      </c>
      <c r="F11" s="115">
        <f t="shared" si="2"/>
        <v>4</v>
      </c>
      <c r="G11" s="115">
        <f t="shared" si="3"/>
        <v>1</v>
      </c>
      <c r="H11" s="28"/>
      <c r="I11" s="26"/>
      <c r="J11" s="26"/>
      <c r="K11" s="29"/>
      <c r="L11" s="28"/>
      <c r="M11" s="26">
        <v>1</v>
      </c>
      <c r="N11" s="26"/>
      <c r="O11" s="29"/>
      <c r="P11" s="28"/>
      <c r="Q11" s="26"/>
      <c r="R11" s="26"/>
      <c r="S11" s="29"/>
      <c r="T11" s="28"/>
      <c r="U11" s="26">
        <v>1</v>
      </c>
      <c r="V11" s="26"/>
      <c r="W11" s="29"/>
      <c r="X11" s="28"/>
      <c r="Y11" s="26"/>
      <c r="Z11" s="26"/>
      <c r="AA11" s="29"/>
      <c r="AB11" s="28">
        <v>1</v>
      </c>
      <c r="AC11" s="26"/>
      <c r="AD11" s="26"/>
      <c r="AE11" s="29"/>
      <c r="AF11" s="28"/>
      <c r="AG11" s="26"/>
      <c r="AH11" s="26"/>
      <c r="AI11" s="29"/>
      <c r="AJ11" s="28">
        <v>1</v>
      </c>
      <c r="AK11" s="26"/>
      <c r="AL11" s="26"/>
      <c r="AM11" s="29"/>
      <c r="AN11" s="28">
        <v>1</v>
      </c>
      <c r="AO11" s="26"/>
      <c r="AP11" s="26"/>
      <c r="AQ11" s="29"/>
      <c r="AR11" s="28"/>
      <c r="AS11" s="26"/>
      <c r="AT11" s="26"/>
      <c r="AU11" s="29"/>
      <c r="AV11" s="28"/>
      <c r="AW11" s="26"/>
      <c r="AX11" s="26"/>
      <c r="AY11" s="29"/>
      <c r="AZ11" s="28"/>
      <c r="BA11" s="26"/>
      <c r="BB11" s="26"/>
      <c r="BC11" s="29"/>
      <c r="BD11" s="28"/>
      <c r="BE11" s="26"/>
      <c r="BF11" s="26"/>
      <c r="BG11" s="29"/>
      <c r="BH11" s="28"/>
      <c r="BI11" s="26"/>
      <c r="BJ11" s="26"/>
      <c r="BK11" s="29"/>
      <c r="BL11" s="28"/>
      <c r="BM11" s="26"/>
      <c r="BN11" s="26"/>
      <c r="BO11" s="29"/>
      <c r="BP11" s="28"/>
      <c r="BQ11" s="26"/>
      <c r="BR11" s="26"/>
      <c r="BS11" s="29"/>
      <c r="BT11" s="28">
        <v>1</v>
      </c>
      <c r="BU11" s="26"/>
      <c r="BV11" s="26"/>
      <c r="BW11" s="29"/>
      <c r="BX11" s="28"/>
      <c r="BY11" s="26">
        <v>1</v>
      </c>
      <c r="BZ11" s="26"/>
      <c r="CA11" s="29"/>
      <c r="CB11" s="28">
        <v>2</v>
      </c>
      <c r="CC11" s="26"/>
      <c r="CD11" s="26"/>
      <c r="CE11" s="29"/>
      <c r="CF11" s="28"/>
      <c r="CG11" s="26"/>
      <c r="CH11" s="26"/>
      <c r="CI11" s="29">
        <v>1</v>
      </c>
      <c r="CJ11" s="28"/>
      <c r="CK11" s="26"/>
      <c r="CL11" s="26"/>
      <c r="CM11" s="29"/>
      <c r="CN11" s="28">
        <v>1</v>
      </c>
      <c r="CO11" s="26"/>
      <c r="CP11" s="26"/>
      <c r="CQ11" s="29"/>
      <c r="CR11" s="28"/>
      <c r="CS11" s="26"/>
      <c r="CT11" s="26"/>
      <c r="CU11" s="29"/>
      <c r="CV11" s="28"/>
      <c r="CW11" s="26"/>
      <c r="CX11" s="26"/>
      <c r="CY11" s="29"/>
      <c r="CZ11" s="28"/>
      <c r="DA11" s="26"/>
      <c r="DB11" s="26"/>
      <c r="DC11" s="29"/>
    </row>
    <row r="12" spans="1:107" ht="19.899999999999999" customHeight="1" x14ac:dyDescent="0.25">
      <c r="A12" s="178"/>
      <c r="B12" s="154" t="str">
        <f>Jugadores!H11</f>
        <v>Daniel Gil</v>
      </c>
      <c r="C12" s="155"/>
      <c r="D12" s="24">
        <f t="shared" si="0"/>
        <v>0</v>
      </c>
      <c r="E12" s="24">
        <f t="shared" si="1"/>
        <v>1</v>
      </c>
      <c r="F12" s="115">
        <f t="shared" si="2"/>
        <v>0</v>
      </c>
      <c r="G12" s="115">
        <f t="shared" si="3"/>
        <v>0</v>
      </c>
      <c r="H12" s="28"/>
      <c r="I12" s="26"/>
      <c r="J12" s="26"/>
      <c r="K12" s="29"/>
      <c r="L12" s="28"/>
      <c r="M12" s="26"/>
      <c r="N12" s="26"/>
      <c r="O12" s="29"/>
      <c r="P12" s="28"/>
      <c r="Q12" s="26"/>
      <c r="R12" s="26"/>
      <c r="S12" s="29"/>
      <c r="T12" s="28"/>
      <c r="U12" s="26"/>
      <c r="V12" s="26"/>
      <c r="W12" s="29"/>
      <c r="X12" s="28"/>
      <c r="Y12" s="26"/>
      <c r="Z12" s="26"/>
      <c r="AA12" s="29"/>
      <c r="AB12" s="28"/>
      <c r="AC12" s="26"/>
      <c r="AD12" s="26"/>
      <c r="AE12" s="29"/>
      <c r="AF12" s="28"/>
      <c r="AG12" s="26"/>
      <c r="AH12" s="26"/>
      <c r="AI12" s="29"/>
      <c r="AJ12" s="28"/>
      <c r="AK12" s="26"/>
      <c r="AL12" s="26"/>
      <c r="AM12" s="29"/>
      <c r="AN12" s="28"/>
      <c r="AO12" s="26"/>
      <c r="AP12" s="26"/>
      <c r="AQ12" s="29"/>
      <c r="AR12" s="28"/>
      <c r="AS12" s="26"/>
      <c r="AT12" s="26"/>
      <c r="AU12" s="29"/>
      <c r="AV12" s="28"/>
      <c r="AW12" s="26"/>
      <c r="AX12" s="26"/>
      <c r="AY12" s="29"/>
      <c r="AZ12" s="28"/>
      <c r="BA12" s="26">
        <v>1</v>
      </c>
      <c r="BB12" s="26"/>
      <c r="BC12" s="29"/>
      <c r="BD12" s="28"/>
      <c r="BE12" s="26"/>
      <c r="BF12" s="26"/>
      <c r="BG12" s="29"/>
      <c r="BH12" s="28"/>
      <c r="BI12" s="26"/>
      <c r="BJ12" s="26"/>
      <c r="BK12" s="29"/>
      <c r="BL12" s="28"/>
      <c r="BM12" s="26"/>
      <c r="BN12" s="26"/>
      <c r="BO12" s="29"/>
      <c r="BP12" s="28"/>
      <c r="BQ12" s="26"/>
      <c r="BR12" s="26"/>
      <c r="BS12" s="29"/>
      <c r="BT12" s="28"/>
      <c r="BU12" s="26"/>
      <c r="BV12" s="26"/>
      <c r="BW12" s="29"/>
      <c r="BX12" s="28"/>
      <c r="BY12" s="26"/>
      <c r="BZ12" s="26"/>
      <c r="CA12" s="29"/>
      <c r="CB12" s="28"/>
      <c r="CC12" s="26"/>
      <c r="CD12" s="26"/>
      <c r="CE12" s="29"/>
      <c r="CF12" s="28"/>
      <c r="CG12" s="26"/>
      <c r="CH12" s="26"/>
      <c r="CI12" s="29"/>
      <c r="CJ12" s="28"/>
      <c r="CK12" s="26"/>
      <c r="CL12" s="26"/>
      <c r="CM12" s="29"/>
      <c r="CN12" s="28"/>
      <c r="CO12" s="26"/>
      <c r="CP12" s="26"/>
      <c r="CQ12" s="29"/>
      <c r="CR12" s="28"/>
      <c r="CS12" s="26"/>
      <c r="CT12" s="26"/>
      <c r="CU12" s="29"/>
      <c r="CV12" s="28"/>
      <c r="CW12" s="26"/>
      <c r="CX12" s="26"/>
      <c r="CY12" s="29"/>
      <c r="CZ12" s="28"/>
      <c r="DA12" s="26"/>
      <c r="DB12" s="26"/>
      <c r="DC12" s="29"/>
    </row>
    <row r="13" spans="1:107" ht="19.899999999999999" customHeight="1" x14ac:dyDescent="0.25">
      <c r="A13" s="178"/>
      <c r="B13" s="154" t="str">
        <f>Jugadores!H12</f>
        <v>Juan Camilo Aritizabal</v>
      </c>
      <c r="C13" s="155"/>
      <c r="D13" s="24">
        <f t="shared" si="0"/>
        <v>3</v>
      </c>
      <c r="E13" s="24">
        <f t="shared" si="1"/>
        <v>1</v>
      </c>
      <c r="F13" s="115">
        <f t="shared" si="2"/>
        <v>0</v>
      </c>
      <c r="G13" s="115">
        <f t="shared" si="3"/>
        <v>0</v>
      </c>
      <c r="H13" s="28"/>
      <c r="I13" s="26"/>
      <c r="J13" s="26"/>
      <c r="K13" s="29"/>
      <c r="L13" s="28"/>
      <c r="M13" s="26"/>
      <c r="N13" s="26"/>
      <c r="O13" s="29"/>
      <c r="P13" s="28">
        <v>1</v>
      </c>
      <c r="Q13" s="26"/>
      <c r="R13" s="26"/>
      <c r="S13" s="29"/>
      <c r="T13" s="28"/>
      <c r="U13" s="26"/>
      <c r="V13" s="26"/>
      <c r="W13" s="29"/>
      <c r="X13" s="28">
        <v>1</v>
      </c>
      <c r="Y13" s="26">
        <v>1</v>
      </c>
      <c r="Z13" s="26"/>
      <c r="AA13" s="29"/>
      <c r="AB13" s="28"/>
      <c r="AC13" s="26"/>
      <c r="AD13" s="26"/>
      <c r="AE13" s="29"/>
      <c r="AF13" s="28"/>
      <c r="AG13" s="26"/>
      <c r="AH13" s="26"/>
      <c r="AI13" s="29"/>
      <c r="AJ13" s="28">
        <v>1</v>
      </c>
      <c r="AK13" s="26"/>
      <c r="AL13" s="26"/>
      <c r="AM13" s="29"/>
      <c r="AN13" s="28"/>
      <c r="AO13" s="26"/>
      <c r="AP13" s="26"/>
      <c r="AQ13" s="29"/>
      <c r="AR13" s="28"/>
      <c r="AS13" s="26"/>
      <c r="AT13" s="26"/>
      <c r="AU13" s="29"/>
      <c r="AV13" s="28"/>
      <c r="AW13" s="26"/>
      <c r="AX13" s="26"/>
      <c r="AY13" s="29"/>
      <c r="AZ13" s="28"/>
      <c r="BA13" s="26"/>
      <c r="BB13" s="26"/>
      <c r="BC13" s="29"/>
      <c r="BD13" s="28"/>
      <c r="BE13" s="26"/>
      <c r="BF13" s="26"/>
      <c r="BG13" s="29"/>
      <c r="BH13" s="28"/>
      <c r="BI13" s="26"/>
      <c r="BJ13" s="26"/>
      <c r="BK13" s="29"/>
      <c r="BL13" s="28"/>
      <c r="BM13" s="26"/>
      <c r="BN13" s="26"/>
      <c r="BO13" s="29"/>
      <c r="BP13" s="28"/>
      <c r="BQ13" s="26"/>
      <c r="BR13" s="26"/>
      <c r="BS13" s="29"/>
      <c r="BT13" s="28"/>
      <c r="BU13" s="26"/>
      <c r="BV13" s="26"/>
      <c r="BW13" s="29"/>
      <c r="BX13" s="28"/>
      <c r="BY13" s="26"/>
      <c r="BZ13" s="26"/>
      <c r="CA13" s="29"/>
      <c r="CB13" s="28"/>
      <c r="CC13" s="26"/>
      <c r="CD13" s="26"/>
      <c r="CE13" s="29"/>
      <c r="CF13" s="28"/>
      <c r="CG13" s="26"/>
      <c r="CH13" s="26"/>
      <c r="CI13" s="29"/>
      <c r="CJ13" s="28"/>
      <c r="CK13" s="26"/>
      <c r="CL13" s="26"/>
      <c r="CM13" s="29"/>
      <c r="CN13" s="28"/>
      <c r="CO13" s="26"/>
      <c r="CP13" s="26"/>
      <c r="CQ13" s="29"/>
      <c r="CR13" s="28"/>
      <c r="CS13" s="26"/>
      <c r="CT13" s="26"/>
      <c r="CU13" s="29"/>
      <c r="CV13" s="28"/>
      <c r="CW13" s="26"/>
      <c r="CX13" s="26"/>
      <c r="CY13" s="29"/>
      <c r="CZ13" s="28"/>
      <c r="DA13" s="26"/>
      <c r="DB13" s="26"/>
      <c r="DC13" s="29"/>
    </row>
    <row r="14" spans="1:107" ht="19.899999999999999" customHeight="1" x14ac:dyDescent="0.25">
      <c r="A14" s="178"/>
      <c r="B14" s="154" t="str">
        <f>Jugadores!H13</f>
        <v>Lucas Zuluaga</v>
      </c>
      <c r="C14" s="155"/>
      <c r="D14" s="24">
        <f t="shared" si="0"/>
        <v>13</v>
      </c>
      <c r="E14" s="24">
        <f t="shared" si="1"/>
        <v>1</v>
      </c>
      <c r="F14" s="115">
        <f t="shared" si="2"/>
        <v>4</v>
      </c>
      <c r="G14" s="115">
        <f t="shared" si="3"/>
        <v>0</v>
      </c>
      <c r="H14" s="28"/>
      <c r="I14" s="26"/>
      <c r="J14" s="26"/>
      <c r="K14" s="29"/>
      <c r="L14" s="28"/>
      <c r="M14" s="26"/>
      <c r="N14" s="26"/>
      <c r="O14" s="29"/>
      <c r="P14" s="28">
        <v>2</v>
      </c>
      <c r="Q14" s="26"/>
      <c r="R14" s="26"/>
      <c r="S14" s="29"/>
      <c r="T14" s="28">
        <v>5</v>
      </c>
      <c r="U14" s="26">
        <v>1</v>
      </c>
      <c r="V14" s="26"/>
      <c r="W14" s="29"/>
      <c r="X14" s="28">
        <v>2</v>
      </c>
      <c r="Y14" s="26"/>
      <c r="Z14" s="26"/>
      <c r="AA14" s="29"/>
      <c r="AB14" s="28"/>
      <c r="AC14" s="26"/>
      <c r="AD14" s="26"/>
      <c r="AE14" s="29"/>
      <c r="AF14" s="28"/>
      <c r="AG14" s="26"/>
      <c r="AH14" s="26"/>
      <c r="AI14" s="29"/>
      <c r="AJ14" s="28"/>
      <c r="AK14" s="26"/>
      <c r="AL14" s="26"/>
      <c r="AM14" s="29"/>
      <c r="AN14" s="28"/>
      <c r="AO14" s="26"/>
      <c r="AP14" s="26"/>
      <c r="AQ14" s="29"/>
      <c r="AR14" s="28"/>
      <c r="AS14" s="26"/>
      <c r="AT14" s="26"/>
      <c r="AU14" s="29"/>
      <c r="AV14" s="28"/>
      <c r="AW14" s="26"/>
      <c r="AX14" s="26"/>
      <c r="AY14" s="29"/>
      <c r="AZ14" s="28"/>
      <c r="BA14" s="26"/>
      <c r="BB14" s="26"/>
      <c r="BC14" s="29"/>
      <c r="BD14" s="28"/>
      <c r="BE14" s="26"/>
      <c r="BF14" s="26"/>
      <c r="BG14" s="29"/>
      <c r="BH14" s="28"/>
      <c r="BI14" s="26"/>
      <c r="BJ14" s="26"/>
      <c r="BK14" s="29"/>
      <c r="BL14" s="28"/>
      <c r="BM14" s="26"/>
      <c r="BN14" s="26"/>
      <c r="BO14" s="29"/>
      <c r="BP14" s="28"/>
      <c r="BQ14" s="26"/>
      <c r="BR14" s="26"/>
      <c r="BS14" s="29"/>
      <c r="BT14" s="28">
        <v>4</v>
      </c>
      <c r="BU14" s="26"/>
      <c r="BV14" s="26"/>
      <c r="BW14" s="29"/>
      <c r="BX14" s="28"/>
      <c r="BY14" s="26"/>
      <c r="BZ14" s="26"/>
      <c r="CA14" s="29"/>
      <c r="CB14" s="28"/>
      <c r="CC14" s="26"/>
      <c r="CD14" s="26"/>
      <c r="CE14" s="29"/>
      <c r="CF14" s="28"/>
      <c r="CG14" s="26"/>
      <c r="CH14" s="26"/>
      <c r="CI14" s="29"/>
      <c r="CJ14" s="28"/>
      <c r="CK14" s="26"/>
      <c r="CL14" s="26"/>
      <c r="CM14" s="29"/>
      <c r="CN14" s="28"/>
      <c r="CO14" s="26"/>
      <c r="CP14" s="26"/>
      <c r="CQ14" s="29"/>
      <c r="CR14" s="28"/>
      <c r="CS14" s="26"/>
      <c r="CT14" s="26"/>
      <c r="CU14" s="29"/>
      <c r="CV14" s="28"/>
      <c r="CW14" s="26"/>
      <c r="CX14" s="26"/>
      <c r="CY14" s="29"/>
      <c r="CZ14" s="28"/>
      <c r="DA14" s="26"/>
      <c r="DB14" s="26"/>
      <c r="DC14" s="29"/>
    </row>
    <row r="15" spans="1:107" ht="19.899999999999999" customHeight="1" x14ac:dyDescent="0.25">
      <c r="A15" s="178"/>
      <c r="B15" s="154" t="str">
        <f>Jugadores!H14</f>
        <v xml:space="preserve">Juan Pablo Valencia </v>
      </c>
      <c r="C15" s="155"/>
      <c r="D15" s="24">
        <f t="shared" si="0"/>
        <v>1</v>
      </c>
      <c r="E15" s="24">
        <f t="shared" si="1"/>
        <v>0</v>
      </c>
      <c r="F15" s="115">
        <f t="shared" si="2"/>
        <v>0</v>
      </c>
      <c r="G15" s="115">
        <f t="shared" si="3"/>
        <v>0</v>
      </c>
      <c r="H15" s="28"/>
      <c r="I15" s="26"/>
      <c r="J15" s="26"/>
      <c r="K15" s="29"/>
      <c r="L15" s="28"/>
      <c r="M15" s="26"/>
      <c r="N15" s="26"/>
      <c r="O15" s="29"/>
      <c r="P15" s="28"/>
      <c r="Q15" s="26"/>
      <c r="R15" s="26"/>
      <c r="S15" s="29"/>
      <c r="T15" s="28"/>
      <c r="U15" s="26"/>
      <c r="V15" s="26"/>
      <c r="W15" s="29"/>
      <c r="X15" s="28"/>
      <c r="Y15" s="26"/>
      <c r="Z15" s="26"/>
      <c r="AA15" s="29"/>
      <c r="AB15" s="28"/>
      <c r="AC15" s="26"/>
      <c r="AD15" s="26"/>
      <c r="AE15" s="29"/>
      <c r="AF15" s="28"/>
      <c r="AG15" s="26"/>
      <c r="AH15" s="26"/>
      <c r="AI15" s="29"/>
      <c r="AJ15" s="28"/>
      <c r="AK15" s="26"/>
      <c r="AL15" s="26"/>
      <c r="AM15" s="29"/>
      <c r="AN15" s="28"/>
      <c r="AO15" s="26"/>
      <c r="AP15" s="26"/>
      <c r="AQ15" s="29"/>
      <c r="AR15" s="28"/>
      <c r="AS15" s="26"/>
      <c r="AT15" s="26"/>
      <c r="AU15" s="29"/>
      <c r="AV15" s="28"/>
      <c r="AW15" s="26"/>
      <c r="AX15" s="26"/>
      <c r="AY15" s="29"/>
      <c r="AZ15" s="28"/>
      <c r="BA15" s="26"/>
      <c r="BB15" s="26"/>
      <c r="BC15" s="29"/>
      <c r="BD15" s="28"/>
      <c r="BE15" s="26"/>
      <c r="BF15" s="26"/>
      <c r="BG15" s="29"/>
      <c r="BH15" s="28"/>
      <c r="BI15" s="26"/>
      <c r="BJ15" s="26"/>
      <c r="BK15" s="29"/>
      <c r="BL15" s="28">
        <v>1</v>
      </c>
      <c r="BM15" s="26"/>
      <c r="BN15" s="26"/>
      <c r="BO15" s="29"/>
      <c r="BP15" s="28"/>
      <c r="BQ15" s="26"/>
      <c r="BR15" s="26"/>
      <c r="BS15" s="29"/>
      <c r="BT15" s="28"/>
      <c r="BU15" s="26"/>
      <c r="BV15" s="26"/>
      <c r="BW15" s="29"/>
      <c r="BX15" s="28"/>
      <c r="BY15" s="26"/>
      <c r="BZ15" s="26"/>
      <c r="CA15" s="29"/>
      <c r="CB15" s="28"/>
      <c r="CC15" s="26"/>
      <c r="CD15" s="26"/>
      <c r="CE15" s="29"/>
      <c r="CF15" s="28"/>
      <c r="CG15" s="26"/>
      <c r="CH15" s="26"/>
      <c r="CI15" s="29"/>
      <c r="CJ15" s="28"/>
      <c r="CK15" s="26"/>
      <c r="CL15" s="26"/>
      <c r="CM15" s="29"/>
      <c r="CN15" s="28"/>
      <c r="CO15" s="26"/>
      <c r="CP15" s="26"/>
      <c r="CQ15" s="29"/>
      <c r="CR15" s="28"/>
      <c r="CS15" s="26"/>
      <c r="CT15" s="26"/>
      <c r="CU15" s="29"/>
      <c r="CV15" s="28"/>
      <c r="CW15" s="26"/>
      <c r="CX15" s="26"/>
      <c r="CY15" s="29"/>
      <c r="CZ15" s="28"/>
      <c r="DA15" s="26"/>
      <c r="DB15" s="26"/>
      <c r="DC15" s="29"/>
    </row>
    <row r="16" spans="1:107" ht="19.899999999999999" customHeight="1" x14ac:dyDescent="0.25">
      <c r="A16" s="178"/>
      <c r="B16" s="154" t="str">
        <f>Jugadores!H15</f>
        <v>Juan de Dios Duque</v>
      </c>
      <c r="C16" s="155"/>
      <c r="D16" s="24">
        <f t="shared" si="0"/>
        <v>12</v>
      </c>
      <c r="E16" s="24">
        <f t="shared" si="1"/>
        <v>0</v>
      </c>
      <c r="F16" s="115">
        <f t="shared" si="2"/>
        <v>3</v>
      </c>
      <c r="G16" s="115">
        <f t="shared" si="3"/>
        <v>0</v>
      </c>
      <c r="H16" s="28"/>
      <c r="I16" s="26"/>
      <c r="J16" s="26"/>
      <c r="K16" s="29"/>
      <c r="L16" s="28"/>
      <c r="M16" s="26"/>
      <c r="N16" s="26"/>
      <c r="O16" s="29"/>
      <c r="P16" s="28"/>
      <c r="Q16" s="26"/>
      <c r="R16" s="26"/>
      <c r="S16" s="29"/>
      <c r="T16" s="28">
        <v>1</v>
      </c>
      <c r="U16" s="26"/>
      <c r="V16" s="26"/>
      <c r="W16" s="29"/>
      <c r="X16" s="28"/>
      <c r="Y16" s="26"/>
      <c r="Z16" s="26"/>
      <c r="AA16" s="29"/>
      <c r="AB16" s="28">
        <v>2</v>
      </c>
      <c r="AC16" s="26"/>
      <c r="AD16" s="26"/>
      <c r="AE16" s="29"/>
      <c r="AF16" s="28">
        <v>1</v>
      </c>
      <c r="AG16" s="26"/>
      <c r="AH16" s="26"/>
      <c r="AI16" s="29"/>
      <c r="AJ16" s="28"/>
      <c r="AK16" s="26"/>
      <c r="AL16" s="26"/>
      <c r="AM16" s="29"/>
      <c r="AN16" s="28">
        <v>1</v>
      </c>
      <c r="AO16" s="26"/>
      <c r="AP16" s="26"/>
      <c r="AQ16" s="29"/>
      <c r="AR16" s="28"/>
      <c r="AS16" s="26"/>
      <c r="AT16" s="26"/>
      <c r="AU16" s="29"/>
      <c r="AV16" s="28">
        <v>1</v>
      </c>
      <c r="AW16" s="26"/>
      <c r="AX16" s="26"/>
      <c r="AY16" s="29"/>
      <c r="AZ16" s="28"/>
      <c r="BA16" s="26"/>
      <c r="BB16" s="26"/>
      <c r="BC16" s="29"/>
      <c r="BD16" s="28"/>
      <c r="BE16" s="26"/>
      <c r="BF16" s="26"/>
      <c r="BG16" s="29"/>
      <c r="BH16" s="28"/>
      <c r="BI16" s="26"/>
      <c r="BJ16" s="26"/>
      <c r="BK16" s="29"/>
      <c r="BL16" s="28">
        <v>1</v>
      </c>
      <c r="BM16" s="26"/>
      <c r="BN16" s="26"/>
      <c r="BO16" s="29"/>
      <c r="BP16" s="28">
        <v>2</v>
      </c>
      <c r="BQ16" s="26"/>
      <c r="BR16" s="26"/>
      <c r="BS16" s="29"/>
      <c r="BT16" s="28"/>
      <c r="BU16" s="26"/>
      <c r="BV16" s="26"/>
      <c r="BW16" s="29"/>
      <c r="BX16" s="28">
        <v>1</v>
      </c>
      <c r="BY16" s="26"/>
      <c r="BZ16" s="26"/>
      <c r="CA16" s="29"/>
      <c r="CB16" s="28"/>
      <c r="CC16" s="26"/>
      <c r="CD16" s="26"/>
      <c r="CE16" s="29"/>
      <c r="CF16" s="28"/>
      <c r="CG16" s="26"/>
      <c r="CH16" s="26"/>
      <c r="CI16" s="29"/>
      <c r="CJ16" s="28">
        <v>2</v>
      </c>
      <c r="CK16" s="26"/>
      <c r="CL16" s="26"/>
      <c r="CM16" s="29"/>
      <c r="CN16" s="28"/>
      <c r="CO16" s="26"/>
      <c r="CP16" s="26"/>
      <c r="CQ16" s="29"/>
      <c r="CR16" s="28"/>
      <c r="CS16" s="26"/>
      <c r="CT16" s="26"/>
      <c r="CU16" s="29"/>
      <c r="CV16" s="28"/>
      <c r="CW16" s="26"/>
      <c r="CX16" s="26"/>
      <c r="CY16" s="29"/>
      <c r="CZ16" s="28"/>
      <c r="DA16" s="26"/>
      <c r="DB16" s="26"/>
      <c r="DC16" s="29"/>
    </row>
    <row r="17" spans="1:107" ht="19.899999999999999" customHeight="1" x14ac:dyDescent="0.25">
      <c r="A17" s="178"/>
      <c r="B17" s="154" t="str">
        <f>Jugadores!H16</f>
        <v>Jeferson Álvarez</v>
      </c>
      <c r="C17" s="155"/>
      <c r="D17" s="24">
        <f t="shared" si="0"/>
        <v>3</v>
      </c>
      <c r="E17" s="24">
        <f t="shared" si="1"/>
        <v>3</v>
      </c>
      <c r="F17" s="115">
        <f t="shared" si="2"/>
        <v>1</v>
      </c>
      <c r="G17" s="115">
        <f t="shared" si="3"/>
        <v>0</v>
      </c>
      <c r="H17" s="28"/>
      <c r="I17" s="26"/>
      <c r="J17" s="26"/>
      <c r="K17" s="29"/>
      <c r="L17" s="28"/>
      <c r="M17" s="26"/>
      <c r="N17" s="26"/>
      <c r="O17" s="29"/>
      <c r="P17" s="28"/>
      <c r="Q17" s="26"/>
      <c r="R17" s="26"/>
      <c r="S17" s="29"/>
      <c r="T17" s="28"/>
      <c r="U17" s="26"/>
      <c r="V17" s="26"/>
      <c r="W17" s="29"/>
      <c r="X17" s="28"/>
      <c r="Y17" s="26">
        <v>1</v>
      </c>
      <c r="Z17" s="26"/>
      <c r="AA17" s="29"/>
      <c r="AB17" s="28"/>
      <c r="AC17" s="26"/>
      <c r="AD17" s="26"/>
      <c r="AE17" s="29"/>
      <c r="AF17" s="28"/>
      <c r="AG17" s="26"/>
      <c r="AH17" s="26"/>
      <c r="AI17" s="29"/>
      <c r="AJ17" s="28"/>
      <c r="AK17" s="26"/>
      <c r="AL17" s="26"/>
      <c r="AM17" s="29"/>
      <c r="AN17" s="28"/>
      <c r="AO17" s="26"/>
      <c r="AP17" s="26"/>
      <c r="AQ17" s="29"/>
      <c r="AR17" s="28"/>
      <c r="AS17" s="26"/>
      <c r="AT17" s="26"/>
      <c r="AU17" s="29"/>
      <c r="AV17" s="28"/>
      <c r="AW17" s="26"/>
      <c r="AX17" s="26"/>
      <c r="AY17" s="29"/>
      <c r="AZ17" s="28"/>
      <c r="BA17" s="26"/>
      <c r="BB17" s="26"/>
      <c r="BC17" s="29"/>
      <c r="BD17" s="28"/>
      <c r="BE17" s="26">
        <v>1</v>
      </c>
      <c r="BF17" s="26"/>
      <c r="BG17" s="29"/>
      <c r="BH17" s="28"/>
      <c r="BI17" s="26"/>
      <c r="BJ17" s="26"/>
      <c r="BK17" s="29"/>
      <c r="BL17" s="28"/>
      <c r="BM17" s="26"/>
      <c r="BN17" s="26"/>
      <c r="BO17" s="29"/>
      <c r="BP17" s="28">
        <v>2</v>
      </c>
      <c r="BQ17" s="26">
        <v>1</v>
      </c>
      <c r="BR17" s="26"/>
      <c r="BS17" s="29"/>
      <c r="BT17" s="28"/>
      <c r="BU17" s="26"/>
      <c r="BV17" s="26"/>
      <c r="BW17" s="29"/>
      <c r="BX17" s="28">
        <v>1</v>
      </c>
      <c r="BY17" s="26"/>
      <c r="BZ17" s="26"/>
      <c r="CA17" s="29"/>
      <c r="CB17" s="28"/>
      <c r="CC17" s="26"/>
      <c r="CD17" s="26"/>
      <c r="CE17" s="29"/>
      <c r="CF17" s="28"/>
      <c r="CG17" s="26"/>
      <c r="CH17" s="26"/>
      <c r="CI17" s="29"/>
      <c r="CJ17" s="28"/>
      <c r="CK17" s="26"/>
      <c r="CL17" s="26"/>
      <c r="CM17" s="29"/>
      <c r="CN17" s="28"/>
      <c r="CO17" s="26"/>
      <c r="CP17" s="26"/>
      <c r="CQ17" s="29"/>
      <c r="CR17" s="28"/>
      <c r="CS17" s="26"/>
      <c r="CT17" s="26"/>
      <c r="CU17" s="29"/>
      <c r="CV17" s="28"/>
      <c r="CW17" s="26"/>
      <c r="CX17" s="26"/>
      <c r="CY17" s="29"/>
      <c r="CZ17" s="28"/>
      <c r="DA17" s="26"/>
      <c r="DB17" s="26"/>
      <c r="DC17" s="29"/>
    </row>
    <row r="18" spans="1:107" ht="19.899999999999999" customHeight="1" x14ac:dyDescent="0.25">
      <c r="A18" s="179"/>
      <c r="B18" s="156" t="str">
        <f>Jugadores!H17</f>
        <v xml:space="preserve">Jorge Iván Gaviria </v>
      </c>
      <c r="C18" s="157"/>
      <c r="D18" s="24">
        <f t="shared" si="0"/>
        <v>4</v>
      </c>
      <c r="E18" s="24">
        <f t="shared" si="1"/>
        <v>0</v>
      </c>
      <c r="F18" s="115">
        <f t="shared" si="2"/>
        <v>1</v>
      </c>
      <c r="G18" s="115">
        <f t="shared" si="3"/>
        <v>0</v>
      </c>
      <c r="H18" s="28"/>
      <c r="I18" s="26"/>
      <c r="J18" s="26"/>
      <c r="K18" s="29"/>
      <c r="L18" s="28">
        <v>2</v>
      </c>
      <c r="M18" s="26"/>
      <c r="N18" s="26"/>
      <c r="O18" s="29"/>
      <c r="P18" s="28"/>
      <c r="Q18" s="26"/>
      <c r="R18" s="26"/>
      <c r="S18" s="29"/>
      <c r="T18" s="28"/>
      <c r="U18" s="26"/>
      <c r="V18" s="26"/>
      <c r="W18" s="29"/>
      <c r="X18" s="28"/>
      <c r="Y18" s="26"/>
      <c r="Z18" s="26"/>
      <c r="AA18" s="29"/>
      <c r="AB18" s="28"/>
      <c r="AC18" s="26"/>
      <c r="AD18" s="26"/>
      <c r="AE18" s="29"/>
      <c r="AF18" s="28"/>
      <c r="AG18" s="26"/>
      <c r="AH18" s="26"/>
      <c r="AI18" s="29"/>
      <c r="AJ18" s="28">
        <v>1</v>
      </c>
      <c r="AK18" s="26"/>
      <c r="AL18" s="26"/>
      <c r="AM18" s="29"/>
      <c r="AN18" s="28"/>
      <c r="AO18" s="26"/>
      <c r="AP18" s="26"/>
      <c r="AQ18" s="29"/>
      <c r="AR18" s="28"/>
      <c r="AS18" s="26"/>
      <c r="AT18" s="26"/>
      <c r="AU18" s="29"/>
      <c r="AV18" s="28"/>
      <c r="AW18" s="26"/>
      <c r="AX18" s="26"/>
      <c r="AY18" s="29"/>
      <c r="AZ18" s="28"/>
      <c r="BA18" s="26"/>
      <c r="BB18" s="26"/>
      <c r="BC18" s="29"/>
      <c r="BD18" s="28"/>
      <c r="BE18" s="26"/>
      <c r="BF18" s="26"/>
      <c r="BG18" s="29"/>
      <c r="BH18" s="28"/>
      <c r="BI18" s="26"/>
      <c r="BJ18" s="26"/>
      <c r="BK18" s="29"/>
      <c r="BL18" s="28"/>
      <c r="BM18" s="26"/>
      <c r="BN18" s="26"/>
      <c r="BO18" s="29"/>
      <c r="BP18" s="28"/>
      <c r="BQ18" s="26"/>
      <c r="BR18" s="26"/>
      <c r="BS18" s="29"/>
      <c r="BT18" s="28"/>
      <c r="BU18" s="26"/>
      <c r="BV18" s="26"/>
      <c r="BW18" s="29"/>
      <c r="BX18" s="28"/>
      <c r="BY18" s="26"/>
      <c r="BZ18" s="26"/>
      <c r="CA18" s="29"/>
      <c r="CB18" s="28"/>
      <c r="CC18" s="26"/>
      <c r="CD18" s="26"/>
      <c r="CE18" s="29"/>
      <c r="CF18" s="28">
        <v>1</v>
      </c>
      <c r="CG18" s="26"/>
      <c r="CH18" s="26"/>
      <c r="CI18" s="29">
        <v>1</v>
      </c>
      <c r="CJ18" s="28"/>
      <c r="CK18" s="26"/>
      <c r="CL18" s="26"/>
      <c r="CM18" s="29"/>
      <c r="CN18" s="28"/>
      <c r="CO18" s="26"/>
      <c r="CP18" s="26"/>
      <c r="CQ18" s="29"/>
      <c r="CR18" s="28"/>
      <c r="CS18" s="26"/>
      <c r="CT18" s="26"/>
      <c r="CU18" s="29"/>
      <c r="CV18" s="28"/>
      <c r="CW18" s="26"/>
      <c r="CX18" s="26"/>
      <c r="CY18" s="29"/>
      <c r="CZ18" s="28"/>
      <c r="DA18" s="26"/>
      <c r="DB18" s="26"/>
      <c r="DC18" s="29"/>
    </row>
    <row r="19" spans="1:107" ht="14.45" customHeight="1" x14ac:dyDescent="0.25">
      <c r="B19" s="158" t="s">
        <v>105</v>
      </c>
      <c r="C19" s="159"/>
      <c r="D19" s="160"/>
      <c r="E19" s="160"/>
      <c r="F19" s="160"/>
      <c r="G19" s="160"/>
      <c r="H19" s="28"/>
      <c r="I19" s="26"/>
      <c r="J19" s="26"/>
      <c r="K19" s="29"/>
      <c r="L19" s="28"/>
      <c r="M19" s="26"/>
      <c r="N19" s="26"/>
      <c r="O19" s="29"/>
      <c r="P19" s="28"/>
      <c r="Q19" s="26"/>
      <c r="R19" s="26"/>
      <c r="S19" s="29"/>
      <c r="T19" s="28"/>
      <c r="U19" s="26"/>
      <c r="V19" s="26"/>
      <c r="W19" s="29"/>
      <c r="X19" s="28"/>
      <c r="Y19" s="26"/>
      <c r="Z19" s="26"/>
      <c r="AA19" s="29"/>
      <c r="AB19" s="28"/>
      <c r="AC19" s="26"/>
      <c r="AD19" s="26"/>
      <c r="AE19" s="29"/>
      <c r="AF19" s="28"/>
      <c r="AG19" s="26"/>
      <c r="AH19" s="26"/>
      <c r="AI19" s="29"/>
      <c r="AJ19" s="28"/>
      <c r="AK19" s="26"/>
      <c r="AL19" s="26"/>
      <c r="AM19" s="29"/>
      <c r="AN19" s="28"/>
      <c r="AO19" s="26"/>
      <c r="AP19" s="26"/>
      <c r="AQ19" s="29"/>
      <c r="AR19" s="28">
        <v>1</v>
      </c>
      <c r="AS19" s="26"/>
      <c r="AT19" s="26"/>
      <c r="AU19" s="29"/>
      <c r="AV19" s="28"/>
      <c r="AW19" s="26">
        <v>1</v>
      </c>
      <c r="AX19" s="26"/>
      <c r="AY19" s="29"/>
      <c r="AZ19" s="28"/>
      <c r="BA19" s="26"/>
      <c r="BB19" s="26"/>
      <c r="BC19" s="29"/>
      <c r="BD19" s="28"/>
      <c r="BE19" s="26"/>
      <c r="BF19" s="26"/>
      <c r="BG19" s="29"/>
      <c r="BH19" s="28"/>
      <c r="BI19" s="26"/>
      <c r="BJ19" s="26"/>
      <c r="BK19" s="29"/>
      <c r="BL19" s="28"/>
      <c r="BM19" s="26"/>
      <c r="BN19" s="26"/>
      <c r="BO19" s="29"/>
      <c r="BP19" s="28"/>
      <c r="BQ19" s="26"/>
      <c r="BR19" s="26"/>
      <c r="BS19" s="29"/>
      <c r="BT19" s="28"/>
      <c r="BU19" s="26"/>
      <c r="BV19" s="26"/>
      <c r="BW19" s="29"/>
      <c r="BX19" s="28"/>
      <c r="BY19" s="26"/>
      <c r="BZ19" s="26"/>
      <c r="CA19" s="29"/>
      <c r="CB19" s="28"/>
      <c r="CC19" s="26"/>
      <c r="CD19" s="26"/>
      <c r="CE19" s="29"/>
      <c r="CF19" s="28"/>
      <c r="CG19" s="26"/>
      <c r="CH19" s="26"/>
      <c r="CI19" s="29"/>
      <c r="CJ19" s="28"/>
      <c r="CK19" s="26"/>
      <c r="CL19" s="26"/>
      <c r="CM19" s="29"/>
      <c r="CN19" s="28"/>
      <c r="CO19" s="26"/>
      <c r="CP19" s="26"/>
      <c r="CQ19" s="29"/>
      <c r="CR19" s="28"/>
      <c r="CS19" s="26"/>
      <c r="CT19" s="26"/>
      <c r="CU19" s="29"/>
      <c r="CV19" s="28"/>
      <c r="CW19" s="26"/>
      <c r="CX19" s="26"/>
      <c r="CY19" s="29"/>
      <c r="CZ19" s="28"/>
      <c r="DA19" s="26"/>
      <c r="DB19" s="26"/>
      <c r="DC19" s="29"/>
    </row>
    <row r="20" spans="1:107" x14ac:dyDescent="0.25">
      <c r="B20" s="158" t="s">
        <v>104</v>
      </c>
      <c r="C20" s="159"/>
      <c r="D20" s="159"/>
      <c r="E20" s="159"/>
      <c r="F20" s="159"/>
      <c r="G20" s="159"/>
      <c r="H20" s="28"/>
      <c r="I20" s="26"/>
      <c r="J20" s="26"/>
      <c r="K20" s="29"/>
      <c r="L20" s="28"/>
      <c r="M20" s="26"/>
      <c r="N20" s="26"/>
      <c r="O20" s="29"/>
      <c r="P20" s="28"/>
      <c r="Q20" s="26"/>
      <c r="R20" s="26"/>
      <c r="S20" s="29"/>
      <c r="T20" s="28"/>
      <c r="U20" s="26"/>
      <c r="V20" s="26"/>
      <c r="W20" s="29"/>
      <c r="X20" s="28"/>
      <c r="Y20" s="26"/>
      <c r="Z20" s="26"/>
      <c r="AA20" s="29"/>
      <c r="AB20" s="28"/>
      <c r="AC20" s="26"/>
      <c r="AD20" s="26"/>
      <c r="AE20" s="29"/>
      <c r="AF20" s="28"/>
      <c r="AG20" s="26"/>
      <c r="AH20" s="26"/>
      <c r="AI20" s="29"/>
      <c r="AJ20" s="28"/>
      <c r="AK20" s="26"/>
      <c r="AL20" s="26"/>
      <c r="AM20" s="29"/>
      <c r="AN20" s="28"/>
      <c r="AO20" s="26"/>
      <c r="AP20" s="26"/>
      <c r="AQ20" s="29"/>
      <c r="AR20" s="28"/>
      <c r="AS20" s="26"/>
      <c r="AT20" s="26"/>
      <c r="AU20" s="29"/>
      <c r="AV20" s="28"/>
      <c r="AW20" s="26"/>
      <c r="AX20" s="26"/>
      <c r="AY20" s="29"/>
      <c r="AZ20" s="28"/>
      <c r="BA20" s="26"/>
      <c r="BB20" s="26"/>
      <c r="BC20" s="29"/>
      <c r="BD20" s="28"/>
      <c r="BE20" s="26"/>
      <c r="BF20" s="26"/>
      <c r="BG20" s="29"/>
      <c r="BH20" s="28">
        <v>3</v>
      </c>
      <c r="BI20" s="26"/>
      <c r="BJ20" s="26"/>
      <c r="BK20" s="29"/>
      <c r="BL20" s="28"/>
      <c r="BM20" s="26"/>
      <c r="BN20" s="26"/>
      <c r="BO20" s="29"/>
      <c r="BP20" s="28"/>
      <c r="BQ20" s="26"/>
      <c r="BR20" s="26"/>
      <c r="BS20" s="29"/>
      <c r="BT20" s="28"/>
      <c r="BU20" s="26"/>
      <c r="BV20" s="26"/>
      <c r="BW20" s="29"/>
      <c r="BX20" s="28"/>
      <c r="BY20" s="26"/>
      <c r="BZ20" s="26"/>
      <c r="CA20" s="29"/>
      <c r="CB20" s="28"/>
      <c r="CC20" s="26"/>
      <c r="CD20" s="26"/>
      <c r="CE20" s="29"/>
      <c r="CF20" s="28"/>
      <c r="CG20" s="26"/>
      <c r="CH20" s="26"/>
      <c r="CI20" s="29"/>
      <c r="CJ20" s="28"/>
      <c r="CK20" s="26"/>
      <c r="CL20" s="26"/>
      <c r="CM20" s="29"/>
      <c r="CN20" s="28"/>
      <c r="CO20" s="26"/>
      <c r="CP20" s="26"/>
      <c r="CQ20" s="29"/>
      <c r="CR20" s="28"/>
      <c r="CS20" s="26"/>
      <c r="CT20" s="26"/>
      <c r="CU20" s="29"/>
      <c r="CV20" s="28"/>
      <c r="CW20" s="26"/>
      <c r="CX20" s="26"/>
      <c r="CY20" s="29"/>
      <c r="CZ20" s="28"/>
      <c r="DA20" s="26"/>
      <c r="DB20" s="26"/>
      <c r="DC20" s="29"/>
    </row>
    <row r="21" spans="1:107" ht="15.75" thickBot="1" x14ac:dyDescent="0.3">
      <c r="B21" s="161" t="s">
        <v>106</v>
      </c>
      <c r="C21" s="162"/>
      <c r="D21" s="162"/>
      <c r="E21" s="162"/>
      <c r="F21" s="162"/>
      <c r="G21" s="162"/>
      <c r="H21" s="30"/>
      <c r="I21" s="31"/>
      <c r="J21" s="31"/>
      <c r="K21" s="32"/>
      <c r="L21" s="30"/>
      <c r="M21" s="31"/>
      <c r="N21" s="31"/>
      <c r="O21" s="32"/>
      <c r="P21" s="30"/>
      <c r="Q21" s="31"/>
      <c r="R21" s="31"/>
      <c r="S21" s="32"/>
      <c r="T21" s="30"/>
      <c r="U21" s="31"/>
      <c r="V21" s="31"/>
      <c r="W21" s="32"/>
      <c r="X21" s="30"/>
      <c r="Y21" s="31"/>
      <c r="Z21" s="31"/>
      <c r="AA21" s="32"/>
      <c r="AB21" s="30"/>
      <c r="AC21" s="31"/>
      <c r="AD21" s="31"/>
      <c r="AE21" s="32"/>
      <c r="AF21" s="30"/>
      <c r="AG21" s="31"/>
      <c r="AH21" s="31"/>
      <c r="AI21" s="32"/>
      <c r="AJ21" s="30"/>
      <c r="AK21" s="31"/>
      <c r="AL21" s="31"/>
      <c r="AM21" s="32"/>
      <c r="AN21" s="30"/>
      <c r="AO21" s="31"/>
      <c r="AP21" s="31"/>
      <c r="AQ21" s="32"/>
      <c r="AR21" s="30"/>
      <c r="AS21" s="31"/>
      <c r="AT21" s="31"/>
      <c r="AU21" s="32"/>
      <c r="AV21" s="30"/>
      <c r="AW21" s="31"/>
      <c r="AX21" s="31"/>
      <c r="AY21" s="32"/>
      <c r="AZ21" s="30"/>
      <c r="BA21" s="31"/>
      <c r="BB21" s="31"/>
      <c r="BC21" s="32"/>
      <c r="BD21" s="30"/>
      <c r="BE21" s="31"/>
      <c r="BF21" s="31"/>
      <c r="BG21" s="32"/>
      <c r="BH21" s="30"/>
      <c r="BI21" s="31"/>
      <c r="BJ21" s="31"/>
      <c r="BK21" s="32"/>
      <c r="BL21" s="30"/>
      <c r="BM21" s="31"/>
      <c r="BN21" s="31"/>
      <c r="BO21" s="32"/>
      <c r="BP21" s="30"/>
      <c r="BQ21" s="31"/>
      <c r="BR21" s="31"/>
      <c r="BS21" s="32"/>
      <c r="BT21" s="30"/>
      <c r="BU21" s="31"/>
      <c r="BV21" s="31"/>
      <c r="BW21" s="32"/>
      <c r="BX21" s="30"/>
      <c r="BY21" s="31"/>
      <c r="BZ21" s="31"/>
      <c r="CA21" s="32"/>
      <c r="CB21" s="30"/>
      <c r="CC21" s="31"/>
      <c r="CD21" s="31"/>
      <c r="CE21" s="32"/>
      <c r="CF21" s="30"/>
      <c r="CG21" s="31"/>
      <c r="CH21" s="31"/>
      <c r="CI21" s="32"/>
      <c r="CJ21" s="30"/>
      <c r="CK21" s="31"/>
      <c r="CL21" s="31"/>
      <c r="CM21" s="32"/>
      <c r="CN21" s="30"/>
      <c r="CO21" s="31"/>
      <c r="CP21" s="31"/>
      <c r="CQ21" s="32"/>
      <c r="CR21" s="30"/>
      <c r="CS21" s="31"/>
      <c r="CT21" s="31"/>
      <c r="CU21" s="32"/>
      <c r="CV21" s="30"/>
      <c r="CW21" s="31"/>
      <c r="CX21" s="31"/>
      <c r="CY21" s="32"/>
      <c r="CZ21" s="30"/>
      <c r="DA21" s="31"/>
      <c r="DB21" s="31"/>
      <c r="DC21" s="32"/>
    </row>
    <row r="22" spans="1:107" x14ac:dyDescent="0.25">
      <c r="B22" s="3"/>
      <c r="C22" s="27"/>
      <c r="D22" s="23">
        <f>H22+L22+P22+T22+X22+AB22+AF22+AJ22+AN22+AR22+AV22+AZ22+BD22+BH22+BL22+BP22+BT22+BX22+CB22+CF22+CJ22+CN22+CR22+CV22+CZ22</f>
        <v>66</v>
      </c>
      <c r="E22" s="23">
        <f>I22+M22+Q22+U22+Y22+AC22+AG22+AK22+AO22+AS22+AW22+BA22+BE22+BI22+BM22+BQ22+BV22+BY22+CD22+CG22+CL22+CO22+CT22+CW22+DB22</f>
        <v>28</v>
      </c>
      <c r="F22" s="23">
        <f>J22+N22+R22+V22+Z22+AD22+AH22+AL22+AP22+AT22+AX22+BB22+BF22+BJ22+BN22+BT22+BX22+CB22+CF22+CJ22+CN22+CR22+CV22+CZ22</f>
        <v>18</v>
      </c>
      <c r="G22" s="23">
        <f>K22+O22+S22+W22+AA22+AE22+AI22+AM22+AQ22+AU22+AY22+BC22+BG22+BK22+BO22+BV22+BY22+CD22+CG22+CL22+CO22+CT22+CW22+DB22</f>
        <v>4</v>
      </c>
      <c r="H22" s="33">
        <f>SUM(H4:H21)</f>
        <v>0</v>
      </c>
      <c r="I22" s="34">
        <f>SUM(I4:I18)</f>
        <v>2</v>
      </c>
      <c r="J22" s="34">
        <f>SUM(J4:J18)</f>
        <v>0</v>
      </c>
      <c r="K22" s="35">
        <f>SUM(K4:K20)</f>
        <v>0</v>
      </c>
      <c r="L22" s="33">
        <f t="shared" ref="L22" si="4">SUM(L4:L21)</f>
        <v>5</v>
      </c>
      <c r="M22" s="34">
        <f t="shared" ref="M22:N22" si="5">SUM(M4:M18)</f>
        <v>1</v>
      </c>
      <c r="N22" s="34">
        <f t="shared" si="5"/>
        <v>0</v>
      </c>
      <c r="O22" s="35">
        <f t="shared" ref="O22" si="6">SUM(O4:O20)</f>
        <v>0</v>
      </c>
      <c r="P22" s="33">
        <f t="shared" ref="P22" si="7">SUM(P4:P21)</f>
        <v>3</v>
      </c>
      <c r="Q22" s="34">
        <f t="shared" ref="Q22:R22" si="8">SUM(Q4:Q18)</f>
        <v>1</v>
      </c>
      <c r="R22" s="34">
        <f t="shared" si="8"/>
        <v>0</v>
      </c>
      <c r="S22" s="35">
        <f t="shared" ref="S22" si="9">SUM(S4:S20)</f>
        <v>0</v>
      </c>
      <c r="T22" s="33">
        <f t="shared" ref="T22" si="10">SUM(T4:T21)</f>
        <v>7</v>
      </c>
      <c r="U22" s="34">
        <f t="shared" ref="U22:V22" si="11">SUM(U4:U18)</f>
        <v>3</v>
      </c>
      <c r="V22" s="34">
        <f t="shared" si="11"/>
        <v>0</v>
      </c>
      <c r="W22" s="35">
        <f t="shared" ref="W22" si="12">SUM(W4:W20)</f>
        <v>0</v>
      </c>
      <c r="X22" s="33">
        <f t="shared" ref="X22" si="13">SUM(X4:X21)</f>
        <v>3</v>
      </c>
      <c r="Y22" s="34">
        <f t="shared" ref="Y22:Z22" si="14">SUM(Y4:Y18)</f>
        <v>5</v>
      </c>
      <c r="Z22" s="34">
        <f t="shared" si="14"/>
        <v>0</v>
      </c>
      <c r="AA22" s="35">
        <f t="shared" ref="AA22" si="15">SUM(AA4:AA20)</f>
        <v>0</v>
      </c>
      <c r="AB22" s="33">
        <f t="shared" ref="AB22" si="16">SUM(AB4:AB21)</f>
        <v>4</v>
      </c>
      <c r="AC22" s="34">
        <f>SUM(AC4:AC21)</f>
        <v>0</v>
      </c>
      <c r="AD22" s="34">
        <f t="shared" ref="AD22" si="17">SUM(AD4:AD18)</f>
        <v>0</v>
      </c>
      <c r="AE22" s="35">
        <f t="shared" ref="AE22" si="18">SUM(AE4:AE20)</f>
        <v>0</v>
      </c>
      <c r="AF22" s="33">
        <f t="shared" ref="AF22" si="19">SUM(AF4:AF21)</f>
        <v>1</v>
      </c>
      <c r="AG22" s="34">
        <f t="shared" ref="AG22:AH22" si="20">SUM(AG4:AG18)</f>
        <v>0</v>
      </c>
      <c r="AH22" s="34">
        <f t="shared" si="20"/>
        <v>1</v>
      </c>
      <c r="AI22" s="35">
        <f t="shared" ref="AI22" si="21">SUM(AI4:AI20)</f>
        <v>0</v>
      </c>
      <c r="AJ22" s="33">
        <f t="shared" ref="AJ22" si="22">SUM(AJ4:AJ21)</f>
        <v>4</v>
      </c>
      <c r="AK22" s="34">
        <f t="shared" ref="AK22:AL22" si="23">SUM(AK4:AK18)</f>
        <v>1</v>
      </c>
      <c r="AL22" s="34">
        <f t="shared" si="23"/>
        <v>0</v>
      </c>
      <c r="AM22" s="35">
        <f t="shared" ref="AM22" si="24">SUM(AM4:AM20)</f>
        <v>0</v>
      </c>
      <c r="AN22" s="33">
        <f>SUM(AN4:AN21)</f>
        <v>3</v>
      </c>
      <c r="AO22" s="34">
        <f>SUM(AO4:AO21)</f>
        <v>0</v>
      </c>
      <c r="AP22" s="34">
        <f t="shared" ref="AP22:AS22" si="25">SUM(AP4:AP21)</f>
        <v>0</v>
      </c>
      <c r="AQ22" s="34">
        <f t="shared" si="25"/>
        <v>1</v>
      </c>
      <c r="AR22" s="33">
        <f t="shared" si="25"/>
        <v>2</v>
      </c>
      <c r="AS22" s="34">
        <f t="shared" si="25"/>
        <v>2</v>
      </c>
      <c r="AT22" s="34">
        <f t="shared" ref="AT22" si="26">SUM(AT4:AT21)</f>
        <v>0</v>
      </c>
      <c r="AU22" s="34">
        <f t="shared" ref="AU22:AW22" si="27">SUM(AU4:AU21)</f>
        <v>0</v>
      </c>
      <c r="AV22" s="33">
        <f t="shared" si="27"/>
        <v>2</v>
      </c>
      <c r="AW22" s="34">
        <f t="shared" si="27"/>
        <v>2</v>
      </c>
      <c r="AX22" s="34">
        <f t="shared" ref="AX22" si="28">SUM(AX4:AX21)</f>
        <v>0</v>
      </c>
      <c r="AY22" s="34">
        <f t="shared" ref="AY22:BA22" si="29">SUM(AY4:AY21)</f>
        <v>0</v>
      </c>
      <c r="AZ22" s="33">
        <f>SUM(AZ4:AZ21)</f>
        <v>0</v>
      </c>
      <c r="BA22" s="34">
        <f t="shared" si="29"/>
        <v>1</v>
      </c>
      <c r="BB22" s="34">
        <f t="shared" ref="BB22" si="30">SUM(BB4:BB21)</f>
        <v>0</v>
      </c>
      <c r="BC22" s="34">
        <f t="shared" ref="BC22:BE22" si="31">SUM(BC4:BC21)</f>
        <v>0</v>
      </c>
      <c r="BD22" s="33">
        <f t="shared" si="31"/>
        <v>1</v>
      </c>
      <c r="BE22" s="34">
        <f t="shared" si="31"/>
        <v>3</v>
      </c>
      <c r="BF22" s="34">
        <f t="shared" ref="BF22" si="32">SUM(BF4:BF21)</f>
        <v>0</v>
      </c>
      <c r="BG22" s="34">
        <f t="shared" ref="BG22:BI22" si="33">SUM(BG4:BG21)</f>
        <v>0</v>
      </c>
      <c r="BH22" s="33">
        <f t="shared" si="33"/>
        <v>3</v>
      </c>
      <c r="BI22" s="34">
        <f t="shared" si="33"/>
        <v>0</v>
      </c>
      <c r="BJ22" s="34">
        <f t="shared" ref="BJ22" si="34">SUM(BJ4:BJ21)</f>
        <v>0</v>
      </c>
      <c r="BK22" s="34">
        <f t="shared" ref="BK22:BM22" si="35">SUM(BK4:BK21)</f>
        <v>0</v>
      </c>
      <c r="BL22" s="33">
        <f t="shared" si="35"/>
        <v>3</v>
      </c>
      <c r="BM22" s="34">
        <f t="shared" si="35"/>
        <v>0</v>
      </c>
      <c r="BN22" s="34">
        <f t="shared" ref="BN22" si="36">SUM(BN4:BN21)</f>
        <v>0</v>
      </c>
      <c r="BO22" s="34">
        <f t="shared" ref="BO22:BQ22" si="37">SUM(BO4:BO21)</f>
        <v>0</v>
      </c>
      <c r="BP22" s="33">
        <f t="shared" si="37"/>
        <v>8</v>
      </c>
      <c r="BQ22" s="34">
        <f t="shared" si="37"/>
        <v>4</v>
      </c>
      <c r="BR22" s="34">
        <f t="shared" ref="BR22" si="38">SUM(BR4:BR21)</f>
        <v>0</v>
      </c>
      <c r="BS22" s="34">
        <f t="shared" ref="BS22:BU22" si="39">SUM(BS4:BS21)</f>
        <v>0</v>
      </c>
      <c r="BT22" s="33">
        <f t="shared" si="39"/>
        <v>6</v>
      </c>
      <c r="BU22" s="34">
        <f t="shared" si="39"/>
        <v>3</v>
      </c>
      <c r="BV22" s="34">
        <f t="shared" ref="BV22" si="40">SUM(BV4:BV21)</f>
        <v>0</v>
      </c>
      <c r="BW22" s="34">
        <f t="shared" ref="BW22:BY22" si="41">SUM(BW4:BW21)</f>
        <v>0</v>
      </c>
      <c r="BX22" s="33">
        <f t="shared" si="41"/>
        <v>2</v>
      </c>
      <c r="BY22" s="34">
        <f t="shared" si="41"/>
        <v>1</v>
      </c>
      <c r="BZ22" s="34">
        <f t="shared" ref="BZ22" si="42">SUM(BZ4:BZ21)</f>
        <v>0</v>
      </c>
      <c r="CA22" s="34">
        <f t="shared" ref="CA22:CC22" si="43">SUM(CA4:CA21)</f>
        <v>0</v>
      </c>
      <c r="CB22" s="33">
        <f t="shared" si="43"/>
        <v>2</v>
      </c>
      <c r="CC22" s="34">
        <f t="shared" si="43"/>
        <v>2</v>
      </c>
      <c r="CD22" s="34">
        <f t="shared" ref="CD22" si="44">SUM(CD4:CD21)</f>
        <v>0</v>
      </c>
      <c r="CE22" s="34">
        <f t="shared" ref="CE22:CG22" si="45">SUM(CE4:CE21)</f>
        <v>0</v>
      </c>
      <c r="CF22" s="33">
        <f t="shared" si="45"/>
        <v>1</v>
      </c>
      <c r="CG22" s="34">
        <f t="shared" si="45"/>
        <v>0</v>
      </c>
      <c r="CH22" s="34">
        <f t="shared" ref="CH22" si="46">SUM(CH4:CH21)</f>
        <v>0</v>
      </c>
      <c r="CI22" s="34">
        <f t="shared" ref="CI22:CK22" si="47">SUM(CI4:CI21)</f>
        <v>2</v>
      </c>
      <c r="CJ22" s="33">
        <f t="shared" si="47"/>
        <v>5</v>
      </c>
      <c r="CK22" s="34">
        <f t="shared" si="47"/>
        <v>0</v>
      </c>
      <c r="CL22" s="34">
        <f t="shared" ref="CL22" si="48">SUM(CL4:CL21)</f>
        <v>0</v>
      </c>
      <c r="CM22" s="34">
        <f t="shared" ref="CM22:CO22" si="49">SUM(CM4:CM21)</f>
        <v>0</v>
      </c>
      <c r="CN22" s="33">
        <f t="shared" si="49"/>
        <v>1</v>
      </c>
      <c r="CO22" s="34">
        <f t="shared" si="49"/>
        <v>2</v>
      </c>
      <c r="CP22" s="34">
        <f t="shared" ref="CP22" si="50">SUM(CP4:CP21)</f>
        <v>0</v>
      </c>
      <c r="CQ22" s="34">
        <f t="shared" ref="CQ22:CS22" si="51">SUM(CQ4:CQ21)</f>
        <v>0</v>
      </c>
      <c r="CR22" s="33">
        <f t="shared" si="51"/>
        <v>0</v>
      </c>
      <c r="CS22" s="34">
        <f t="shared" si="51"/>
        <v>0</v>
      </c>
      <c r="CT22" s="34">
        <f t="shared" ref="CT22" si="52">SUM(CT4:CT21)</f>
        <v>0</v>
      </c>
      <c r="CU22" s="34">
        <f t="shared" ref="CU22:CW22" si="53">SUM(CU4:CU21)</f>
        <v>0</v>
      </c>
      <c r="CV22" s="33">
        <f t="shared" si="53"/>
        <v>0</v>
      </c>
      <c r="CW22" s="34">
        <f t="shared" si="53"/>
        <v>0</v>
      </c>
      <c r="CX22" s="34">
        <f t="shared" ref="CX22" si="54">SUM(CX4:CX21)</f>
        <v>0</v>
      </c>
      <c r="CY22" s="34">
        <f t="shared" ref="CY22:DA22" si="55">SUM(CY4:CY21)</f>
        <v>0</v>
      </c>
      <c r="CZ22" s="33">
        <f t="shared" si="55"/>
        <v>0</v>
      </c>
      <c r="DA22" s="34">
        <f t="shared" si="55"/>
        <v>0</v>
      </c>
      <c r="DB22" s="34">
        <f t="shared" ref="DB22" si="56">SUM(DB4:DB21)</f>
        <v>0</v>
      </c>
      <c r="DC22" s="34">
        <f t="shared" ref="DC22" si="57">SUM(DC4:DC21)</f>
        <v>0</v>
      </c>
    </row>
    <row r="23" spans="1:107" ht="14.45" customHeight="1" x14ac:dyDescent="0.25">
      <c r="B23" s="3"/>
      <c r="C23" s="27"/>
      <c r="D23" s="148" t="s">
        <v>86</v>
      </c>
      <c r="E23" s="148" t="s">
        <v>97</v>
      </c>
      <c r="F23" s="148" t="s">
        <v>99</v>
      </c>
      <c r="G23" s="148" t="s">
        <v>98</v>
      </c>
      <c r="H23" s="145" t="s">
        <v>86</v>
      </c>
      <c r="I23" s="148" t="s">
        <v>97</v>
      </c>
      <c r="J23" s="148" t="s">
        <v>99</v>
      </c>
      <c r="K23" s="151" t="s">
        <v>98</v>
      </c>
      <c r="L23" s="145" t="s">
        <v>86</v>
      </c>
      <c r="M23" s="148" t="s">
        <v>97</v>
      </c>
      <c r="N23" s="148" t="s">
        <v>99</v>
      </c>
      <c r="O23" s="151" t="s">
        <v>98</v>
      </c>
      <c r="P23" s="145" t="s">
        <v>86</v>
      </c>
      <c r="Q23" s="148" t="s">
        <v>97</v>
      </c>
      <c r="R23" s="148" t="s">
        <v>99</v>
      </c>
      <c r="S23" s="151" t="s">
        <v>98</v>
      </c>
      <c r="T23" s="145" t="s">
        <v>86</v>
      </c>
      <c r="U23" s="148" t="s">
        <v>97</v>
      </c>
      <c r="V23" s="148" t="s">
        <v>99</v>
      </c>
      <c r="W23" s="151" t="s">
        <v>98</v>
      </c>
      <c r="X23" s="145" t="s">
        <v>86</v>
      </c>
      <c r="Y23" s="148" t="s">
        <v>97</v>
      </c>
      <c r="Z23" s="148" t="s">
        <v>99</v>
      </c>
      <c r="AA23" s="151" t="s">
        <v>98</v>
      </c>
      <c r="AB23" s="145" t="s">
        <v>86</v>
      </c>
      <c r="AC23" s="148" t="s">
        <v>97</v>
      </c>
      <c r="AD23" s="148" t="s">
        <v>99</v>
      </c>
      <c r="AE23" s="151" t="s">
        <v>98</v>
      </c>
      <c r="AF23" s="145" t="s">
        <v>86</v>
      </c>
      <c r="AG23" s="148" t="s">
        <v>97</v>
      </c>
      <c r="AH23" s="148" t="s">
        <v>99</v>
      </c>
      <c r="AI23" s="151" t="s">
        <v>98</v>
      </c>
      <c r="AJ23" s="145" t="s">
        <v>86</v>
      </c>
      <c r="AK23" s="148" t="s">
        <v>97</v>
      </c>
      <c r="AL23" s="148" t="s">
        <v>99</v>
      </c>
      <c r="AM23" s="151" t="s">
        <v>98</v>
      </c>
      <c r="AN23" s="145" t="s">
        <v>86</v>
      </c>
      <c r="AO23" s="148" t="s">
        <v>97</v>
      </c>
      <c r="AP23" s="148" t="s">
        <v>99</v>
      </c>
      <c r="AQ23" s="151" t="s">
        <v>98</v>
      </c>
      <c r="AR23" s="145" t="s">
        <v>86</v>
      </c>
      <c r="AS23" s="148" t="s">
        <v>97</v>
      </c>
      <c r="AT23" s="148" t="s">
        <v>99</v>
      </c>
      <c r="AU23" s="151" t="s">
        <v>98</v>
      </c>
      <c r="AV23" s="145" t="s">
        <v>86</v>
      </c>
      <c r="AW23" s="148" t="s">
        <v>97</v>
      </c>
      <c r="AX23" s="148" t="s">
        <v>99</v>
      </c>
      <c r="AY23" s="151" t="s">
        <v>98</v>
      </c>
      <c r="AZ23" s="145" t="s">
        <v>86</v>
      </c>
      <c r="BA23" s="148" t="s">
        <v>97</v>
      </c>
      <c r="BB23" s="148" t="s">
        <v>99</v>
      </c>
      <c r="BC23" s="151" t="s">
        <v>98</v>
      </c>
      <c r="BD23" s="145" t="s">
        <v>86</v>
      </c>
      <c r="BE23" s="148" t="s">
        <v>97</v>
      </c>
      <c r="BF23" s="148" t="s">
        <v>99</v>
      </c>
      <c r="BG23" s="151" t="s">
        <v>98</v>
      </c>
      <c r="BH23" s="145" t="s">
        <v>86</v>
      </c>
      <c r="BI23" s="148" t="s">
        <v>97</v>
      </c>
      <c r="BJ23" s="148" t="s">
        <v>99</v>
      </c>
      <c r="BK23" s="151" t="s">
        <v>98</v>
      </c>
      <c r="BL23" s="145" t="s">
        <v>86</v>
      </c>
      <c r="BM23" s="148" t="s">
        <v>97</v>
      </c>
      <c r="BN23" s="148" t="s">
        <v>99</v>
      </c>
      <c r="BO23" s="151" t="s">
        <v>98</v>
      </c>
      <c r="BP23" s="145" t="s">
        <v>86</v>
      </c>
      <c r="BQ23" s="148" t="s">
        <v>97</v>
      </c>
      <c r="BR23" s="148" t="s">
        <v>99</v>
      </c>
      <c r="BS23" s="151" t="s">
        <v>98</v>
      </c>
      <c r="BT23" s="145" t="s">
        <v>86</v>
      </c>
      <c r="BU23" s="148" t="s">
        <v>97</v>
      </c>
      <c r="BV23" s="148" t="s">
        <v>99</v>
      </c>
      <c r="BW23" s="151" t="s">
        <v>98</v>
      </c>
      <c r="BX23" s="145" t="s">
        <v>86</v>
      </c>
      <c r="BY23" s="148" t="s">
        <v>97</v>
      </c>
      <c r="BZ23" s="148" t="s">
        <v>99</v>
      </c>
      <c r="CA23" s="151" t="s">
        <v>98</v>
      </c>
      <c r="CB23" s="145" t="s">
        <v>86</v>
      </c>
      <c r="CC23" s="148" t="s">
        <v>97</v>
      </c>
      <c r="CD23" s="148" t="s">
        <v>99</v>
      </c>
      <c r="CE23" s="151" t="s">
        <v>98</v>
      </c>
      <c r="CF23" s="145" t="s">
        <v>86</v>
      </c>
      <c r="CG23" s="148" t="s">
        <v>97</v>
      </c>
      <c r="CH23" s="148" t="s">
        <v>99</v>
      </c>
      <c r="CI23" s="151" t="s">
        <v>98</v>
      </c>
      <c r="CJ23" s="145" t="s">
        <v>86</v>
      </c>
      <c r="CK23" s="148" t="s">
        <v>97</v>
      </c>
      <c r="CL23" s="148" t="s">
        <v>99</v>
      </c>
      <c r="CM23" s="151" t="s">
        <v>98</v>
      </c>
      <c r="CN23" s="145" t="s">
        <v>86</v>
      </c>
      <c r="CO23" s="148" t="s">
        <v>97</v>
      </c>
      <c r="CP23" s="148" t="s">
        <v>99</v>
      </c>
      <c r="CQ23" s="151" t="s">
        <v>98</v>
      </c>
      <c r="CR23" s="145" t="s">
        <v>86</v>
      </c>
      <c r="CS23" s="148" t="s">
        <v>97</v>
      </c>
      <c r="CT23" s="148" t="s">
        <v>99</v>
      </c>
      <c r="CU23" s="151" t="s">
        <v>98</v>
      </c>
      <c r="CV23" s="145" t="s">
        <v>86</v>
      </c>
      <c r="CW23" s="148" t="s">
        <v>97</v>
      </c>
      <c r="CX23" s="148" t="s">
        <v>99</v>
      </c>
      <c r="CY23" s="151" t="s">
        <v>98</v>
      </c>
      <c r="CZ23" s="145" t="s">
        <v>86</v>
      </c>
      <c r="DA23" s="148" t="s">
        <v>97</v>
      </c>
      <c r="DB23" s="148" t="s">
        <v>99</v>
      </c>
      <c r="DC23" s="151" t="s">
        <v>98</v>
      </c>
    </row>
    <row r="24" spans="1:107" x14ac:dyDescent="0.25">
      <c r="B24" s="3"/>
      <c r="C24" s="27"/>
      <c r="D24" s="149"/>
      <c r="E24" s="149"/>
      <c r="F24" s="149"/>
      <c r="G24" s="149"/>
      <c r="H24" s="146"/>
      <c r="I24" s="149"/>
      <c r="J24" s="149"/>
      <c r="K24" s="152"/>
      <c r="L24" s="146"/>
      <c r="M24" s="149"/>
      <c r="N24" s="149"/>
      <c r="O24" s="152"/>
      <c r="P24" s="146"/>
      <c r="Q24" s="149"/>
      <c r="R24" s="149"/>
      <c r="S24" s="152"/>
      <c r="T24" s="146"/>
      <c r="U24" s="149"/>
      <c r="V24" s="149"/>
      <c r="W24" s="152"/>
      <c r="X24" s="146"/>
      <c r="Y24" s="149"/>
      <c r="Z24" s="149"/>
      <c r="AA24" s="152"/>
      <c r="AB24" s="146"/>
      <c r="AC24" s="149"/>
      <c r="AD24" s="149"/>
      <c r="AE24" s="152"/>
      <c r="AF24" s="146"/>
      <c r="AG24" s="149"/>
      <c r="AH24" s="149"/>
      <c r="AI24" s="152"/>
      <c r="AJ24" s="146"/>
      <c r="AK24" s="149"/>
      <c r="AL24" s="149"/>
      <c r="AM24" s="152"/>
      <c r="AN24" s="146"/>
      <c r="AO24" s="149"/>
      <c r="AP24" s="149"/>
      <c r="AQ24" s="152"/>
      <c r="AR24" s="146"/>
      <c r="AS24" s="149"/>
      <c r="AT24" s="149"/>
      <c r="AU24" s="152"/>
      <c r="AV24" s="146"/>
      <c r="AW24" s="149"/>
      <c r="AX24" s="149"/>
      <c r="AY24" s="152"/>
      <c r="AZ24" s="146"/>
      <c r="BA24" s="149"/>
      <c r="BB24" s="149"/>
      <c r="BC24" s="152"/>
      <c r="BD24" s="146"/>
      <c r="BE24" s="149"/>
      <c r="BF24" s="149"/>
      <c r="BG24" s="152"/>
      <c r="BH24" s="146"/>
      <c r="BI24" s="149"/>
      <c r="BJ24" s="149"/>
      <c r="BK24" s="152"/>
      <c r="BL24" s="146"/>
      <c r="BM24" s="149"/>
      <c r="BN24" s="149"/>
      <c r="BO24" s="152"/>
      <c r="BP24" s="146"/>
      <c r="BQ24" s="149"/>
      <c r="BR24" s="149"/>
      <c r="BS24" s="152"/>
      <c r="BT24" s="146"/>
      <c r="BU24" s="149"/>
      <c r="BV24" s="149"/>
      <c r="BW24" s="152"/>
      <c r="BX24" s="146"/>
      <c r="BY24" s="149"/>
      <c r="BZ24" s="149"/>
      <c r="CA24" s="152"/>
      <c r="CB24" s="146"/>
      <c r="CC24" s="149"/>
      <c r="CD24" s="149"/>
      <c r="CE24" s="152"/>
      <c r="CF24" s="146"/>
      <c r="CG24" s="149"/>
      <c r="CH24" s="149"/>
      <c r="CI24" s="152"/>
      <c r="CJ24" s="146"/>
      <c r="CK24" s="149"/>
      <c r="CL24" s="149"/>
      <c r="CM24" s="152"/>
      <c r="CN24" s="146"/>
      <c r="CO24" s="149"/>
      <c r="CP24" s="149"/>
      <c r="CQ24" s="152"/>
      <c r="CR24" s="146"/>
      <c r="CS24" s="149"/>
      <c r="CT24" s="149"/>
      <c r="CU24" s="152"/>
      <c r="CV24" s="146"/>
      <c r="CW24" s="149"/>
      <c r="CX24" s="149"/>
      <c r="CY24" s="152"/>
      <c r="CZ24" s="146"/>
      <c r="DA24" s="149"/>
      <c r="DB24" s="149"/>
      <c r="DC24" s="152"/>
    </row>
    <row r="25" spans="1:107" x14ac:dyDescent="0.25">
      <c r="D25" s="149"/>
      <c r="E25" s="149"/>
      <c r="F25" s="149"/>
      <c r="G25" s="149"/>
      <c r="H25" s="146"/>
      <c r="I25" s="149"/>
      <c r="J25" s="149"/>
      <c r="K25" s="152"/>
      <c r="L25" s="146"/>
      <c r="M25" s="149"/>
      <c r="N25" s="149"/>
      <c r="O25" s="152"/>
      <c r="P25" s="146"/>
      <c r="Q25" s="149"/>
      <c r="R25" s="149"/>
      <c r="S25" s="152"/>
      <c r="T25" s="146"/>
      <c r="U25" s="149"/>
      <c r="V25" s="149"/>
      <c r="W25" s="152"/>
      <c r="X25" s="146"/>
      <c r="Y25" s="149"/>
      <c r="Z25" s="149"/>
      <c r="AA25" s="152"/>
      <c r="AB25" s="146"/>
      <c r="AC25" s="149"/>
      <c r="AD25" s="149"/>
      <c r="AE25" s="152"/>
      <c r="AF25" s="146"/>
      <c r="AG25" s="149"/>
      <c r="AH25" s="149"/>
      <c r="AI25" s="152"/>
      <c r="AJ25" s="146"/>
      <c r="AK25" s="149"/>
      <c r="AL25" s="149"/>
      <c r="AM25" s="152"/>
      <c r="AN25" s="146"/>
      <c r="AO25" s="149"/>
      <c r="AP25" s="149"/>
      <c r="AQ25" s="152"/>
      <c r="AR25" s="146"/>
      <c r="AS25" s="149"/>
      <c r="AT25" s="149"/>
      <c r="AU25" s="152"/>
      <c r="AV25" s="146"/>
      <c r="AW25" s="149"/>
      <c r="AX25" s="149"/>
      <c r="AY25" s="152"/>
      <c r="AZ25" s="146"/>
      <c r="BA25" s="149"/>
      <c r="BB25" s="149"/>
      <c r="BC25" s="152"/>
      <c r="BD25" s="146"/>
      <c r="BE25" s="149"/>
      <c r="BF25" s="149"/>
      <c r="BG25" s="152"/>
      <c r="BH25" s="146"/>
      <c r="BI25" s="149"/>
      <c r="BJ25" s="149"/>
      <c r="BK25" s="152"/>
      <c r="BL25" s="146"/>
      <c r="BM25" s="149"/>
      <c r="BN25" s="149"/>
      <c r="BO25" s="152"/>
      <c r="BP25" s="146"/>
      <c r="BQ25" s="149"/>
      <c r="BR25" s="149"/>
      <c r="BS25" s="152"/>
      <c r="BT25" s="146"/>
      <c r="BU25" s="149"/>
      <c r="BV25" s="149"/>
      <c r="BW25" s="152"/>
      <c r="BX25" s="146"/>
      <c r="BY25" s="149"/>
      <c r="BZ25" s="149"/>
      <c r="CA25" s="152"/>
      <c r="CB25" s="146"/>
      <c r="CC25" s="149"/>
      <c r="CD25" s="149"/>
      <c r="CE25" s="152"/>
      <c r="CF25" s="146"/>
      <c r="CG25" s="149"/>
      <c r="CH25" s="149"/>
      <c r="CI25" s="152"/>
      <c r="CJ25" s="146"/>
      <c r="CK25" s="149"/>
      <c r="CL25" s="149"/>
      <c r="CM25" s="152"/>
      <c r="CN25" s="146"/>
      <c r="CO25" s="149"/>
      <c r="CP25" s="149"/>
      <c r="CQ25" s="152"/>
      <c r="CR25" s="146"/>
      <c r="CS25" s="149"/>
      <c r="CT25" s="149"/>
      <c r="CU25" s="152"/>
      <c r="CV25" s="146"/>
      <c r="CW25" s="149"/>
      <c r="CX25" s="149"/>
      <c r="CY25" s="152"/>
      <c r="CZ25" s="146"/>
      <c r="DA25" s="149"/>
      <c r="DB25" s="149"/>
      <c r="DC25" s="152"/>
    </row>
    <row r="26" spans="1:107" ht="15.75" thickBot="1" x14ac:dyDescent="0.3">
      <c r="D26" s="149"/>
      <c r="E26" s="149"/>
      <c r="F26" s="149"/>
      <c r="G26" s="149"/>
      <c r="H26" s="147"/>
      <c r="I26" s="150"/>
      <c r="J26" s="150"/>
      <c r="K26" s="153"/>
      <c r="L26" s="147"/>
      <c r="M26" s="150"/>
      <c r="N26" s="150"/>
      <c r="O26" s="153"/>
      <c r="P26" s="147"/>
      <c r="Q26" s="150"/>
      <c r="R26" s="150"/>
      <c r="S26" s="153"/>
      <c r="T26" s="147"/>
      <c r="U26" s="150"/>
      <c r="V26" s="150"/>
      <c r="W26" s="153"/>
      <c r="X26" s="147"/>
      <c r="Y26" s="150"/>
      <c r="Z26" s="150"/>
      <c r="AA26" s="153"/>
      <c r="AB26" s="147"/>
      <c r="AC26" s="150"/>
      <c r="AD26" s="150"/>
      <c r="AE26" s="153"/>
      <c r="AF26" s="147"/>
      <c r="AG26" s="150"/>
      <c r="AH26" s="150"/>
      <c r="AI26" s="153"/>
      <c r="AJ26" s="147"/>
      <c r="AK26" s="150"/>
      <c r="AL26" s="150"/>
      <c r="AM26" s="153"/>
      <c r="AN26" s="147"/>
      <c r="AO26" s="150"/>
      <c r="AP26" s="150"/>
      <c r="AQ26" s="153"/>
      <c r="AR26" s="147"/>
      <c r="AS26" s="150"/>
      <c r="AT26" s="150"/>
      <c r="AU26" s="153"/>
      <c r="AV26" s="147"/>
      <c r="AW26" s="150"/>
      <c r="AX26" s="150"/>
      <c r="AY26" s="153"/>
      <c r="AZ26" s="147"/>
      <c r="BA26" s="150"/>
      <c r="BB26" s="150"/>
      <c r="BC26" s="153"/>
      <c r="BD26" s="147"/>
      <c r="BE26" s="150"/>
      <c r="BF26" s="150"/>
      <c r="BG26" s="153"/>
      <c r="BH26" s="147"/>
      <c r="BI26" s="150"/>
      <c r="BJ26" s="150"/>
      <c r="BK26" s="153"/>
      <c r="BL26" s="147"/>
      <c r="BM26" s="150"/>
      <c r="BN26" s="150"/>
      <c r="BO26" s="153"/>
      <c r="BP26" s="147"/>
      <c r="BQ26" s="150"/>
      <c r="BR26" s="150"/>
      <c r="BS26" s="153"/>
      <c r="BT26" s="147"/>
      <c r="BU26" s="150"/>
      <c r="BV26" s="150"/>
      <c r="BW26" s="153"/>
      <c r="BX26" s="147"/>
      <c r="BY26" s="150"/>
      <c r="BZ26" s="150"/>
      <c r="CA26" s="153"/>
      <c r="CB26" s="147"/>
      <c r="CC26" s="150"/>
      <c r="CD26" s="150"/>
      <c r="CE26" s="153"/>
      <c r="CF26" s="147"/>
      <c r="CG26" s="150"/>
      <c r="CH26" s="150"/>
      <c r="CI26" s="153"/>
      <c r="CJ26" s="147"/>
      <c r="CK26" s="150"/>
      <c r="CL26" s="150"/>
      <c r="CM26" s="153"/>
      <c r="CN26" s="147"/>
      <c r="CO26" s="150"/>
      <c r="CP26" s="150"/>
      <c r="CQ26" s="153"/>
      <c r="CR26" s="147"/>
      <c r="CS26" s="150"/>
      <c r="CT26" s="150"/>
      <c r="CU26" s="153"/>
      <c r="CV26" s="147"/>
      <c r="CW26" s="150"/>
      <c r="CX26" s="150"/>
      <c r="CY26" s="153"/>
      <c r="CZ26" s="147"/>
      <c r="DA26" s="150"/>
      <c r="DB26" s="150"/>
      <c r="DC26" s="153"/>
    </row>
    <row r="27" spans="1:107" ht="15.75" x14ac:dyDescent="0.25">
      <c r="X27" s="80"/>
      <c r="Z27" s="80"/>
      <c r="AA27" s="80"/>
      <c r="AD27" s="80"/>
      <c r="AF27" s="80"/>
      <c r="AJ27" s="80"/>
    </row>
    <row r="28" spans="1:107" ht="15.75" x14ac:dyDescent="0.25">
      <c r="V28" s="80"/>
      <c r="Z28" s="80"/>
      <c r="AA28" s="80"/>
      <c r="AD28" s="80"/>
      <c r="AF28" s="80"/>
      <c r="AI28" s="80"/>
      <c r="AJ28" s="80"/>
    </row>
  </sheetData>
  <mergeCells count="200">
    <mergeCell ref="AR1:AU1"/>
    <mergeCell ref="AV1:AY1"/>
    <mergeCell ref="CV1:CY1"/>
    <mergeCell ref="CZ1:DC1"/>
    <mergeCell ref="BX1:CA1"/>
    <mergeCell ref="CB1:CE1"/>
    <mergeCell ref="CF1:CI1"/>
    <mergeCell ref="CJ1:CM1"/>
    <mergeCell ref="CN1:CQ1"/>
    <mergeCell ref="CR1:CU1"/>
    <mergeCell ref="AZ1:BC1"/>
    <mergeCell ref="BD1:BG1"/>
    <mergeCell ref="BH1:BK1"/>
    <mergeCell ref="BL1:BO1"/>
    <mergeCell ref="BP1:BS1"/>
    <mergeCell ref="BT1:BW1"/>
    <mergeCell ref="AV3:AY3"/>
    <mergeCell ref="AZ3:BC3"/>
    <mergeCell ref="BD3:BG3"/>
    <mergeCell ref="BH3:BK3"/>
    <mergeCell ref="BL3:BO3"/>
    <mergeCell ref="A1:C3"/>
    <mergeCell ref="H1:K1"/>
    <mergeCell ref="L1:O1"/>
    <mergeCell ref="H3:K3"/>
    <mergeCell ref="L3:O3"/>
    <mergeCell ref="P3:S3"/>
    <mergeCell ref="T3:W3"/>
    <mergeCell ref="X3:AA3"/>
    <mergeCell ref="AB3:AE3"/>
    <mergeCell ref="AF3:AI3"/>
    <mergeCell ref="AJ3:AM3"/>
    <mergeCell ref="AN3:AQ3"/>
    <mergeCell ref="P1:S1"/>
    <mergeCell ref="T1:W1"/>
    <mergeCell ref="X1:AA1"/>
    <mergeCell ref="AB1:AE1"/>
    <mergeCell ref="AF1:AI1"/>
    <mergeCell ref="AJ1:AM1"/>
    <mergeCell ref="AN1:AQ1"/>
    <mergeCell ref="B10:C10"/>
    <mergeCell ref="B11:C11"/>
    <mergeCell ref="B12:C12"/>
    <mergeCell ref="B13:C13"/>
    <mergeCell ref="B14:C14"/>
    <mergeCell ref="B15:C15"/>
    <mergeCell ref="CV3:CY3"/>
    <mergeCell ref="CZ3:DC3"/>
    <mergeCell ref="A4:A18"/>
    <mergeCell ref="B4:C4"/>
    <mergeCell ref="B5:C5"/>
    <mergeCell ref="B6:C6"/>
    <mergeCell ref="B7:C7"/>
    <mergeCell ref="B8:C8"/>
    <mergeCell ref="B9:C9"/>
    <mergeCell ref="CN3:CQ3"/>
    <mergeCell ref="CR3:CU3"/>
    <mergeCell ref="BP3:BS3"/>
    <mergeCell ref="BT3:BW3"/>
    <mergeCell ref="BX3:CA3"/>
    <mergeCell ref="CB3:CE3"/>
    <mergeCell ref="CF3:CI3"/>
    <mergeCell ref="CJ3:CM3"/>
    <mergeCell ref="AR3:AU3"/>
    <mergeCell ref="H23:H26"/>
    <mergeCell ref="I23:I26"/>
    <mergeCell ref="J23:J26"/>
    <mergeCell ref="K23:K26"/>
    <mergeCell ref="L23:L26"/>
    <mergeCell ref="M23:M26"/>
    <mergeCell ref="B16:C16"/>
    <mergeCell ref="B18:C18"/>
    <mergeCell ref="B19:G19"/>
    <mergeCell ref="B20:G20"/>
    <mergeCell ref="B21:G21"/>
    <mergeCell ref="D23:D26"/>
    <mergeCell ref="E23:E26"/>
    <mergeCell ref="F23:F26"/>
    <mergeCell ref="G23:G26"/>
    <mergeCell ref="B17:C17"/>
    <mergeCell ref="T23:T26"/>
    <mergeCell ref="U23:U26"/>
    <mergeCell ref="V23:V26"/>
    <mergeCell ref="W23:W26"/>
    <mergeCell ref="X23:X26"/>
    <mergeCell ref="Y23:Y26"/>
    <mergeCell ref="N23:N26"/>
    <mergeCell ref="O23:O26"/>
    <mergeCell ref="P23:P26"/>
    <mergeCell ref="Q23:Q26"/>
    <mergeCell ref="R23:R26"/>
    <mergeCell ref="S23:S26"/>
    <mergeCell ref="AF23:AF26"/>
    <mergeCell ref="AG23:AG26"/>
    <mergeCell ref="AH23:AH26"/>
    <mergeCell ref="AI23:AI26"/>
    <mergeCell ref="AJ23:AJ26"/>
    <mergeCell ref="AK23:AK26"/>
    <mergeCell ref="Z23:Z26"/>
    <mergeCell ref="AA23:AA26"/>
    <mergeCell ref="AB23:AB26"/>
    <mergeCell ref="AC23:AC26"/>
    <mergeCell ref="AD23:AD26"/>
    <mergeCell ref="AE23:AE26"/>
    <mergeCell ref="AR23:AR26"/>
    <mergeCell ref="AS23:AS26"/>
    <mergeCell ref="AT23:AT26"/>
    <mergeCell ref="AU23:AU26"/>
    <mergeCell ref="AV23:AV26"/>
    <mergeCell ref="AW23:AW26"/>
    <mergeCell ref="AL23:AL26"/>
    <mergeCell ref="AM23:AM26"/>
    <mergeCell ref="AN23:AN26"/>
    <mergeCell ref="AO23:AO26"/>
    <mergeCell ref="AP23:AP26"/>
    <mergeCell ref="AQ23:AQ26"/>
    <mergeCell ref="BD23:BD26"/>
    <mergeCell ref="BE23:BE26"/>
    <mergeCell ref="BF23:BF26"/>
    <mergeCell ref="BG23:BG26"/>
    <mergeCell ref="BH23:BH26"/>
    <mergeCell ref="BI23:BI26"/>
    <mergeCell ref="AX23:AX26"/>
    <mergeCell ref="AY23:AY26"/>
    <mergeCell ref="AZ23:AZ26"/>
    <mergeCell ref="BA23:BA26"/>
    <mergeCell ref="BB23:BB26"/>
    <mergeCell ref="BC23:BC26"/>
    <mergeCell ref="BP23:BP26"/>
    <mergeCell ref="BQ23:BQ26"/>
    <mergeCell ref="BR23:BR26"/>
    <mergeCell ref="BS23:BS26"/>
    <mergeCell ref="BT23:BT26"/>
    <mergeCell ref="BU23:BU26"/>
    <mergeCell ref="BJ23:BJ26"/>
    <mergeCell ref="BK23:BK26"/>
    <mergeCell ref="BL23:BL26"/>
    <mergeCell ref="BM23:BM26"/>
    <mergeCell ref="BN23:BN26"/>
    <mergeCell ref="BO23:BO26"/>
    <mergeCell ref="CB23:CB26"/>
    <mergeCell ref="CC23:CC26"/>
    <mergeCell ref="CD23:CD26"/>
    <mergeCell ref="CE23:CE26"/>
    <mergeCell ref="CF23:CF26"/>
    <mergeCell ref="CG23:CG26"/>
    <mergeCell ref="BV23:BV26"/>
    <mergeCell ref="BW23:BW26"/>
    <mergeCell ref="BX23:BX26"/>
    <mergeCell ref="BY23:BY26"/>
    <mergeCell ref="BZ23:BZ26"/>
    <mergeCell ref="CA23:CA26"/>
    <mergeCell ref="AJ2:AM2"/>
    <mergeCell ref="AN2:AQ2"/>
    <mergeCell ref="CZ23:CZ26"/>
    <mergeCell ref="DA23:DA26"/>
    <mergeCell ref="DB23:DB26"/>
    <mergeCell ref="DC23:DC26"/>
    <mergeCell ref="CT23:CT26"/>
    <mergeCell ref="CU23:CU26"/>
    <mergeCell ref="CV23:CV26"/>
    <mergeCell ref="CW23:CW26"/>
    <mergeCell ref="CX23:CX26"/>
    <mergeCell ref="CY23:CY26"/>
    <mergeCell ref="CN23:CN26"/>
    <mergeCell ref="CO23:CO26"/>
    <mergeCell ref="CP23:CP26"/>
    <mergeCell ref="CQ23:CQ26"/>
    <mergeCell ref="CR23:CR26"/>
    <mergeCell ref="CS23:CS26"/>
    <mergeCell ref="CH23:CH26"/>
    <mergeCell ref="CI23:CI26"/>
    <mergeCell ref="CJ23:CJ26"/>
    <mergeCell ref="CK23:CK26"/>
    <mergeCell ref="CL23:CL26"/>
    <mergeCell ref="CM23:CM26"/>
    <mergeCell ref="D2:G2"/>
    <mergeCell ref="CB2:CE2"/>
    <mergeCell ref="CF2:CI2"/>
    <mergeCell ref="CJ2:CM2"/>
    <mergeCell ref="CN2:CQ2"/>
    <mergeCell ref="CR2:CU2"/>
    <mergeCell ref="CV2:CY2"/>
    <mergeCell ref="CZ2:DC2"/>
    <mergeCell ref="AR2:AU2"/>
    <mergeCell ref="AV2:AY2"/>
    <mergeCell ref="AZ2:BC2"/>
    <mergeCell ref="BD2:BG2"/>
    <mergeCell ref="BH2:BK2"/>
    <mergeCell ref="BL2:BO2"/>
    <mergeCell ref="BP2:BS2"/>
    <mergeCell ref="BT2:BW2"/>
    <mergeCell ref="BX2:CA2"/>
    <mergeCell ref="H2:K2"/>
    <mergeCell ref="L2:O2"/>
    <mergeCell ref="P2:S2"/>
    <mergeCell ref="T2:W2"/>
    <mergeCell ref="X2:AA2"/>
    <mergeCell ref="AB2:AE2"/>
    <mergeCell ref="AF2:AI2"/>
  </mergeCells>
  <hyperlinks>
    <hyperlink ref="A1:C3" location="Equipos!A1" display="Equipos!A1" xr:uid="{00000000-0004-0000-0600-000000000000}"/>
    <hyperlink ref="A4:A18" location="Jugadores!A1" display="Jugador" xr:uid="{33828AE5-A5CF-40CC-90B6-5B837E1D5696}"/>
  </hyperlinks>
  <pageMargins left="0.7" right="0.7" top="0.75" bottom="0.75" header="0.3" footer="0.3"/>
  <pageSetup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C26"/>
  <sheetViews>
    <sheetView zoomScale="90" zoomScaleNormal="90" zoomScaleSheetLayoutView="90" workbookViewId="0">
      <pane xSplit="7" ySplit="3" topLeftCell="AX4" activePane="bottomRight" state="frozen"/>
      <selection pane="topRight" activeCell="H1" sqref="H1"/>
      <selection pane="bottomLeft" activeCell="A3" sqref="A3"/>
      <selection pane="bottomRight" sqref="A1:C3"/>
    </sheetView>
  </sheetViews>
  <sheetFormatPr baseColWidth="10" defaultColWidth="11.42578125" defaultRowHeight="15" x14ac:dyDescent="0.25"/>
  <cols>
    <col min="1" max="1" width="4.85546875" customWidth="1"/>
    <col min="2" max="2" width="9.42578125" customWidth="1"/>
    <col min="3" max="3" width="11.5703125" style="3" customWidth="1"/>
    <col min="4" max="7" width="4.28515625" style="3" customWidth="1"/>
    <col min="8" max="8" width="3.7109375" style="3" bestFit="1" customWidth="1"/>
    <col min="9" max="11" width="2.7109375" style="3" customWidth="1"/>
    <col min="12" max="12" width="3.28515625" style="3" customWidth="1"/>
    <col min="13" max="15" width="2.7109375" style="3" customWidth="1"/>
    <col min="16" max="16" width="3.28515625" style="3" customWidth="1"/>
    <col min="17" max="23" width="2.7109375" style="3" customWidth="1"/>
    <col min="24" max="24" width="3.140625" style="3" customWidth="1"/>
    <col min="25" max="31" width="2.7109375" style="3" customWidth="1"/>
    <col min="32" max="32" width="3" style="3" customWidth="1"/>
    <col min="33" max="71" width="2.7109375" style="3" customWidth="1"/>
    <col min="72" max="72" width="3" style="3" customWidth="1"/>
    <col min="73" max="107" width="2.7109375" style="3" customWidth="1"/>
    <col min="108" max="16384" width="11.42578125" style="3"/>
  </cols>
  <sheetData>
    <row r="1" spans="1:107" ht="13.9" customHeight="1" x14ac:dyDescent="0.25">
      <c r="A1" s="180" t="str">
        <f>Equipos!B11</f>
        <v>Valentín FC</v>
      </c>
      <c r="B1" s="180"/>
      <c r="C1" s="180"/>
      <c r="H1" s="172" t="s">
        <v>5</v>
      </c>
      <c r="I1" s="173"/>
      <c r="J1" s="173"/>
      <c r="K1" s="174"/>
      <c r="L1" s="172" t="s">
        <v>6</v>
      </c>
      <c r="M1" s="173"/>
      <c r="N1" s="173"/>
      <c r="O1" s="174"/>
      <c r="P1" s="172" t="s">
        <v>7</v>
      </c>
      <c r="Q1" s="173"/>
      <c r="R1" s="173"/>
      <c r="S1" s="174"/>
      <c r="T1" s="172" t="s">
        <v>8</v>
      </c>
      <c r="U1" s="173"/>
      <c r="V1" s="173"/>
      <c r="W1" s="174"/>
      <c r="X1" s="172" t="s">
        <v>9</v>
      </c>
      <c r="Y1" s="173"/>
      <c r="Z1" s="173"/>
      <c r="AA1" s="174"/>
      <c r="AB1" s="172" t="s">
        <v>10</v>
      </c>
      <c r="AC1" s="173"/>
      <c r="AD1" s="173"/>
      <c r="AE1" s="174"/>
      <c r="AF1" s="172" t="s">
        <v>11</v>
      </c>
      <c r="AG1" s="173"/>
      <c r="AH1" s="173"/>
      <c r="AI1" s="174"/>
      <c r="AJ1" s="172" t="s">
        <v>12</v>
      </c>
      <c r="AK1" s="173"/>
      <c r="AL1" s="173"/>
      <c r="AM1" s="174"/>
      <c r="AN1" s="172" t="s">
        <v>13</v>
      </c>
      <c r="AO1" s="173"/>
      <c r="AP1" s="173"/>
      <c r="AQ1" s="174"/>
      <c r="AR1" s="172" t="s">
        <v>14</v>
      </c>
      <c r="AS1" s="173"/>
      <c r="AT1" s="173"/>
      <c r="AU1" s="174"/>
      <c r="AV1" s="172" t="s">
        <v>15</v>
      </c>
      <c r="AW1" s="173"/>
      <c r="AX1" s="173"/>
      <c r="AY1" s="174"/>
      <c r="AZ1" s="172" t="s">
        <v>16</v>
      </c>
      <c r="BA1" s="173"/>
      <c r="BB1" s="173"/>
      <c r="BC1" s="174"/>
      <c r="BD1" s="172" t="s">
        <v>17</v>
      </c>
      <c r="BE1" s="173"/>
      <c r="BF1" s="173"/>
      <c r="BG1" s="174"/>
      <c r="BH1" s="172" t="s">
        <v>18</v>
      </c>
      <c r="BI1" s="173"/>
      <c r="BJ1" s="173"/>
      <c r="BK1" s="174"/>
      <c r="BL1" s="172" t="s">
        <v>19</v>
      </c>
      <c r="BM1" s="173"/>
      <c r="BN1" s="173"/>
      <c r="BO1" s="174"/>
      <c r="BP1" s="172" t="s">
        <v>20</v>
      </c>
      <c r="BQ1" s="173"/>
      <c r="BR1" s="173"/>
      <c r="BS1" s="174"/>
      <c r="BT1" s="172" t="s">
        <v>51</v>
      </c>
      <c r="BU1" s="173"/>
      <c r="BV1" s="173"/>
      <c r="BW1" s="174"/>
      <c r="BX1" s="172" t="s">
        <v>81</v>
      </c>
      <c r="BY1" s="173"/>
      <c r="BZ1" s="173"/>
      <c r="CA1" s="174"/>
      <c r="CB1" s="172" t="s">
        <v>83</v>
      </c>
      <c r="CC1" s="173"/>
      <c r="CD1" s="173"/>
      <c r="CE1" s="174"/>
      <c r="CF1" s="172" t="s">
        <v>84</v>
      </c>
      <c r="CG1" s="173"/>
      <c r="CH1" s="173"/>
      <c r="CI1" s="174"/>
      <c r="CJ1" s="172" t="s">
        <v>85</v>
      </c>
      <c r="CK1" s="173"/>
      <c r="CL1" s="173"/>
      <c r="CM1" s="174"/>
      <c r="CN1" s="172" t="s">
        <v>93</v>
      </c>
      <c r="CO1" s="173"/>
      <c r="CP1" s="173"/>
      <c r="CQ1" s="174"/>
      <c r="CR1" s="172" t="s">
        <v>94</v>
      </c>
      <c r="CS1" s="173"/>
      <c r="CT1" s="173"/>
      <c r="CU1" s="174"/>
      <c r="CV1" s="172" t="s">
        <v>95</v>
      </c>
      <c r="CW1" s="173"/>
      <c r="CX1" s="173"/>
      <c r="CY1" s="174"/>
      <c r="CZ1" s="172" t="s">
        <v>96</v>
      </c>
      <c r="DA1" s="173"/>
      <c r="DB1" s="173"/>
      <c r="DC1" s="174"/>
    </row>
    <row r="2" spans="1:107" s="2" customFormat="1" ht="13.9" customHeight="1" x14ac:dyDescent="0.25">
      <c r="A2" s="180"/>
      <c r="B2" s="180"/>
      <c r="C2" s="180"/>
      <c r="D2" s="143" t="s">
        <v>272</v>
      </c>
      <c r="E2" s="143"/>
      <c r="F2" s="143"/>
      <c r="G2" s="144"/>
      <c r="H2" s="140" t="str">
        <f>+_xlfn.XLOOKUP($A$1,Fixture!$D$2:$D$9,Fixture!$F$2:$F$9,_xlfn.XLOOKUP($A$1,Fixture!$F$2:$F$9,Fixture!$D$2:$D$9,"Descansa",FALSE))</f>
        <v>Los Aliados</v>
      </c>
      <c r="I2" s="141"/>
      <c r="J2" s="141"/>
      <c r="K2" s="142"/>
      <c r="L2" s="140" t="str">
        <f>+_xlfn.XLOOKUP($A$1,Fixture!$D$10:$D$17,Fixture!$F$10:$F$17,_xlfn.XLOOKUP($A$1,Fixture!$F$10:$F$17,Fixture!$D$10:$D$17,"Descansa",FALSE))</f>
        <v>La Nueva Era</v>
      </c>
      <c r="M2" s="141"/>
      <c r="N2" s="141"/>
      <c r="O2" s="142"/>
      <c r="P2" s="175" t="str">
        <f>+_xlfn.XLOOKUP($A$1,Fixture!$D$18:$D$25,Fixture!$F$18:$F$25,_xlfn.XLOOKUP($A$1,Fixture!$F$18:$F$25,Fixture!$D$18:$D$25,"Descansa",FALSE))</f>
        <v>Hojas Anchas</v>
      </c>
      <c r="Q2" s="176"/>
      <c r="R2" s="176"/>
      <c r="S2" s="177"/>
      <c r="T2" s="140" t="str">
        <f>+_xlfn.XLOOKUP($A$1,Fixture!$D$26:$D$33,Fixture!$F$26:$F$33,_xlfn.XLOOKUP($A$1,Fixture!$F$26:$F$33,Fixture!$D$26:$D$33,"Descansa",FALSE))</f>
        <v>La Amistad</v>
      </c>
      <c r="U2" s="141"/>
      <c r="V2" s="141"/>
      <c r="W2" s="142"/>
      <c r="X2" s="140" t="str">
        <f>+_xlfn.XLOOKUP($A$1,Fixture!$D$34:$D$41,Fixture!$F$34:$F$41,_xlfn.XLOOKUP($A$1,Fixture!$F$34:$F$41,Fixture!$D$34:$D$41,"Descansa",FALSE))</f>
        <v>Deportivo Fénix</v>
      </c>
      <c r="Y2" s="141"/>
      <c r="Z2" s="141"/>
      <c r="AA2" s="142"/>
      <c r="AB2" s="140" t="str">
        <f>+_xlfn.XLOOKUP($A$1,Fixture!$D$42:$D$49,Fixture!$F$42:$F$49,_xlfn.XLOOKUP($A$1,Fixture!$F$42:$F$49,Fixture!$D$42:$D$49,"Descansa",FALSE))</f>
        <v>Konami</v>
      </c>
      <c r="AC2" s="141"/>
      <c r="AD2" s="141"/>
      <c r="AE2" s="142"/>
      <c r="AF2" s="140" t="str">
        <f>+_xlfn.XLOOKUP($A$1,Fixture!$D$50:$D$57,Fixture!$F$50:$F$57,_xlfn.XLOOKUP($A$1,Fixture!$F$50:$F$57,Fixture!$D$50:$D$57,"Descansa",FALSE))</f>
        <v>Rayos FC</v>
      </c>
      <c r="AG2" s="141"/>
      <c r="AH2" s="141"/>
      <c r="AI2" s="142"/>
      <c r="AJ2" s="140" t="str">
        <f>+_xlfn.XLOOKUP($A$1,Fixture!$D$58:$D$65,Fixture!$F$58:$F$65,_xlfn.XLOOKUP($A$1,Fixture!$F$58:$F$65,Fixture!$D$58:$D$65,"Descansa",FALSE))</f>
        <v>Villanueva</v>
      </c>
      <c r="AK2" s="141"/>
      <c r="AL2" s="141"/>
      <c r="AM2" s="142"/>
      <c r="AN2" s="140" t="str">
        <f>+_xlfn.XLOOKUP($A$1,Fixture!$D$66:$D$73,Fixture!$F$66:$F$73,_xlfn.XLOOKUP($A$1,Fixture!$F$66:$F$73,Fixture!$D$66:$D$73,"Descansa",FALSE))</f>
        <v>La Unión FC</v>
      </c>
      <c r="AO2" s="141"/>
      <c r="AP2" s="141"/>
      <c r="AQ2" s="142"/>
      <c r="AR2" s="140" t="str">
        <f>+_xlfn.XLOOKUP($A$1,Fixture!$D$74:$D$81,Fixture!$F$74:$F$81,_xlfn.XLOOKUP($A$1,Fixture!$F$74:$F$81,Fixture!$D$74:$D$81,"Descansa",FALSE))</f>
        <v>Ron Star</v>
      </c>
      <c r="AS2" s="141"/>
      <c r="AT2" s="141"/>
      <c r="AU2" s="142"/>
      <c r="AV2" s="140" t="str">
        <f>+_xlfn.XLOOKUP($A$1,Fixture!$D$82:$D$89,Fixture!$F$82:$F$89,_xlfn.XLOOKUP($A$1,Fixture!$F$82:$F$89,Fixture!$D$82:$D$89,"Descansa",FALSE))</f>
        <v>CD El Corozo</v>
      </c>
      <c r="AW2" s="141"/>
      <c r="AX2" s="141"/>
      <c r="AY2" s="142"/>
      <c r="AZ2" s="140" t="str">
        <f>+_xlfn.XLOOKUP($A$1,Fixture!$D$90:$D$97,Fixture!$F$90:$F$97,_xlfn.XLOOKUP($A$1,Fixture!$F$90:$F$97,Fixture!$D$90:$D$97,"Descansa",FALSE))</f>
        <v>Amenadim</v>
      </c>
      <c r="BA2" s="141"/>
      <c r="BB2" s="141"/>
      <c r="BC2" s="142"/>
      <c r="BD2" s="140" t="str">
        <f>+_xlfn.XLOOKUP($A$1,Fixture!$D$98:$D$105,Fixture!$F$98:$F$105,_xlfn.XLOOKUP($A$1,Fixture!$F$98:$F$105,Fixture!$D$98:$D$105,"Descansa",FALSE))</f>
        <v>Atalanta</v>
      </c>
      <c r="BE2" s="141"/>
      <c r="BF2" s="141"/>
      <c r="BG2" s="142"/>
      <c r="BH2" s="140" t="str">
        <f>+_xlfn.XLOOKUP($A$1,Fixture!$D$106:$D$113,Fixture!$F$106:$F$113,_xlfn.XLOOKUP($A$1,Fixture!$F$106:$F$113,Fixture!$D$106:$D$113,"Descansa",FALSE))</f>
        <v>Boca Juniors</v>
      </c>
      <c r="BI2" s="141"/>
      <c r="BJ2" s="141"/>
      <c r="BK2" s="142"/>
      <c r="BL2" s="140" t="str">
        <f>+_xlfn.XLOOKUP($A$1,Fixture!$D$114:$D$121,Fixture!$F$114:$F$121,_xlfn.XLOOKUP($A$1,Fixture!$F$114:$F$121,Fixture!$D$114:$D$121,"Descansa",FALSE))</f>
        <v>Los Amigos</v>
      </c>
      <c r="BM2" s="141"/>
      <c r="BN2" s="141"/>
      <c r="BO2" s="142"/>
      <c r="BP2" s="140" t="str">
        <f>+_xlfn.XLOOKUP($A$1,Fixture!$D$122:$D$128,Fixture!$F$122:$F$128,_xlfn.XLOOKUP($A$1,Fixture!$F$122:$F$128,Fixture!$D$122:$D$128,"Descansa",FALSE))</f>
        <v>Los Amigos</v>
      </c>
      <c r="BQ2" s="141"/>
      <c r="BR2" s="141"/>
      <c r="BS2" s="142"/>
      <c r="BT2" s="140" t="str">
        <f>+_xlfn.XLOOKUP($A$1,Fixture!$D$129:$D$135,Fixture!$F$129:$F$135,_xlfn.XLOOKUP($A$1,Fixture!$F$129:$F$135,Fixture!$D$129:$D$135,"Descansa",FALSE))</f>
        <v>Ron Star</v>
      </c>
      <c r="BU2" s="141"/>
      <c r="BV2" s="141"/>
      <c r="BW2" s="142"/>
      <c r="BX2" s="140" t="str">
        <f>+_xlfn.XLOOKUP($A$1,Fixture!$D$136:$D$141,Fixture!$F$136:$F$141,_xlfn.XLOOKUP($A$1,Fixture!$F$136:$F$141,Fixture!$D$136:$D$141,"Descansa",FALSE))</f>
        <v>Hojas Anchas</v>
      </c>
      <c r="BY2" s="141"/>
      <c r="BZ2" s="141"/>
      <c r="CA2" s="142"/>
      <c r="CB2" s="140" t="str">
        <f>+_xlfn.XLOOKUP($A$1,Fixture!$D$142:$D$149,Fixture!$F$142:$F$149,_xlfn.XLOOKUP($A$1,Fixture!$F$142:$F$149,Fixture!$D$142:$D$149,"Descansa",FALSE))</f>
        <v>La Unión FC</v>
      </c>
      <c r="CC2" s="141"/>
      <c r="CD2" s="141"/>
      <c r="CE2" s="142"/>
      <c r="CF2" s="140" t="str">
        <f>+_xlfn.XLOOKUP($A$1,Fixture!$D$150:$D$155,Fixture!$F$150:$F$155,_xlfn.XLOOKUP($A$1,Fixture!$F$150:$F$155,Fixture!$D$150:$D$155,"Descansa",FALSE))</f>
        <v>Boca Juniors</v>
      </c>
      <c r="CG2" s="141"/>
      <c r="CH2" s="141"/>
      <c r="CI2" s="142"/>
      <c r="CJ2" s="140" t="str">
        <f>+_xlfn.XLOOKUP($A$1,Fixture!$D$156:$D$161,Fixture!$F$156:$F$161,_xlfn.XLOOKUP($A$1,Fixture!$F$156:$F$161,Fixture!$D$156:$D$161,"Descansa",FALSE))</f>
        <v>Los Aliados</v>
      </c>
      <c r="CK2" s="141"/>
      <c r="CL2" s="141"/>
      <c r="CM2" s="142"/>
      <c r="CN2" s="140" t="str">
        <f>+_xlfn.XLOOKUP($A$1,Fixture!$D$162:$D$167,Fixture!$F$162:$F$167,_xlfn.XLOOKUP($A$1,Fixture!$F$162:$F$167,Fixture!$D$162:$D$167,"Descansa",FALSE))</f>
        <v>Atalanta</v>
      </c>
      <c r="CO2" s="141"/>
      <c r="CP2" s="141"/>
      <c r="CQ2" s="142"/>
      <c r="CR2" s="140" t="str">
        <f>+_xlfn.XLOOKUP($A$1,Fixture!$D$168:$D$169,Fixture!$F$168:$F$169,_xlfn.XLOOKUP($A$1,Fixture!$F$168:$F$169,Fixture!$D$168:$D$169,"Descanssa",FALSE))</f>
        <v>Descanssa</v>
      </c>
      <c r="CS2" s="141"/>
      <c r="CT2" s="141"/>
      <c r="CU2" s="142"/>
      <c r="CV2" s="140" t="str">
        <f>+_xlfn.XLOOKUP($A$1,Fixture!$D$170:$D$171,Fixture!$F$170:$F$171,_xlfn.XLOOKUP($A$1,Fixture!$F$170:$F$171,Fixture!$D$170:$D$171,"Descansa",FALSE))</f>
        <v>Amenadim</v>
      </c>
      <c r="CW2" s="141"/>
      <c r="CX2" s="141"/>
      <c r="CY2" s="142"/>
      <c r="CZ2" s="140"/>
      <c r="DA2" s="141"/>
      <c r="DB2" s="141"/>
      <c r="DC2" s="142"/>
    </row>
    <row r="3" spans="1:107" ht="14.45" customHeight="1" x14ac:dyDescent="0.25">
      <c r="A3" s="180"/>
      <c r="B3" s="180"/>
      <c r="C3" s="180"/>
      <c r="D3" s="22" t="s">
        <v>89</v>
      </c>
      <c r="E3" s="22" t="s">
        <v>90</v>
      </c>
      <c r="F3" s="22" t="s">
        <v>91</v>
      </c>
      <c r="G3" s="24" t="s">
        <v>92</v>
      </c>
      <c r="H3" s="166">
        <f>IF(Fixture!C6=0,"",Fixture!C6)</f>
        <v>45676</v>
      </c>
      <c r="I3" s="167"/>
      <c r="J3" s="167"/>
      <c r="K3" s="168"/>
      <c r="L3" s="166">
        <f>IF(Fixture!C14=0,"",Fixture!C14)</f>
        <v>45683</v>
      </c>
      <c r="M3" s="167"/>
      <c r="N3" s="167"/>
      <c r="O3" s="168"/>
      <c r="P3" s="166">
        <f>IF(Fixture!C25=0,"",Fixture!C25)</f>
        <v>45774</v>
      </c>
      <c r="Q3" s="167"/>
      <c r="R3" s="167"/>
      <c r="S3" s="168"/>
      <c r="T3" s="166">
        <f>IF(Fixture!C28=0,"",Fixture!C28)</f>
        <v>45697</v>
      </c>
      <c r="U3" s="167"/>
      <c r="V3" s="167"/>
      <c r="W3" s="168"/>
      <c r="X3" s="166">
        <f>IF(Fixture!C37=0,"",Fixture!C37)</f>
        <v>45704</v>
      </c>
      <c r="Y3" s="167"/>
      <c r="Z3" s="167"/>
      <c r="AA3" s="168"/>
      <c r="AB3" s="166">
        <f>IF(Fixture!C46=0,"",Fixture!C46)</f>
        <v>45711</v>
      </c>
      <c r="AC3" s="167"/>
      <c r="AD3" s="167"/>
      <c r="AE3" s="168"/>
      <c r="AF3" s="166">
        <f>IF(Fixture!C55=0,"",Fixture!C55)</f>
        <v>45718</v>
      </c>
      <c r="AG3" s="167"/>
      <c r="AH3" s="167"/>
      <c r="AI3" s="168"/>
      <c r="AJ3" s="166">
        <f>IF(Fixture!C61=0,"",Fixture!C61)</f>
        <v>45725</v>
      </c>
      <c r="AK3" s="167"/>
      <c r="AL3" s="167"/>
      <c r="AM3" s="168"/>
      <c r="AN3" s="166">
        <f>IF(Fixture!C69=0,"",Fixture!C69)</f>
        <v>45704</v>
      </c>
      <c r="AO3" s="167"/>
      <c r="AP3" s="167"/>
      <c r="AQ3" s="168"/>
      <c r="AR3" s="166">
        <f>IF(Fixture!C76=0,"",Fixture!C76)</f>
        <v>45746</v>
      </c>
      <c r="AS3" s="167"/>
      <c r="AT3" s="167"/>
      <c r="AU3" s="168"/>
      <c r="AV3" s="166">
        <f>IF(Fixture!C84=0,"",Fixture!C84)</f>
        <v>45753</v>
      </c>
      <c r="AW3" s="167"/>
      <c r="AX3" s="167"/>
      <c r="AY3" s="168"/>
      <c r="AZ3" s="166">
        <f>IF(Fixture!C91=0,"",Fixture!C91)</f>
        <v>45774</v>
      </c>
      <c r="BA3" s="167"/>
      <c r="BB3" s="167"/>
      <c r="BC3" s="168"/>
      <c r="BD3" s="166">
        <f>IF(Fixture!C99=0,"",Fixture!C99)</f>
        <v>45781</v>
      </c>
      <c r="BE3" s="167"/>
      <c r="BF3" s="167"/>
      <c r="BG3" s="168"/>
      <c r="BH3" s="166" t="str">
        <f>IF(Fixture!AQ6=0,"",Fixture!AQ6)</f>
        <v/>
      </c>
      <c r="BI3" s="167"/>
      <c r="BJ3" s="167"/>
      <c r="BK3" s="168"/>
      <c r="BL3" s="166" t="str">
        <f>IF(Fixture!AU6=0,"",Fixture!AU6)</f>
        <v/>
      </c>
      <c r="BM3" s="167"/>
      <c r="BN3" s="167"/>
      <c r="BO3" s="168"/>
      <c r="BP3" s="166" t="str">
        <f>IF(Fixture!AY6=0,"",Fixture!AY6)</f>
        <v/>
      </c>
      <c r="BQ3" s="167"/>
      <c r="BR3" s="167"/>
      <c r="BS3" s="168"/>
      <c r="BT3" s="166" t="str">
        <f>IF(Fixture!BC6=0,"",Fixture!BC6)</f>
        <v/>
      </c>
      <c r="BU3" s="167"/>
      <c r="BV3" s="167"/>
      <c r="BW3" s="168"/>
      <c r="BX3" s="166" t="str">
        <f>IF(Fixture!BG6=0,"",Fixture!BG6)</f>
        <v/>
      </c>
      <c r="BY3" s="167"/>
      <c r="BZ3" s="167"/>
      <c r="CA3" s="168"/>
      <c r="CB3" s="166" t="str">
        <f>IF(Fixture!BK6=0,"",Fixture!BK6)</f>
        <v/>
      </c>
      <c r="CC3" s="167"/>
      <c r="CD3" s="167"/>
      <c r="CE3" s="168"/>
      <c r="CF3" s="166" t="str">
        <f>IF(Fixture!BO6=0,"",Fixture!BO6)</f>
        <v/>
      </c>
      <c r="CG3" s="167"/>
      <c r="CH3" s="167"/>
      <c r="CI3" s="168"/>
      <c r="CJ3" s="166" t="str">
        <f>IF(Fixture!BS6=0,"",Fixture!BS6)</f>
        <v/>
      </c>
      <c r="CK3" s="167"/>
      <c r="CL3" s="167"/>
      <c r="CM3" s="168"/>
      <c r="CN3" s="166" t="str">
        <f>IF(Fixture!BW6=0,"",Fixture!BW6)</f>
        <v/>
      </c>
      <c r="CO3" s="167"/>
      <c r="CP3" s="167"/>
      <c r="CQ3" s="168"/>
      <c r="CR3" s="166" t="str">
        <f>IF(Fixture!CA6=0,"",Fixture!CA6)</f>
        <v/>
      </c>
      <c r="CS3" s="167"/>
      <c r="CT3" s="167"/>
      <c r="CU3" s="168"/>
      <c r="CV3" s="166" t="str">
        <f>IF(Fixture!CE6=0,"",Fixture!CE6)</f>
        <v/>
      </c>
      <c r="CW3" s="167"/>
      <c r="CX3" s="167"/>
      <c r="CY3" s="168"/>
      <c r="CZ3" s="166" t="str">
        <f>IF(Fixture!CI6=0,"",Fixture!CI6)</f>
        <v/>
      </c>
      <c r="DA3" s="167"/>
      <c r="DB3" s="167"/>
      <c r="DC3" s="168"/>
    </row>
    <row r="4" spans="1:107" ht="19.899999999999999" customHeight="1" x14ac:dyDescent="0.25">
      <c r="A4" s="178" t="s">
        <v>3</v>
      </c>
      <c r="B4" s="154" t="str">
        <f>Jugadores!I3</f>
        <v>Jaider Carvajal Ríos</v>
      </c>
      <c r="C4" s="155"/>
      <c r="D4" s="24">
        <f>H4+L4+P4+T4+X4+AB4+AF4+AJ4+AN4+AR4+AV4+AZ4+BD4+BH4+BL4+BP4+BT4+BX4+CB4+CF4+CJ4+CN4+CR4+CV4+CZ4</f>
        <v>27</v>
      </c>
      <c r="E4" s="24">
        <f>I4+M4+Q4+U4+Y4+AC4+AG4+AK4+AO4+AS4+AW4+BA4+BE4+BI4+BM4+BQ4+BV4+BY4+CD4+CG4+CL4+CO4+CT4+CW4+DB4</f>
        <v>5</v>
      </c>
      <c r="F4" s="115">
        <f>J4+N4+R4+V4+Z4+AD4+AH4+AL4+AP4+AT4+AX4+BB4+BF4+BJ4+BN4+BT4+BX4+CB4+CF4+CJ4+CN4+CR4+CV4+CZ4</f>
        <v>8</v>
      </c>
      <c r="G4" s="115">
        <f>K4+O4+S4+W4+AA4+AE4+AI4+AM4+AQ4+AU4+AY4+BC4+BG4+BK4+BO4+BV4+BY4+CD4+CG4+CL4+CO4+CT4+CW4+DB4</f>
        <v>2</v>
      </c>
      <c r="H4" s="28"/>
      <c r="I4" s="26"/>
      <c r="J4" s="26"/>
      <c r="K4" s="29"/>
      <c r="L4" s="28">
        <v>2</v>
      </c>
      <c r="M4" s="26"/>
      <c r="N4" s="26"/>
      <c r="O4" s="29"/>
      <c r="P4" s="28">
        <v>2</v>
      </c>
      <c r="Q4" s="26"/>
      <c r="R4" s="26"/>
      <c r="S4" s="29"/>
      <c r="T4" s="28"/>
      <c r="U4" s="26">
        <v>1</v>
      </c>
      <c r="V4" s="26"/>
      <c r="W4" s="29"/>
      <c r="X4" s="28"/>
      <c r="Y4" s="26"/>
      <c r="Z4" s="26"/>
      <c r="AA4" s="29"/>
      <c r="AB4" s="28"/>
      <c r="AC4" s="26"/>
      <c r="AD4" s="26"/>
      <c r="AE4" s="29"/>
      <c r="AF4" s="28"/>
      <c r="AG4" s="26"/>
      <c r="AH4" s="26"/>
      <c r="AI4" s="29"/>
      <c r="AJ4" s="28"/>
      <c r="AK4" s="26"/>
      <c r="AL4" s="26"/>
      <c r="AM4" s="29"/>
      <c r="AN4" s="28">
        <v>1</v>
      </c>
      <c r="AO4" s="26"/>
      <c r="AP4" s="26"/>
      <c r="AQ4" s="29"/>
      <c r="AR4" s="28">
        <v>2</v>
      </c>
      <c r="AS4" s="26"/>
      <c r="AT4" s="26"/>
      <c r="AU4" s="29"/>
      <c r="AV4" s="28"/>
      <c r="AW4" s="26"/>
      <c r="AX4" s="26"/>
      <c r="AY4" s="29"/>
      <c r="AZ4" s="28">
        <v>1</v>
      </c>
      <c r="BA4" s="26"/>
      <c r="BB4" s="26"/>
      <c r="BC4" s="29"/>
      <c r="BD4" s="28">
        <v>6</v>
      </c>
      <c r="BE4" s="26">
        <v>1</v>
      </c>
      <c r="BF4" s="26"/>
      <c r="BG4" s="29"/>
      <c r="BH4" s="28">
        <v>4</v>
      </c>
      <c r="BI4" s="26"/>
      <c r="BJ4" s="26"/>
      <c r="BK4" s="29"/>
      <c r="BL4" s="28">
        <v>1</v>
      </c>
      <c r="BM4" s="26"/>
      <c r="BN4" s="26"/>
      <c r="BO4" s="29"/>
      <c r="BP4" s="28"/>
      <c r="BQ4" s="26">
        <v>1</v>
      </c>
      <c r="BR4" s="26"/>
      <c r="BS4" s="29"/>
      <c r="BT4" s="28"/>
      <c r="BU4" s="26">
        <v>1</v>
      </c>
      <c r="BV4" s="26"/>
      <c r="BW4" s="29"/>
      <c r="BX4" s="28"/>
      <c r="BY4" s="26"/>
      <c r="BZ4" s="26"/>
      <c r="CA4" s="29"/>
      <c r="CB4" s="28"/>
      <c r="CC4" s="26"/>
      <c r="CD4" s="26"/>
      <c r="CE4" s="29"/>
      <c r="CF4" s="28">
        <v>1</v>
      </c>
      <c r="CG4" s="26"/>
      <c r="CH4" s="26"/>
      <c r="CI4" s="29"/>
      <c r="CJ4" s="28">
        <v>3</v>
      </c>
      <c r="CK4" s="26"/>
      <c r="CL4" s="26"/>
      <c r="CM4" s="29"/>
      <c r="CN4" s="28">
        <v>4</v>
      </c>
      <c r="CO4" s="26">
        <v>1</v>
      </c>
      <c r="CP4" s="26"/>
      <c r="CQ4" s="29"/>
      <c r="CR4" s="28"/>
      <c r="CS4" s="26"/>
      <c r="CT4" s="26"/>
      <c r="CU4" s="29"/>
      <c r="CV4" s="28"/>
      <c r="CW4" s="26">
        <v>1</v>
      </c>
      <c r="CX4" s="26"/>
      <c r="CY4" s="29"/>
      <c r="CZ4" s="28"/>
      <c r="DA4" s="26"/>
      <c r="DB4" s="26"/>
      <c r="DC4" s="29"/>
    </row>
    <row r="5" spans="1:107" ht="19.899999999999999" customHeight="1" x14ac:dyDescent="0.25">
      <c r="A5" s="178"/>
      <c r="B5" s="154" t="str">
        <f>Jugadores!I4</f>
        <v>Matias Montoya</v>
      </c>
      <c r="C5" s="155"/>
      <c r="D5" s="24">
        <f t="shared" ref="D5:D18" si="0">H5+L5+P5+T5+X5+AB5+AF5+AJ5+AN5+AR5+AV5+AZ5+BD5+BH5+BL5+BP5+BT5+BX5+CB5+CF5+CJ5+CN5+CR5+CV5+CZ5</f>
        <v>4</v>
      </c>
      <c r="E5" s="24">
        <f t="shared" ref="E5:E18" si="1">I5+M5+Q5+U5+Y5+AC5+AG5+AK5+AO5+AS5+AW5+BA5+BE5+BI5+BM5+BQ5+BV5+BY5+CD5+CG5+CL5+CO5+CT5+CW5+DB5</f>
        <v>4</v>
      </c>
      <c r="F5" s="115">
        <f t="shared" ref="F5:F18" si="2">J5+N5+R5+V5+Z5+AD5+AH5+AL5+AP5+AT5+AX5+BB5+BF5+BJ5+BN5+BT5+BX5+CB5+CF5+CJ5+CN5+CR5+CV5+CZ5</f>
        <v>2</v>
      </c>
      <c r="G5" s="115">
        <f t="shared" ref="G5:G18" si="3">K5+O5+S5+W5+AA5+AE5+AI5+AM5+AQ5+AU5+AY5+BC5+BG5+BK5+BO5+BV5+BY5+CD5+CG5+CL5+CO5+CT5+CW5+DB5</f>
        <v>1</v>
      </c>
      <c r="H5" s="28"/>
      <c r="I5" s="26"/>
      <c r="J5" s="26"/>
      <c r="K5" s="29"/>
      <c r="L5" s="28">
        <v>1</v>
      </c>
      <c r="M5" s="26"/>
      <c r="N5" s="26"/>
      <c r="O5" s="29"/>
      <c r="P5" s="28"/>
      <c r="Q5" s="26">
        <v>1</v>
      </c>
      <c r="R5" s="26"/>
      <c r="S5" s="29"/>
      <c r="T5" s="28"/>
      <c r="U5" s="26"/>
      <c r="V5" s="26"/>
      <c r="W5" s="29"/>
      <c r="X5" s="28"/>
      <c r="Y5" s="26"/>
      <c r="Z5" s="26"/>
      <c r="AA5" s="29"/>
      <c r="AB5" s="28"/>
      <c r="AC5" s="26">
        <v>1</v>
      </c>
      <c r="AD5" s="26"/>
      <c r="AE5" s="29"/>
      <c r="AF5" s="28"/>
      <c r="AG5" s="26"/>
      <c r="AH5" s="26"/>
      <c r="AI5" s="29"/>
      <c r="AJ5" s="28"/>
      <c r="AK5" s="26"/>
      <c r="AL5" s="26"/>
      <c r="AM5" s="29"/>
      <c r="AN5" s="28"/>
      <c r="AO5" s="26"/>
      <c r="AP5" s="26"/>
      <c r="AQ5" s="29"/>
      <c r="AR5" s="28">
        <v>1</v>
      </c>
      <c r="AS5" s="26"/>
      <c r="AT5" s="26"/>
      <c r="AU5" s="29"/>
      <c r="AV5" s="28"/>
      <c r="AW5" s="26"/>
      <c r="AX5" s="26"/>
      <c r="AY5" s="29"/>
      <c r="AZ5" s="28"/>
      <c r="BA5" s="26"/>
      <c r="BB5" s="26"/>
      <c r="BC5" s="29"/>
      <c r="BD5" s="28"/>
      <c r="BE5" s="26">
        <v>1</v>
      </c>
      <c r="BF5" s="26"/>
      <c r="BG5" s="29"/>
      <c r="BH5" s="28"/>
      <c r="BI5" s="26"/>
      <c r="BJ5" s="26"/>
      <c r="BK5" s="29"/>
      <c r="BL5" s="28"/>
      <c r="BM5" s="26"/>
      <c r="BN5" s="26"/>
      <c r="BO5" s="29"/>
      <c r="BP5" s="28"/>
      <c r="BQ5" s="26"/>
      <c r="BR5" s="26"/>
      <c r="BS5" s="29"/>
      <c r="BT5" s="28"/>
      <c r="BU5" s="26"/>
      <c r="BV5" s="26"/>
      <c r="BW5" s="29"/>
      <c r="BX5" s="28"/>
      <c r="BY5" s="26"/>
      <c r="BZ5" s="26"/>
      <c r="CA5" s="29"/>
      <c r="CB5" s="28"/>
      <c r="CC5" s="26">
        <v>1</v>
      </c>
      <c r="CD5" s="26"/>
      <c r="CE5" s="29"/>
      <c r="CF5" s="28">
        <v>1</v>
      </c>
      <c r="CG5" s="26"/>
      <c r="CH5" s="26"/>
      <c r="CI5" s="29"/>
      <c r="CJ5" s="28">
        <v>1</v>
      </c>
      <c r="CK5" s="26"/>
      <c r="CL5" s="26"/>
      <c r="CM5" s="29"/>
      <c r="CN5" s="28"/>
      <c r="CO5" s="26">
        <v>1</v>
      </c>
      <c r="CP5" s="26"/>
      <c r="CQ5" s="29"/>
      <c r="CR5" s="28"/>
      <c r="CS5" s="26"/>
      <c r="CT5" s="26"/>
      <c r="CU5" s="29"/>
      <c r="CV5" s="28"/>
      <c r="CW5" s="26"/>
      <c r="CX5" s="26"/>
      <c r="CY5" s="29"/>
      <c r="CZ5" s="28"/>
      <c r="DA5" s="26"/>
      <c r="DB5" s="26"/>
      <c r="DC5" s="29"/>
    </row>
    <row r="6" spans="1:107" ht="19.899999999999999" customHeight="1" x14ac:dyDescent="0.25">
      <c r="A6" s="178"/>
      <c r="B6" s="154" t="str">
        <f>Jugadores!I5</f>
        <v>Jeison Martínez</v>
      </c>
      <c r="C6" s="155"/>
      <c r="D6" s="24">
        <f t="shared" si="0"/>
        <v>4</v>
      </c>
      <c r="E6" s="24">
        <f t="shared" si="1"/>
        <v>0</v>
      </c>
      <c r="F6" s="115">
        <f t="shared" si="2"/>
        <v>0</v>
      </c>
      <c r="G6" s="115">
        <f t="shared" si="3"/>
        <v>0</v>
      </c>
      <c r="H6" s="28"/>
      <c r="I6" s="26"/>
      <c r="J6" s="26"/>
      <c r="K6" s="29"/>
      <c r="L6" s="28">
        <v>4</v>
      </c>
      <c r="M6" s="26"/>
      <c r="N6" s="26"/>
      <c r="O6" s="29"/>
      <c r="P6" s="28"/>
      <c r="Q6" s="26"/>
      <c r="R6" s="26"/>
      <c r="S6" s="29"/>
      <c r="T6" s="28"/>
      <c r="U6" s="26"/>
      <c r="V6" s="26"/>
      <c r="W6" s="29"/>
      <c r="X6" s="28"/>
      <c r="Y6" s="26"/>
      <c r="Z6" s="26"/>
      <c r="AA6" s="29"/>
      <c r="AB6" s="28"/>
      <c r="AC6" s="26"/>
      <c r="AD6" s="26"/>
      <c r="AE6" s="29"/>
      <c r="AF6" s="28"/>
      <c r="AG6" s="26"/>
      <c r="AH6" s="26"/>
      <c r="AI6" s="29"/>
      <c r="AJ6" s="28"/>
      <c r="AK6" s="26"/>
      <c r="AL6" s="26"/>
      <c r="AM6" s="29"/>
      <c r="AN6" s="28"/>
      <c r="AO6" s="26"/>
      <c r="AP6" s="26"/>
      <c r="AQ6" s="29"/>
      <c r="AR6" s="28"/>
      <c r="AS6" s="26"/>
      <c r="AT6" s="26"/>
      <c r="AU6" s="29"/>
      <c r="AV6" s="28"/>
      <c r="AW6" s="26"/>
      <c r="AX6" s="26"/>
      <c r="AY6" s="29"/>
      <c r="AZ6" s="28"/>
      <c r="BA6" s="26"/>
      <c r="BB6" s="26"/>
      <c r="BC6" s="29"/>
      <c r="BD6" s="28"/>
      <c r="BE6" s="26"/>
      <c r="BF6" s="26"/>
      <c r="BG6" s="29"/>
      <c r="BH6" s="28"/>
      <c r="BI6" s="26"/>
      <c r="BJ6" s="26"/>
      <c r="BK6" s="29"/>
      <c r="BL6" s="28"/>
      <c r="BM6" s="26"/>
      <c r="BN6" s="26"/>
      <c r="BO6" s="29"/>
      <c r="BP6" s="28"/>
      <c r="BQ6" s="26"/>
      <c r="BR6" s="26"/>
      <c r="BS6" s="29"/>
      <c r="BT6" s="28"/>
      <c r="BU6" s="26"/>
      <c r="BV6" s="26"/>
      <c r="BW6" s="29"/>
      <c r="BX6" s="28"/>
      <c r="BY6" s="26"/>
      <c r="BZ6" s="26"/>
      <c r="CA6" s="29"/>
      <c r="CB6" s="28"/>
      <c r="CC6" s="26"/>
      <c r="CD6" s="26"/>
      <c r="CE6" s="29"/>
      <c r="CF6" s="28"/>
      <c r="CG6" s="26"/>
      <c r="CH6" s="26"/>
      <c r="CI6" s="29"/>
      <c r="CJ6" s="28"/>
      <c r="CK6" s="26"/>
      <c r="CL6" s="26"/>
      <c r="CM6" s="29"/>
      <c r="CN6" s="28"/>
      <c r="CO6" s="26"/>
      <c r="CP6" s="26"/>
      <c r="CQ6" s="29"/>
      <c r="CR6" s="28"/>
      <c r="CS6" s="26"/>
      <c r="CT6" s="26"/>
      <c r="CU6" s="29"/>
      <c r="CV6" s="28"/>
      <c r="CW6" s="26"/>
      <c r="CX6" s="26"/>
      <c r="CY6" s="29"/>
      <c r="CZ6" s="28"/>
      <c r="DA6" s="26"/>
      <c r="DB6" s="26"/>
      <c r="DC6" s="29"/>
    </row>
    <row r="7" spans="1:107" ht="19.899999999999999" customHeight="1" x14ac:dyDescent="0.25">
      <c r="A7" s="178"/>
      <c r="B7" s="154" t="str">
        <f>Jugadores!I6</f>
        <v>Carlos Andrés Berrio</v>
      </c>
      <c r="C7" s="155"/>
      <c r="D7" s="24">
        <f>H7+L7+P7+T7+X7+AB7+AF7+AJ7+AN7+AR7+AV7+AZ7+BD7+BH7+BL7+BP7+BT7+BX7+CB7+CF7+CJ7+CN7+CR7+CV7+CZ7</f>
        <v>5</v>
      </c>
      <c r="E7" s="24">
        <f t="shared" si="1"/>
        <v>9</v>
      </c>
      <c r="F7" s="115">
        <f t="shared" si="2"/>
        <v>1</v>
      </c>
      <c r="G7" s="115">
        <f t="shared" si="3"/>
        <v>2</v>
      </c>
      <c r="H7" s="28">
        <v>1</v>
      </c>
      <c r="I7" s="26">
        <v>1</v>
      </c>
      <c r="J7" s="26"/>
      <c r="K7" s="29"/>
      <c r="L7" s="28">
        <v>1</v>
      </c>
      <c r="M7" s="26"/>
      <c r="N7" s="26"/>
      <c r="O7" s="29"/>
      <c r="P7" s="28"/>
      <c r="Q7" s="26">
        <v>1</v>
      </c>
      <c r="R7" s="26"/>
      <c r="S7" s="29"/>
      <c r="T7" s="28">
        <v>1</v>
      </c>
      <c r="U7" s="26">
        <v>1</v>
      </c>
      <c r="V7" s="26"/>
      <c r="W7" s="29"/>
      <c r="X7" s="28"/>
      <c r="Y7" s="26">
        <v>1</v>
      </c>
      <c r="Z7" s="26"/>
      <c r="AA7" s="29"/>
      <c r="AB7" s="28"/>
      <c r="AC7" s="26"/>
      <c r="AD7" s="26"/>
      <c r="AE7" s="29"/>
      <c r="AF7" s="28"/>
      <c r="AG7" s="26"/>
      <c r="AH7" s="26"/>
      <c r="AI7" s="29"/>
      <c r="AJ7" s="28">
        <v>1</v>
      </c>
      <c r="AK7" s="26"/>
      <c r="AL7" s="26"/>
      <c r="AM7" s="29"/>
      <c r="AN7" s="28"/>
      <c r="AO7" s="26"/>
      <c r="AP7" s="26"/>
      <c r="AQ7" s="29"/>
      <c r="AR7" s="28"/>
      <c r="AS7" s="26">
        <v>1</v>
      </c>
      <c r="AT7" s="26"/>
      <c r="AU7" s="29"/>
      <c r="AV7" s="28"/>
      <c r="AW7" s="26">
        <v>1</v>
      </c>
      <c r="AX7" s="26"/>
      <c r="AY7" s="29"/>
      <c r="AZ7" s="28"/>
      <c r="BA7" s="26"/>
      <c r="BB7" s="26"/>
      <c r="BC7" s="29"/>
      <c r="BD7" s="28"/>
      <c r="BE7" s="26"/>
      <c r="BF7" s="26"/>
      <c r="BG7" s="29"/>
      <c r="BH7" s="28"/>
      <c r="BI7" s="26"/>
      <c r="BJ7" s="26"/>
      <c r="BK7" s="29"/>
      <c r="BL7" s="28"/>
      <c r="BM7" s="26"/>
      <c r="BN7" s="26"/>
      <c r="BO7" s="29"/>
      <c r="BP7" s="28"/>
      <c r="BQ7" s="26">
        <v>1</v>
      </c>
      <c r="BR7" s="26"/>
      <c r="BS7" s="29"/>
      <c r="BT7" s="28"/>
      <c r="BU7" s="26"/>
      <c r="BV7" s="26"/>
      <c r="BW7" s="29"/>
      <c r="BX7" s="28"/>
      <c r="BY7" s="26">
        <v>1</v>
      </c>
      <c r="BZ7" s="26"/>
      <c r="CA7" s="29"/>
      <c r="CB7" s="28"/>
      <c r="CC7" s="26"/>
      <c r="CD7" s="26"/>
      <c r="CE7" s="29"/>
      <c r="CF7" s="28"/>
      <c r="CG7" s="26"/>
      <c r="CH7" s="26"/>
      <c r="CI7" s="29"/>
      <c r="CJ7" s="28"/>
      <c r="CK7" s="26"/>
      <c r="CL7" s="26"/>
      <c r="CM7" s="29"/>
      <c r="CN7" s="28">
        <v>1</v>
      </c>
      <c r="CO7" s="26"/>
      <c r="CP7" s="26"/>
      <c r="CQ7" s="29"/>
      <c r="CR7" s="28"/>
      <c r="CS7" s="26"/>
      <c r="CT7" s="26"/>
      <c r="CU7" s="29"/>
      <c r="CV7" s="28"/>
      <c r="CW7" s="26">
        <v>1</v>
      </c>
      <c r="CX7" s="26"/>
      <c r="CY7" s="29"/>
      <c r="CZ7" s="28"/>
      <c r="DA7" s="26"/>
      <c r="DB7" s="26"/>
      <c r="DC7" s="29"/>
    </row>
    <row r="8" spans="1:107" ht="19.899999999999999" customHeight="1" x14ac:dyDescent="0.25">
      <c r="A8" s="178"/>
      <c r="B8" s="154" t="str">
        <f>Jugadores!I7</f>
        <v xml:space="preserve">Gonzalo Carvajal </v>
      </c>
      <c r="C8" s="155"/>
      <c r="D8" s="24">
        <f t="shared" si="0"/>
        <v>3</v>
      </c>
      <c r="E8" s="24">
        <f t="shared" si="1"/>
        <v>0</v>
      </c>
      <c r="F8" s="115">
        <f t="shared" si="2"/>
        <v>1</v>
      </c>
      <c r="G8" s="115">
        <f t="shared" si="3"/>
        <v>0</v>
      </c>
      <c r="H8" s="28"/>
      <c r="I8" s="26"/>
      <c r="J8" s="26"/>
      <c r="K8" s="29"/>
      <c r="L8" s="28">
        <v>1</v>
      </c>
      <c r="M8" s="26"/>
      <c r="N8" s="26"/>
      <c r="O8" s="29"/>
      <c r="P8" s="28"/>
      <c r="Q8" s="26"/>
      <c r="R8" s="26"/>
      <c r="S8" s="29"/>
      <c r="T8" s="28">
        <v>1</v>
      </c>
      <c r="U8" s="26"/>
      <c r="V8" s="26"/>
      <c r="W8" s="29"/>
      <c r="X8" s="28"/>
      <c r="Y8" s="26"/>
      <c r="Z8" s="26"/>
      <c r="AA8" s="29"/>
      <c r="AB8" s="28"/>
      <c r="AC8" s="26"/>
      <c r="AD8" s="26"/>
      <c r="AE8" s="29"/>
      <c r="AF8" s="28"/>
      <c r="AG8" s="26"/>
      <c r="AH8" s="26"/>
      <c r="AI8" s="29"/>
      <c r="AJ8" s="28"/>
      <c r="AK8" s="26"/>
      <c r="AL8" s="26"/>
      <c r="AM8" s="29"/>
      <c r="AN8" s="28"/>
      <c r="AO8" s="26"/>
      <c r="AP8" s="26"/>
      <c r="AQ8" s="29"/>
      <c r="AR8" s="28"/>
      <c r="AS8" s="26"/>
      <c r="AT8" s="26"/>
      <c r="AU8" s="29"/>
      <c r="AV8" s="28"/>
      <c r="AW8" s="26"/>
      <c r="AX8" s="26"/>
      <c r="AY8" s="29"/>
      <c r="AZ8" s="28"/>
      <c r="BA8" s="26"/>
      <c r="BB8" s="26"/>
      <c r="BC8" s="29"/>
      <c r="BD8" s="28"/>
      <c r="BE8" s="26"/>
      <c r="BF8" s="26"/>
      <c r="BG8" s="29"/>
      <c r="BH8" s="28"/>
      <c r="BI8" s="26"/>
      <c r="BJ8" s="26"/>
      <c r="BK8" s="29"/>
      <c r="BL8" s="28"/>
      <c r="BM8" s="26"/>
      <c r="BN8" s="26"/>
      <c r="BO8" s="29"/>
      <c r="BP8" s="28"/>
      <c r="BQ8" s="26"/>
      <c r="BR8" s="26"/>
      <c r="BS8" s="29"/>
      <c r="BT8" s="28"/>
      <c r="BU8" s="26"/>
      <c r="BV8" s="26"/>
      <c r="BW8" s="29"/>
      <c r="BX8" s="28"/>
      <c r="BY8" s="26"/>
      <c r="BZ8" s="26"/>
      <c r="CA8" s="29"/>
      <c r="CB8" s="28"/>
      <c r="CC8" s="26"/>
      <c r="CD8" s="26"/>
      <c r="CE8" s="29"/>
      <c r="CF8" s="28"/>
      <c r="CG8" s="26"/>
      <c r="CH8" s="26"/>
      <c r="CI8" s="29"/>
      <c r="CJ8" s="28">
        <v>1</v>
      </c>
      <c r="CK8" s="26"/>
      <c r="CL8" s="26"/>
      <c r="CM8" s="29"/>
      <c r="CN8" s="28"/>
      <c r="CO8" s="26"/>
      <c r="CP8" s="26"/>
      <c r="CQ8" s="29"/>
      <c r="CR8" s="28"/>
      <c r="CS8" s="26"/>
      <c r="CT8" s="26"/>
      <c r="CU8" s="29"/>
      <c r="CV8" s="28"/>
      <c r="CW8" s="26"/>
      <c r="CX8" s="26"/>
      <c r="CY8" s="29"/>
      <c r="CZ8" s="28"/>
      <c r="DA8" s="26"/>
      <c r="DB8" s="26"/>
      <c r="DC8" s="29"/>
    </row>
    <row r="9" spans="1:107" ht="19.899999999999999" customHeight="1" x14ac:dyDescent="0.25">
      <c r="A9" s="178"/>
      <c r="B9" s="154" t="str">
        <f>Jugadores!I8</f>
        <v>Stiven Álzate</v>
      </c>
      <c r="C9" s="155"/>
      <c r="D9" s="24">
        <f t="shared" si="0"/>
        <v>2</v>
      </c>
      <c r="E9" s="24">
        <f t="shared" si="1"/>
        <v>0</v>
      </c>
      <c r="F9" s="115">
        <f t="shared" si="2"/>
        <v>0</v>
      </c>
      <c r="G9" s="115">
        <f t="shared" si="3"/>
        <v>0</v>
      </c>
      <c r="H9" s="28"/>
      <c r="I9" s="26"/>
      <c r="J9" s="26"/>
      <c r="K9" s="29"/>
      <c r="L9" s="28"/>
      <c r="M9" s="26"/>
      <c r="N9" s="26"/>
      <c r="O9" s="29"/>
      <c r="P9" s="28"/>
      <c r="Q9" s="26"/>
      <c r="R9" s="26"/>
      <c r="S9" s="29"/>
      <c r="T9" s="28"/>
      <c r="U9" s="26"/>
      <c r="V9" s="26"/>
      <c r="W9" s="29"/>
      <c r="X9" s="28">
        <v>2</v>
      </c>
      <c r="Y9" s="26"/>
      <c r="Z9" s="26"/>
      <c r="AA9" s="29"/>
      <c r="AB9" s="28"/>
      <c r="AC9" s="26"/>
      <c r="AD9" s="26"/>
      <c r="AE9" s="29"/>
      <c r="AF9" s="28"/>
      <c r="AG9" s="26"/>
      <c r="AH9" s="26"/>
      <c r="AI9" s="29"/>
      <c r="AJ9" s="28"/>
      <c r="AK9" s="26"/>
      <c r="AL9" s="26"/>
      <c r="AM9" s="29"/>
      <c r="AN9" s="28"/>
      <c r="AO9" s="26"/>
      <c r="AP9" s="26"/>
      <c r="AQ9" s="29"/>
      <c r="AR9" s="28"/>
      <c r="AS9" s="26"/>
      <c r="AT9" s="26"/>
      <c r="AU9" s="29"/>
      <c r="AV9" s="28"/>
      <c r="AW9" s="26"/>
      <c r="AX9" s="26"/>
      <c r="AY9" s="29"/>
      <c r="AZ9" s="28"/>
      <c r="BA9" s="26"/>
      <c r="BB9" s="26"/>
      <c r="BC9" s="29"/>
      <c r="BD9" s="28"/>
      <c r="BE9" s="26"/>
      <c r="BF9" s="26"/>
      <c r="BG9" s="29"/>
      <c r="BH9" s="28"/>
      <c r="BI9" s="26"/>
      <c r="BJ9" s="26"/>
      <c r="BK9" s="29"/>
      <c r="BL9" s="28"/>
      <c r="BM9" s="26"/>
      <c r="BN9" s="26"/>
      <c r="BO9" s="29"/>
      <c r="BP9" s="28"/>
      <c r="BQ9" s="26"/>
      <c r="BR9" s="26"/>
      <c r="BS9" s="29"/>
      <c r="BT9" s="28"/>
      <c r="BU9" s="26"/>
      <c r="BV9" s="26"/>
      <c r="BW9" s="29"/>
      <c r="BX9" s="28"/>
      <c r="BY9" s="26"/>
      <c r="BZ9" s="26"/>
      <c r="CA9" s="29"/>
      <c r="CB9" s="28"/>
      <c r="CC9" s="26"/>
      <c r="CD9" s="26"/>
      <c r="CE9" s="29"/>
      <c r="CF9" s="28"/>
      <c r="CG9" s="26"/>
      <c r="CH9" s="26"/>
      <c r="CI9" s="29"/>
      <c r="CJ9" s="28"/>
      <c r="CK9" s="26"/>
      <c r="CL9" s="26"/>
      <c r="CM9" s="29"/>
      <c r="CN9" s="28"/>
      <c r="CO9" s="26"/>
      <c r="CP9" s="26"/>
      <c r="CQ9" s="29"/>
      <c r="CR9" s="28"/>
      <c r="CS9" s="26"/>
      <c r="CT9" s="26"/>
      <c r="CU9" s="29"/>
      <c r="CV9" s="28"/>
      <c r="CW9" s="26"/>
      <c r="CX9" s="26"/>
      <c r="CY9" s="29"/>
      <c r="CZ9" s="28"/>
      <c r="DA9" s="26"/>
      <c r="DB9" s="26"/>
      <c r="DC9" s="29"/>
    </row>
    <row r="10" spans="1:107" ht="19.899999999999999" customHeight="1" x14ac:dyDescent="0.25">
      <c r="A10" s="178"/>
      <c r="B10" s="154" t="str">
        <f>Jugadores!I9</f>
        <v>Simón Flórez</v>
      </c>
      <c r="C10" s="155"/>
      <c r="D10" s="24">
        <f t="shared" si="0"/>
        <v>4</v>
      </c>
      <c r="E10" s="24">
        <f t="shared" si="1"/>
        <v>2</v>
      </c>
      <c r="F10" s="115">
        <f t="shared" si="2"/>
        <v>1</v>
      </c>
      <c r="G10" s="115">
        <f t="shared" si="3"/>
        <v>1</v>
      </c>
      <c r="H10" s="28"/>
      <c r="I10" s="26"/>
      <c r="J10" s="26"/>
      <c r="K10" s="29"/>
      <c r="L10" s="28"/>
      <c r="M10" s="26"/>
      <c r="N10" s="26"/>
      <c r="O10" s="29"/>
      <c r="P10" s="28">
        <v>1</v>
      </c>
      <c r="Q10" s="26"/>
      <c r="R10" s="26"/>
      <c r="S10" s="29"/>
      <c r="T10" s="28"/>
      <c r="U10" s="26"/>
      <c r="V10" s="26"/>
      <c r="W10" s="29"/>
      <c r="X10" s="28">
        <v>1</v>
      </c>
      <c r="Y10" s="26"/>
      <c r="Z10" s="26"/>
      <c r="AA10" s="29"/>
      <c r="AB10" s="28"/>
      <c r="AC10" s="26"/>
      <c r="AD10" s="26"/>
      <c r="AE10" s="29"/>
      <c r="AF10" s="28"/>
      <c r="AG10" s="26"/>
      <c r="AH10" s="26"/>
      <c r="AI10" s="29"/>
      <c r="AJ10" s="28"/>
      <c r="AK10" s="26"/>
      <c r="AL10" s="26"/>
      <c r="AM10" s="29"/>
      <c r="AN10" s="28"/>
      <c r="AO10" s="26"/>
      <c r="AP10" s="26"/>
      <c r="AQ10" s="29"/>
      <c r="AR10" s="28"/>
      <c r="AS10" s="26"/>
      <c r="AT10" s="26"/>
      <c r="AU10" s="29"/>
      <c r="AV10" s="28"/>
      <c r="AW10" s="26"/>
      <c r="AX10" s="26"/>
      <c r="AY10" s="29"/>
      <c r="AZ10" s="28">
        <v>1</v>
      </c>
      <c r="BA10" s="26"/>
      <c r="BB10" s="26"/>
      <c r="BC10" s="29"/>
      <c r="BD10" s="28"/>
      <c r="BE10" s="26"/>
      <c r="BF10" s="26"/>
      <c r="BG10" s="29"/>
      <c r="BH10" s="28"/>
      <c r="BI10" s="26">
        <v>1</v>
      </c>
      <c r="BJ10" s="26"/>
      <c r="BK10" s="29"/>
      <c r="BL10" s="28"/>
      <c r="BM10" s="26"/>
      <c r="BN10" s="26"/>
      <c r="BO10" s="29"/>
      <c r="BP10" s="28"/>
      <c r="BQ10" s="26"/>
      <c r="BR10" s="26"/>
      <c r="BS10" s="29"/>
      <c r="BT10" s="28"/>
      <c r="BU10" s="26"/>
      <c r="BV10" s="26"/>
      <c r="BW10" s="29"/>
      <c r="BX10" s="28"/>
      <c r="BY10" s="26"/>
      <c r="BZ10" s="26"/>
      <c r="CA10" s="29"/>
      <c r="CB10" s="28"/>
      <c r="CC10" s="26"/>
      <c r="CD10" s="26"/>
      <c r="CE10" s="29"/>
      <c r="CF10" s="28">
        <v>1</v>
      </c>
      <c r="CG10" s="26"/>
      <c r="CH10" s="26"/>
      <c r="CI10" s="29"/>
      <c r="CJ10" s="28"/>
      <c r="CK10" s="26"/>
      <c r="CL10" s="26"/>
      <c r="CM10" s="29"/>
      <c r="CN10" s="28"/>
      <c r="CO10" s="26"/>
      <c r="CP10" s="26"/>
      <c r="CQ10" s="29"/>
      <c r="CR10" s="28"/>
      <c r="CS10" s="26"/>
      <c r="CT10" s="26"/>
      <c r="CU10" s="29"/>
      <c r="CV10" s="28"/>
      <c r="CW10" s="26">
        <v>1</v>
      </c>
      <c r="CX10" s="26"/>
      <c r="CY10" s="29"/>
      <c r="CZ10" s="28"/>
      <c r="DA10" s="26"/>
      <c r="DB10" s="26"/>
      <c r="DC10" s="29"/>
    </row>
    <row r="11" spans="1:107" ht="19.899999999999999" customHeight="1" x14ac:dyDescent="0.25">
      <c r="A11" s="178"/>
      <c r="B11" s="154" t="str">
        <f>Jugadores!I10</f>
        <v>Alejandro Acevedo</v>
      </c>
      <c r="C11" s="155"/>
      <c r="D11" s="24">
        <f t="shared" si="0"/>
        <v>1</v>
      </c>
      <c r="E11" s="24">
        <f t="shared" si="1"/>
        <v>3</v>
      </c>
      <c r="F11" s="115">
        <f t="shared" si="2"/>
        <v>0</v>
      </c>
      <c r="G11" s="115">
        <f t="shared" si="3"/>
        <v>1</v>
      </c>
      <c r="H11" s="28"/>
      <c r="I11" s="26"/>
      <c r="J11" s="26"/>
      <c r="K11" s="29"/>
      <c r="L11" s="28"/>
      <c r="M11" s="26"/>
      <c r="N11" s="26"/>
      <c r="O11" s="29"/>
      <c r="P11" s="28"/>
      <c r="Q11" s="26"/>
      <c r="R11" s="26"/>
      <c r="S11" s="29"/>
      <c r="T11" s="28"/>
      <c r="U11" s="26"/>
      <c r="V11" s="26"/>
      <c r="W11" s="29"/>
      <c r="X11" s="28"/>
      <c r="Y11" s="26"/>
      <c r="Z11" s="26"/>
      <c r="AA11" s="29"/>
      <c r="AB11" s="28"/>
      <c r="AC11" s="26"/>
      <c r="AD11" s="26"/>
      <c r="AE11" s="29"/>
      <c r="AF11" s="28"/>
      <c r="AG11" s="26"/>
      <c r="AH11" s="26"/>
      <c r="AI11" s="29"/>
      <c r="AJ11" s="28"/>
      <c r="AK11" s="26">
        <v>1</v>
      </c>
      <c r="AL11" s="26"/>
      <c r="AM11" s="29"/>
      <c r="AN11" s="28"/>
      <c r="AO11" s="26"/>
      <c r="AP11" s="26"/>
      <c r="AQ11" s="29"/>
      <c r="AR11" s="28"/>
      <c r="AS11" s="26"/>
      <c r="AT11" s="26"/>
      <c r="AU11" s="29"/>
      <c r="AV11" s="28">
        <v>1</v>
      </c>
      <c r="AW11" s="26">
        <v>1</v>
      </c>
      <c r="AX11" s="26"/>
      <c r="AY11" s="29"/>
      <c r="AZ11" s="28"/>
      <c r="BA11" s="26"/>
      <c r="BB11" s="26"/>
      <c r="BC11" s="29"/>
      <c r="BD11" s="28"/>
      <c r="BE11" s="26"/>
      <c r="BF11" s="26"/>
      <c r="BG11" s="29"/>
      <c r="BH11" s="28"/>
      <c r="BI11" s="26"/>
      <c r="BJ11" s="26"/>
      <c r="BK11" s="29"/>
      <c r="BL11" s="28"/>
      <c r="BM11" s="26"/>
      <c r="BN11" s="26"/>
      <c r="BO11" s="29"/>
      <c r="BP11" s="28"/>
      <c r="BQ11" s="26"/>
      <c r="BR11" s="26"/>
      <c r="BS11" s="29"/>
      <c r="BT11" s="28"/>
      <c r="BU11" s="26"/>
      <c r="BV11" s="26"/>
      <c r="BW11" s="29"/>
      <c r="BX11" s="28"/>
      <c r="BY11" s="26">
        <v>1</v>
      </c>
      <c r="BZ11" s="26"/>
      <c r="CA11" s="29"/>
      <c r="CB11" s="28"/>
      <c r="CC11" s="26"/>
      <c r="CD11" s="26"/>
      <c r="CE11" s="29"/>
      <c r="CF11" s="28"/>
      <c r="CG11" s="26"/>
      <c r="CH11" s="26"/>
      <c r="CI11" s="29"/>
      <c r="CJ11" s="28"/>
      <c r="CK11" s="26"/>
      <c r="CL11" s="26"/>
      <c r="CM11" s="29"/>
      <c r="CN11" s="28"/>
      <c r="CO11" s="26"/>
      <c r="CP11" s="26"/>
      <c r="CQ11" s="29"/>
      <c r="CR11" s="28"/>
      <c r="CS11" s="26"/>
      <c r="CT11" s="26"/>
      <c r="CU11" s="29"/>
      <c r="CV11" s="28"/>
      <c r="CW11" s="26"/>
      <c r="CX11" s="26"/>
      <c r="CY11" s="29"/>
      <c r="CZ11" s="28"/>
      <c r="DA11" s="26"/>
      <c r="DB11" s="26"/>
      <c r="DC11" s="29"/>
    </row>
    <row r="12" spans="1:107" ht="19.899999999999999" customHeight="1" x14ac:dyDescent="0.25">
      <c r="A12" s="178"/>
      <c r="B12" s="154" t="str">
        <f>Jugadores!I11</f>
        <v>Victor Sierra</v>
      </c>
      <c r="C12" s="155"/>
      <c r="D12" s="24">
        <f t="shared" si="0"/>
        <v>1</v>
      </c>
      <c r="E12" s="24">
        <f t="shared" si="1"/>
        <v>3</v>
      </c>
      <c r="F12" s="115">
        <f t="shared" si="2"/>
        <v>0</v>
      </c>
      <c r="G12" s="115">
        <f t="shared" si="3"/>
        <v>1</v>
      </c>
      <c r="H12" s="28"/>
      <c r="I12" s="26"/>
      <c r="J12" s="26"/>
      <c r="K12" s="29"/>
      <c r="L12" s="28"/>
      <c r="M12" s="26"/>
      <c r="N12" s="26"/>
      <c r="O12" s="29"/>
      <c r="P12" s="28"/>
      <c r="Q12" s="26"/>
      <c r="R12" s="26"/>
      <c r="S12" s="29"/>
      <c r="T12" s="28"/>
      <c r="U12" s="26"/>
      <c r="V12" s="26"/>
      <c r="W12" s="29"/>
      <c r="X12" s="28"/>
      <c r="Y12" s="26"/>
      <c r="Z12" s="26"/>
      <c r="AA12" s="29"/>
      <c r="AB12" s="28"/>
      <c r="AC12" s="26">
        <v>1</v>
      </c>
      <c r="AD12" s="26"/>
      <c r="AE12" s="29"/>
      <c r="AF12" s="28"/>
      <c r="AG12" s="26"/>
      <c r="AH12" s="26"/>
      <c r="AI12" s="29"/>
      <c r="AJ12" s="28"/>
      <c r="AK12" s="26"/>
      <c r="AL12" s="26"/>
      <c r="AM12" s="29"/>
      <c r="AN12" s="28"/>
      <c r="AO12" s="26"/>
      <c r="AP12" s="26"/>
      <c r="AQ12" s="29"/>
      <c r="AR12" s="28"/>
      <c r="AS12" s="26"/>
      <c r="AT12" s="26"/>
      <c r="AU12" s="29"/>
      <c r="AV12" s="28"/>
      <c r="AW12" s="26">
        <v>1</v>
      </c>
      <c r="AX12" s="26"/>
      <c r="AY12" s="29"/>
      <c r="AZ12" s="28"/>
      <c r="BA12" s="26"/>
      <c r="BB12" s="26"/>
      <c r="BC12" s="29"/>
      <c r="BD12" s="28"/>
      <c r="BE12" s="26"/>
      <c r="BF12" s="26"/>
      <c r="BG12" s="29"/>
      <c r="BH12" s="28"/>
      <c r="BI12" s="26"/>
      <c r="BJ12" s="26"/>
      <c r="BK12" s="29"/>
      <c r="BL12" s="28">
        <v>1</v>
      </c>
      <c r="BM12" s="26"/>
      <c r="BN12" s="26"/>
      <c r="BO12" s="29"/>
      <c r="BP12" s="28"/>
      <c r="BQ12" s="26"/>
      <c r="BR12" s="26"/>
      <c r="BS12" s="29"/>
      <c r="BT12" s="28"/>
      <c r="BU12" s="26"/>
      <c r="BV12" s="26"/>
      <c r="BW12" s="29"/>
      <c r="BX12" s="28"/>
      <c r="BY12" s="26">
        <v>1</v>
      </c>
      <c r="BZ12" s="26"/>
      <c r="CA12" s="29"/>
      <c r="CB12" s="28"/>
      <c r="CC12" s="26"/>
      <c r="CD12" s="26"/>
      <c r="CE12" s="29"/>
      <c r="CF12" s="28"/>
      <c r="CG12" s="26"/>
      <c r="CH12" s="26"/>
      <c r="CI12" s="29"/>
      <c r="CJ12" s="28"/>
      <c r="CK12" s="26"/>
      <c r="CL12" s="26"/>
      <c r="CM12" s="29"/>
      <c r="CN12" s="28"/>
      <c r="CO12" s="26"/>
      <c r="CP12" s="26"/>
      <c r="CQ12" s="29"/>
      <c r="CR12" s="28"/>
      <c r="CS12" s="26"/>
      <c r="CT12" s="26"/>
      <c r="CU12" s="29"/>
      <c r="CV12" s="28"/>
      <c r="CW12" s="26"/>
      <c r="CX12" s="26"/>
      <c r="CY12" s="29"/>
      <c r="CZ12" s="28"/>
      <c r="DA12" s="26"/>
      <c r="DB12" s="26"/>
      <c r="DC12" s="29"/>
    </row>
    <row r="13" spans="1:107" ht="19.899999999999999" customHeight="1" x14ac:dyDescent="0.25">
      <c r="A13" s="178"/>
      <c r="B13" s="154" t="str">
        <f>Jugadores!I12</f>
        <v>Santiago Grisales</v>
      </c>
      <c r="C13" s="155"/>
      <c r="D13" s="24">
        <f>H13+L13+P13+T13+X13+AB13+AF13+AJ13+AN13+AR13+AV13+AZ13+BD13+BH13+BL13+BP13+BT13+BX13+CB13+CF13+CJ13+CN13+CR13+CV13+CZ13</f>
        <v>6</v>
      </c>
      <c r="E13" s="24">
        <f t="shared" si="1"/>
        <v>2</v>
      </c>
      <c r="F13" s="115">
        <f t="shared" si="2"/>
        <v>2</v>
      </c>
      <c r="G13" s="115">
        <f t="shared" si="3"/>
        <v>0</v>
      </c>
      <c r="H13" s="28"/>
      <c r="I13" s="26"/>
      <c r="J13" s="26"/>
      <c r="K13" s="29"/>
      <c r="L13" s="28"/>
      <c r="M13" s="26"/>
      <c r="N13" s="26"/>
      <c r="O13" s="29"/>
      <c r="P13" s="28"/>
      <c r="Q13" s="26"/>
      <c r="R13" s="26"/>
      <c r="S13" s="29"/>
      <c r="T13" s="28"/>
      <c r="U13" s="26"/>
      <c r="V13" s="26"/>
      <c r="W13" s="29"/>
      <c r="X13" s="28"/>
      <c r="Y13" s="26"/>
      <c r="Z13" s="26"/>
      <c r="AA13" s="29"/>
      <c r="AB13" s="28"/>
      <c r="AC13" s="26"/>
      <c r="AD13" s="26"/>
      <c r="AE13" s="29"/>
      <c r="AF13" s="28"/>
      <c r="AG13" s="26"/>
      <c r="AH13" s="26"/>
      <c r="AI13" s="29"/>
      <c r="AJ13" s="28">
        <v>1</v>
      </c>
      <c r="AK13" s="26">
        <v>1</v>
      </c>
      <c r="AL13" s="26"/>
      <c r="AM13" s="29"/>
      <c r="AN13" s="28">
        <v>1</v>
      </c>
      <c r="AO13" s="26"/>
      <c r="AP13" s="26"/>
      <c r="AQ13" s="29"/>
      <c r="AR13" s="28"/>
      <c r="AS13" s="26"/>
      <c r="AT13" s="26"/>
      <c r="AU13" s="29"/>
      <c r="AV13" s="28">
        <v>1</v>
      </c>
      <c r="AW13" s="26">
        <v>1</v>
      </c>
      <c r="AX13" s="26"/>
      <c r="AY13" s="29"/>
      <c r="AZ13" s="28"/>
      <c r="BA13" s="26"/>
      <c r="BB13" s="26"/>
      <c r="BC13" s="29"/>
      <c r="BD13" s="28"/>
      <c r="BE13" s="26"/>
      <c r="BF13" s="26"/>
      <c r="BG13" s="29"/>
      <c r="BH13" s="28">
        <v>1</v>
      </c>
      <c r="BI13" s="26"/>
      <c r="BJ13" s="26"/>
      <c r="BK13" s="29"/>
      <c r="BL13" s="28"/>
      <c r="BM13" s="26"/>
      <c r="BN13" s="26"/>
      <c r="BO13" s="29"/>
      <c r="BP13" s="28"/>
      <c r="BQ13" s="26"/>
      <c r="BR13" s="26"/>
      <c r="BS13" s="29"/>
      <c r="BT13" s="28"/>
      <c r="BU13" s="26">
        <v>1</v>
      </c>
      <c r="BV13" s="26"/>
      <c r="BW13" s="29"/>
      <c r="BX13" s="28"/>
      <c r="BY13" s="26"/>
      <c r="BZ13" s="26"/>
      <c r="CA13" s="29"/>
      <c r="CB13" s="28">
        <v>1</v>
      </c>
      <c r="CC13" s="26"/>
      <c r="CD13" s="26"/>
      <c r="CE13" s="29"/>
      <c r="CF13" s="28"/>
      <c r="CG13" s="26"/>
      <c r="CH13" s="26"/>
      <c r="CI13" s="29"/>
      <c r="CJ13" s="28"/>
      <c r="CK13" s="26"/>
      <c r="CL13" s="26"/>
      <c r="CM13" s="29"/>
      <c r="CN13" s="28">
        <v>1</v>
      </c>
      <c r="CO13" s="26"/>
      <c r="CP13" s="26"/>
      <c r="CQ13" s="29"/>
      <c r="CR13" s="28"/>
      <c r="CS13" s="26"/>
      <c r="CT13" s="26"/>
      <c r="CU13" s="29"/>
      <c r="CV13" s="28"/>
      <c r="CW13" s="26"/>
      <c r="CX13" s="26"/>
      <c r="CY13" s="29"/>
      <c r="CZ13" s="28"/>
      <c r="DA13" s="26"/>
      <c r="DB13" s="26"/>
      <c r="DC13" s="29"/>
    </row>
    <row r="14" spans="1:107" ht="19.899999999999999" customHeight="1" x14ac:dyDescent="0.25">
      <c r="A14" s="178"/>
      <c r="B14" s="154" t="str">
        <f>Jugadores!I13</f>
        <v>Juan Esteban Otalvaro</v>
      </c>
      <c r="C14" s="155"/>
      <c r="D14" s="24">
        <f t="shared" si="0"/>
        <v>0</v>
      </c>
      <c r="E14" s="24">
        <f t="shared" si="1"/>
        <v>0</v>
      </c>
      <c r="F14" s="115">
        <f t="shared" si="2"/>
        <v>0</v>
      </c>
      <c r="G14" s="115">
        <f t="shared" si="3"/>
        <v>0</v>
      </c>
      <c r="H14" s="28"/>
      <c r="I14" s="26"/>
      <c r="J14" s="26"/>
      <c r="K14" s="29"/>
      <c r="L14" s="28"/>
      <c r="M14" s="26"/>
      <c r="N14" s="26"/>
      <c r="O14" s="29"/>
      <c r="P14" s="28"/>
      <c r="Q14" s="26"/>
      <c r="R14" s="26"/>
      <c r="S14" s="29"/>
      <c r="T14" s="28"/>
      <c r="U14" s="26"/>
      <c r="V14" s="26"/>
      <c r="W14" s="29"/>
      <c r="X14" s="28"/>
      <c r="Y14" s="26"/>
      <c r="Z14" s="26"/>
      <c r="AA14" s="29"/>
      <c r="AB14" s="28"/>
      <c r="AC14" s="26"/>
      <c r="AD14" s="26"/>
      <c r="AE14" s="29"/>
      <c r="AF14" s="28"/>
      <c r="AG14" s="26"/>
      <c r="AH14" s="26"/>
      <c r="AI14" s="29"/>
      <c r="AJ14" s="28"/>
      <c r="AK14" s="26"/>
      <c r="AL14" s="26"/>
      <c r="AM14" s="29"/>
      <c r="AN14" s="28"/>
      <c r="AO14" s="26"/>
      <c r="AP14" s="26"/>
      <c r="AQ14" s="29"/>
      <c r="AR14" s="28"/>
      <c r="AS14" s="26"/>
      <c r="AT14" s="26"/>
      <c r="AU14" s="29"/>
      <c r="AV14" s="28"/>
      <c r="AW14" s="26"/>
      <c r="AX14" s="26"/>
      <c r="AY14" s="29"/>
      <c r="AZ14" s="28"/>
      <c r="BA14" s="26"/>
      <c r="BB14" s="26"/>
      <c r="BC14" s="29"/>
      <c r="BD14" s="28"/>
      <c r="BE14" s="26"/>
      <c r="BF14" s="26"/>
      <c r="BG14" s="29"/>
      <c r="BH14" s="28"/>
      <c r="BI14" s="26"/>
      <c r="BJ14" s="26"/>
      <c r="BK14" s="29"/>
      <c r="BL14" s="28"/>
      <c r="BM14" s="26"/>
      <c r="BN14" s="26"/>
      <c r="BO14" s="29"/>
      <c r="BP14" s="28"/>
      <c r="BQ14" s="26"/>
      <c r="BR14" s="26"/>
      <c r="BS14" s="29"/>
      <c r="BT14" s="28"/>
      <c r="BU14" s="26"/>
      <c r="BV14" s="26"/>
      <c r="BW14" s="29"/>
      <c r="BX14" s="28"/>
      <c r="BY14" s="26"/>
      <c r="BZ14" s="26"/>
      <c r="CA14" s="29"/>
      <c r="CB14" s="28"/>
      <c r="CC14" s="26"/>
      <c r="CD14" s="26"/>
      <c r="CE14" s="29"/>
      <c r="CF14" s="28"/>
      <c r="CG14" s="26"/>
      <c r="CH14" s="26"/>
      <c r="CI14" s="29"/>
      <c r="CJ14" s="28"/>
      <c r="CK14" s="26"/>
      <c r="CL14" s="26"/>
      <c r="CM14" s="29"/>
      <c r="CN14" s="28"/>
      <c r="CO14" s="26"/>
      <c r="CP14" s="26"/>
      <c r="CQ14" s="29"/>
      <c r="CR14" s="28"/>
      <c r="CS14" s="26"/>
      <c r="CT14" s="26"/>
      <c r="CU14" s="29"/>
      <c r="CV14" s="28"/>
      <c r="CW14" s="26"/>
      <c r="CX14" s="26"/>
      <c r="CY14" s="29"/>
      <c r="CZ14" s="28"/>
      <c r="DA14" s="26"/>
      <c r="DB14" s="26"/>
      <c r="DC14" s="29"/>
    </row>
    <row r="15" spans="1:107" ht="19.899999999999999" customHeight="1" x14ac:dyDescent="0.25">
      <c r="A15" s="178"/>
      <c r="B15" s="154" t="str">
        <f>Jugadores!I14</f>
        <v>Cristián Duque</v>
      </c>
      <c r="C15" s="155"/>
      <c r="D15" s="24">
        <f t="shared" si="0"/>
        <v>7</v>
      </c>
      <c r="E15" s="24">
        <f t="shared" si="1"/>
        <v>4</v>
      </c>
      <c r="F15" s="115">
        <f t="shared" si="2"/>
        <v>3</v>
      </c>
      <c r="G15" s="115">
        <f t="shared" si="3"/>
        <v>0</v>
      </c>
      <c r="H15" s="28"/>
      <c r="I15" s="26"/>
      <c r="J15" s="26"/>
      <c r="K15" s="29"/>
      <c r="L15" s="28"/>
      <c r="M15" s="26"/>
      <c r="N15" s="26"/>
      <c r="O15" s="29"/>
      <c r="P15" s="28"/>
      <c r="Q15" s="26"/>
      <c r="R15" s="26"/>
      <c r="S15" s="29"/>
      <c r="T15" s="28"/>
      <c r="U15" s="26"/>
      <c r="V15" s="26"/>
      <c r="W15" s="29"/>
      <c r="X15" s="28"/>
      <c r="Y15" s="26">
        <v>1</v>
      </c>
      <c r="Z15" s="26"/>
      <c r="AA15" s="29"/>
      <c r="AB15" s="28">
        <v>1</v>
      </c>
      <c r="AC15" s="26"/>
      <c r="AD15" s="26"/>
      <c r="AE15" s="29"/>
      <c r="AF15" s="28"/>
      <c r="AG15" s="26"/>
      <c r="AH15" s="26"/>
      <c r="AI15" s="29"/>
      <c r="AJ15" s="28"/>
      <c r="AK15" s="26"/>
      <c r="AL15" s="26"/>
      <c r="AM15" s="29"/>
      <c r="AN15" s="28">
        <v>1</v>
      </c>
      <c r="AO15" s="26">
        <v>1</v>
      </c>
      <c r="AP15" s="26"/>
      <c r="AQ15" s="29"/>
      <c r="AR15" s="28">
        <v>1</v>
      </c>
      <c r="AS15" s="26">
        <v>1</v>
      </c>
      <c r="AT15" s="26"/>
      <c r="AU15" s="29"/>
      <c r="AV15" s="28">
        <v>1</v>
      </c>
      <c r="AW15" s="26"/>
      <c r="AX15" s="26"/>
      <c r="AY15" s="29"/>
      <c r="AZ15" s="28"/>
      <c r="BA15" s="26"/>
      <c r="BB15" s="26"/>
      <c r="BC15" s="29"/>
      <c r="BD15" s="28"/>
      <c r="BE15" s="26"/>
      <c r="BF15" s="26"/>
      <c r="BG15" s="29"/>
      <c r="BH15" s="28"/>
      <c r="BI15" s="26"/>
      <c r="BJ15" s="26"/>
      <c r="BK15" s="29"/>
      <c r="BL15" s="28"/>
      <c r="BM15" s="26">
        <v>1</v>
      </c>
      <c r="BN15" s="26"/>
      <c r="BO15" s="29"/>
      <c r="BP15" s="28"/>
      <c r="BQ15" s="26"/>
      <c r="BR15" s="26"/>
      <c r="BS15" s="29"/>
      <c r="BT15" s="28">
        <v>1</v>
      </c>
      <c r="BU15" s="26"/>
      <c r="BV15" s="26"/>
      <c r="BW15" s="29"/>
      <c r="BX15" s="28"/>
      <c r="BY15" s="26"/>
      <c r="BZ15" s="26"/>
      <c r="CA15" s="29"/>
      <c r="CB15" s="28"/>
      <c r="CC15" s="26"/>
      <c r="CD15" s="26"/>
      <c r="CE15" s="29"/>
      <c r="CF15" s="28"/>
      <c r="CG15" s="26"/>
      <c r="CH15" s="26"/>
      <c r="CI15" s="29"/>
      <c r="CJ15" s="28"/>
      <c r="CK15" s="26">
        <v>1</v>
      </c>
      <c r="CL15" s="26"/>
      <c r="CM15" s="29"/>
      <c r="CN15" s="28">
        <v>1</v>
      </c>
      <c r="CO15" s="26"/>
      <c r="CP15" s="26"/>
      <c r="CQ15" s="29"/>
      <c r="CR15" s="28">
        <v>1</v>
      </c>
      <c r="CS15" s="26">
        <v>1</v>
      </c>
      <c r="CT15" s="26"/>
      <c r="CU15" s="29"/>
      <c r="CV15" s="28"/>
      <c r="CW15" s="26"/>
      <c r="CX15" s="26"/>
      <c r="CY15" s="29"/>
      <c r="CZ15" s="28"/>
      <c r="DA15" s="26"/>
      <c r="DB15" s="26"/>
      <c r="DC15" s="29"/>
    </row>
    <row r="16" spans="1:107" ht="19.899999999999999" customHeight="1" x14ac:dyDescent="0.25">
      <c r="A16" s="178"/>
      <c r="B16" s="154" t="str">
        <f>Jugadores!I15</f>
        <v>Cristian Carvajal Ríos</v>
      </c>
      <c r="C16" s="155"/>
      <c r="D16" s="24">
        <f t="shared" si="0"/>
        <v>10</v>
      </c>
      <c r="E16" s="24">
        <f t="shared" si="1"/>
        <v>0</v>
      </c>
      <c r="F16" s="115">
        <f t="shared" si="2"/>
        <v>10</v>
      </c>
      <c r="G16" s="115">
        <f t="shared" si="3"/>
        <v>0</v>
      </c>
      <c r="H16" s="28"/>
      <c r="I16" s="26"/>
      <c r="J16" s="26"/>
      <c r="K16" s="29"/>
      <c r="L16" s="28"/>
      <c r="M16" s="26"/>
      <c r="N16" s="26"/>
      <c r="O16" s="29"/>
      <c r="P16" s="28"/>
      <c r="Q16" s="26"/>
      <c r="R16" s="26"/>
      <c r="S16" s="29"/>
      <c r="T16" s="28"/>
      <c r="U16" s="26"/>
      <c r="V16" s="26"/>
      <c r="W16" s="29"/>
      <c r="X16" s="28"/>
      <c r="Y16" s="26"/>
      <c r="Z16" s="26"/>
      <c r="AA16" s="29"/>
      <c r="AB16" s="28"/>
      <c r="AC16" s="26"/>
      <c r="AD16" s="26"/>
      <c r="AE16" s="29"/>
      <c r="AF16" s="28"/>
      <c r="AG16" s="26"/>
      <c r="AH16" s="26"/>
      <c r="AI16" s="29"/>
      <c r="AJ16" s="28"/>
      <c r="AK16" s="26"/>
      <c r="AL16" s="26"/>
      <c r="AM16" s="29"/>
      <c r="AN16" s="28"/>
      <c r="AO16" s="26"/>
      <c r="AP16" s="26"/>
      <c r="AQ16" s="29"/>
      <c r="AR16" s="28"/>
      <c r="AS16" s="26"/>
      <c r="AT16" s="26"/>
      <c r="AU16" s="29"/>
      <c r="AV16" s="28"/>
      <c r="AW16" s="26"/>
      <c r="AX16" s="26"/>
      <c r="AY16" s="29"/>
      <c r="AZ16" s="28"/>
      <c r="BA16" s="26"/>
      <c r="BB16" s="26"/>
      <c r="BC16" s="29"/>
      <c r="BD16" s="28"/>
      <c r="BE16" s="26"/>
      <c r="BF16" s="26"/>
      <c r="BG16" s="29"/>
      <c r="BH16" s="28"/>
      <c r="BI16" s="26"/>
      <c r="BJ16" s="26"/>
      <c r="BK16" s="29"/>
      <c r="BL16" s="28"/>
      <c r="BM16" s="26"/>
      <c r="BN16" s="26"/>
      <c r="BO16" s="29"/>
      <c r="BP16" s="28"/>
      <c r="BQ16" s="26"/>
      <c r="BR16" s="26"/>
      <c r="BS16" s="29"/>
      <c r="BT16" s="28"/>
      <c r="BU16" s="26"/>
      <c r="BV16" s="26"/>
      <c r="BW16" s="29"/>
      <c r="BX16" s="28">
        <v>2</v>
      </c>
      <c r="BY16" s="26"/>
      <c r="BZ16" s="26"/>
      <c r="CA16" s="29"/>
      <c r="CB16" s="28"/>
      <c r="CC16" s="26">
        <v>1</v>
      </c>
      <c r="CD16" s="26"/>
      <c r="CE16" s="29"/>
      <c r="CF16" s="28">
        <v>1</v>
      </c>
      <c r="CG16" s="26"/>
      <c r="CH16" s="26"/>
      <c r="CI16" s="29"/>
      <c r="CJ16" s="28">
        <v>2</v>
      </c>
      <c r="CK16" s="26"/>
      <c r="CL16" s="26"/>
      <c r="CM16" s="29"/>
      <c r="CN16" s="28">
        <v>2</v>
      </c>
      <c r="CO16" s="26"/>
      <c r="CP16" s="26"/>
      <c r="CQ16" s="29"/>
      <c r="CR16" s="28">
        <v>1</v>
      </c>
      <c r="CS16" s="26"/>
      <c r="CT16" s="26"/>
      <c r="CU16" s="29"/>
      <c r="CV16" s="28">
        <v>2</v>
      </c>
      <c r="CW16" s="26"/>
      <c r="CX16" s="26"/>
      <c r="CY16" s="29"/>
      <c r="CZ16" s="28"/>
      <c r="DA16" s="26"/>
      <c r="DB16" s="26"/>
      <c r="DC16" s="29"/>
    </row>
    <row r="17" spans="1:107" ht="19.899999999999999" customHeight="1" x14ac:dyDescent="0.25">
      <c r="A17" s="178"/>
      <c r="B17" s="154" t="str">
        <f>Jugadores!I16</f>
        <v>Santiago Cuervo</v>
      </c>
      <c r="C17" s="155"/>
      <c r="D17" s="24">
        <f t="shared" si="0"/>
        <v>3</v>
      </c>
      <c r="E17" s="24">
        <f t="shared" si="1"/>
        <v>0</v>
      </c>
      <c r="F17" s="115">
        <f t="shared" si="2"/>
        <v>0</v>
      </c>
      <c r="G17" s="115">
        <f t="shared" si="3"/>
        <v>0</v>
      </c>
      <c r="H17" s="28"/>
      <c r="I17" s="26"/>
      <c r="J17" s="26"/>
      <c r="K17" s="29"/>
      <c r="L17" s="28"/>
      <c r="M17" s="26"/>
      <c r="N17" s="26"/>
      <c r="O17" s="29"/>
      <c r="P17" s="28"/>
      <c r="Q17" s="26"/>
      <c r="R17" s="26"/>
      <c r="S17" s="29"/>
      <c r="T17" s="28"/>
      <c r="U17" s="26"/>
      <c r="V17" s="26"/>
      <c r="W17" s="29"/>
      <c r="X17" s="28">
        <v>2</v>
      </c>
      <c r="Y17" s="26"/>
      <c r="Z17" s="26"/>
      <c r="AA17" s="29"/>
      <c r="AB17" s="28"/>
      <c r="AC17" s="26"/>
      <c r="AD17" s="26"/>
      <c r="AE17" s="29"/>
      <c r="AF17" s="28"/>
      <c r="AG17" s="26"/>
      <c r="AH17" s="26"/>
      <c r="AI17" s="29"/>
      <c r="AJ17" s="28"/>
      <c r="AK17" s="26"/>
      <c r="AL17" s="26"/>
      <c r="AM17" s="29"/>
      <c r="AN17" s="28"/>
      <c r="AO17" s="26"/>
      <c r="AP17" s="26"/>
      <c r="AQ17" s="29"/>
      <c r="AR17" s="28"/>
      <c r="AS17" s="26"/>
      <c r="AT17" s="26"/>
      <c r="AU17" s="29"/>
      <c r="AV17" s="28"/>
      <c r="AW17" s="26"/>
      <c r="AX17" s="26"/>
      <c r="AY17" s="29"/>
      <c r="AZ17" s="28"/>
      <c r="BA17" s="26"/>
      <c r="BB17" s="26"/>
      <c r="BC17" s="29"/>
      <c r="BD17" s="28">
        <v>1</v>
      </c>
      <c r="BE17" s="26"/>
      <c r="BF17" s="26"/>
      <c r="BG17" s="29"/>
      <c r="BH17" s="28"/>
      <c r="BI17" s="26"/>
      <c r="BJ17" s="26"/>
      <c r="BK17" s="29"/>
      <c r="BL17" s="28"/>
      <c r="BM17" s="26"/>
      <c r="BN17" s="26"/>
      <c r="BO17" s="29"/>
      <c r="BP17" s="28"/>
      <c r="BQ17" s="26"/>
      <c r="BR17" s="26"/>
      <c r="BS17" s="29"/>
      <c r="BT17" s="28"/>
      <c r="BU17" s="26"/>
      <c r="BV17" s="26"/>
      <c r="BW17" s="29"/>
      <c r="BX17" s="28"/>
      <c r="BY17" s="26"/>
      <c r="BZ17" s="26"/>
      <c r="CA17" s="29"/>
      <c r="CB17" s="28"/>
      <c r="CC17" s="26"/>
      <c r="CD17" s="26"/>
      <c r="CE17" s="29"/>
      <c r="CF17" s="28"/>
      <c r="CG17" s="26"/>
      <c r="CH17" s="26"/>
      <c r="CI17" s="29"/>
      <c r="CJ17" s="28"/>
      <c r="CK17" s="26"/>
      <c r="CL17" s="26"/>
      <c r="CM17" s="29"/>
      <c r="CN17" s="28"/>
      <c r="CO17" s="26"/>
      <c r="CP17" s="26"/>
      <c r="CQ17" s="29"/>
      <c r="CR17" s="28"/>
      <c r="CS17" s="26"/>
      <c r="CT17" s="26"/>
      <c r="CU17" s="29"/>
      <c r="CV17" s="28"/>
      <c r="CW17" s="26"/>
      <c r="CX17" s="26"/>
      <c r="CY17" s="29"/>
      <c r="CZ17" s="28"/>
      <c r="DA17" s="26"/>
      <c r="DB17" s="26"/>
      <c r="DC17" s="29"/>
    </row>
    <row r="18" spans="1:107" ht="19.899999999999999" customHeight="1" x14ac:dyDescent="0.25">
      <c r="A18" s="179"/>
      <c r="B18" s="156" t="str">
        <f>Jugadores!I17</f>
        <v>Santos FC 15</v>
      </c>
      <c r="C18" s="157"/>
      <c r="D18" s="24">
        <f t="shared" si="0"/>
        <v>8</v>
      </c>
      <c r="E18" s="24">
        <f t="shared" si="1"/>
        <v>1</v>
      </c>
      <c r="F18" s="115">
        <f t="shared" si="2"/>
        <v>5</v>
      </c>
      <c r="G18" s="115">
        <f t="shared" si="3"/>
        <v>0</v>
      </c>
      <c r="H18" s="28"/>
      <c r="I18" s="26"/>
      <c r="J18" s="26"/>
      <c r="K18" s="29"/>
      <c r="L18" s="28"/>
      <c r="M18" s="26"/>
      <c r="N18" s="26"/>
      <c r="O18" s="29"/>
      <c r="P18" s="28"/>
      <c r="Q18" s="26"/>
      <c r="R18" s="26"/>
      <c r="S18" s="29"/>
      <c r="T18" s="28"/>
      <c r="U18" s="26"/>
      <c r="V18" s="26"/>
      <c r="W18" s="29"/>
      <c r="X18" s="28"/>
      <c r="Y18" s="26"/>
      <c r="Z18" s="26"/>
      <c r="AA18" s="29"/>
      <c r="AB18" s="28"/>
      <c r="AC18" s="26"/>
      <c r="AD18" s="26"/>
      <c r="AE18" s="29"/>
      <c r="AF18" s="28"/>
      <c r="AG18" s="26"/>
      <c r="AH18" s="26"/>
      <c r="AI18" s="29"/>
      <c r="AJ18" s="28">
        <v>1</v>
      </c>
      <c r="AK18" s="26"/>
      <c r="AL18" s="26"/>
      <c r="AM18" s="29"/>
      <c r="AN18" s="28"/>
      <c r="AO18" s="26"/>
      <c r="AP18" s="26"/>
      <c r="AQ18" s="29"/>
      <c r="AR18" s="28"/>
      <c r="AS18" s="26"/>
      <c r="AT18" s="26"/>
      <c r="AU18" s="29"/>
      <c r="AV18" s="28"/>
      <c r="AW18" s="26">
        <v>1</v>
      </c>
      <c r="AX18" s="26"/>
      <c r="AY18" s="29"/>
      <c r="AZ18" s="28">
        <v>1</v>
      </c>
      <c r="BA18" s="26"/>
      <c r="BB18" s="26"/>
      <c r="BC18" s="29"/>
      <c r="BD18" s="28">
        <v>1</v>
      </c>
      <c r="BE18" s="26"/>
      <c r="BF18" s="26"/>
      <c r="BG18" s="29"/>
      <c r="BH18" s="28"/>
      <c r="BI18" s="26"/>
      <c r="BJ18" s="26"/>
      <c r="BK18" s="29"/>
      <c r="BL18" s="28"/>
      <c r="BM18" s="26"/>
      <c r="BN18" s="26"/>
      <c r="BO18" s="29"/>
      <c r="BP18" s="28"/>
      <c r="BQ18" s="26"/>
      <c r="BR18" s="26"/>
      <c r="BS18" s="29"/>
      <c r="BT18" s="28">
        <v>1</v>
      </c>
      <c r="BU18" s="26">
        <v>1</v>
      </c>
      <c r="BV18" s="26"/>
      <c r="BW18" s="29"/>
      <c r="BX18" s="28">
        <v>1</v>
      </c>
      <c r="BY18" s="26"/>
      <c r="BZ18" s="26"/>
      <c r="CA18" s="29"/>
      <c r="CB18" s="28">
        <v>2</v>
      </c>
      <c r="CC18" s="26"/>
      <c r="CD18" s="26"/>
      <c r="CE18" s="29"/>
      <c r="CF18" s="28">
        <v>1</v>
      </c>
      <c r="CG18" s="26"/>
      <c r="CH18" s="26"/>
      <c r="CI18" s="29"/>
      <c r="CJ18" s="28"/>
      <c r="CK18" s="26"/>
      <c r="CL18" s="26"/>
      <c r="CM18" s="29"/>
      <c r="CN18" s="28"/>
      <c r="CO18" s="26"/>
      <c r="CP18" s="26"/>
      <c r="CQ18" s="29"/>
      <c r="CR18" s="28"/>
      <c r="CS18" s="26">
        <v>1</v>
      </c>
      <c r="CT18" s="26"/>
      <c r="CU18" s="29"/>
      <c r="CV18" s="28"/>
      <c r="CW18" s="26"/>
      <c r="CX18" s="26"/>
      <c r="CY18" s="29"/>
      <c r="CZ18" s="28"/>
      <c r="DA18" s="26"/>
      <c r="DB18" s="26"/>
      <c r="DC18" s="29"/>
    </row>
    <row r="19" spans="1:107" ht="14.45" customHeight="1" x14ac:dyDescent="0.25">
      <c r="B19" s="158" t="s">
        <v>105</v>
      </c>
      <c r="C19" s="159"/>
      <c r="D19" s="160"/>
      <c r="E19" s="160"/>
      <c r="F19" s="160"/>
      <c r="G19" s="160"/>
      <c r="H19" s="28"/>
      <c r="I19" s="26"/>
      <c r="J19" s="26"/>
      <c r="K19" s="29"/>
      <c r="L19" s="28"/>
      <c r="M19" s="26"/>
      <c r="N19" s="26"/>
      <c r="O19" s="29"/>
      <c r="P19" s="28"/>
      <c r="Q19" s="26"/>
      <c r="R19" s="26"/>
      <c r="S19" s="29"/>
      <c r="T19" s="28"/>
      <c r="U19" s="26"/>
      <c r="V19" s="26"/>
      <c r="W19" s="29"/>
      <c r="X19" s="28"/>
      <c r="Y19" s="26"/>
      <c r="Z19" s="26"/>
      <c r="AA19" s="29"/>
      <c r="AB19" s="28"/>
      <c r="AC19" s="26"/>
      <c r="AD19" s="26"/>
      <c r="AE19" s="29"/>
      <c r="AF19" s="28"/>
      <c r="AG19" s="26"/>
      <c r="AH19" s="26"/>
      <c r="AI19" s="29"/>
      <c r="AJ19" s="28"/>
      <c r="AK19" s="26"/>
      <c r="AL19" s="26"/>
      <c r="AM19" s="29"/>
      <c r="AN19" s="28"/>
      <c r="AO19" s="26"/>
      <c r="AP19" s="26"/>
      <c r="AQ19" s="29"/>
      <c r="AR19" s="28"/>
      <c r="AS19" s="26"/>
      <c r="AT19" s="26"/>
      <c r="AU19" s="29"/>
      <c r="AV19" s="28"/>
      <c r="AW19" s="26"/>
      <c r="AX19" s="26"/>
      <c r="AY19" s="29"/>
      <c r="AZ19" s="28"/>
      <c r="BA19" s="26"/>
      <c r="BB19" s="26"/>
      <c r="BC19" s="29"/>
      <c r="BD19" s="28"/>
      <c r="BE19" s="26"/>
      <c r="BF19" s="26"/>
      <c r="BG19" s="29"/>
      <c r="BH19" s="28"/>
      <c r="BI19" s="26"/>
      <c r="BJ19" s="26"/>
      <c r="BK19" s="29"/>
      <c r="BL19" s="28"/>
      <c r="BM19" s="26"/>
      <c r="BN19" s="26"/>
      <c r="BO19" s="29"/>
      <c r="BP19" s="28"/>
      <c r="BQ19" s="26"/>
      <c r="BR19" s="26"/>
      <c r="BS19" s="29"/>
      <c r="BT19" s="28"/>
      <c r="BU19" s="26"/>
      <c r="BV19" s="26"/>
      <c r="BW19" s="29"/>
      <c r="BX19" s="28"/>
      <c r="BY19" s="26"/>
      <c r="BZ19" s="26"/>
      <c r="CA19" s="29"/>
      <c r="CB19" s="28"/>
      <c r="CC19" s="26"/>
      <c r="CD19" s="26"/>
      <c r="CE19" s="29"/>
      <c r="CF19" s="28"/>
      <c r="CG19" s="26"/>
      <c r="CH19" s="26"/>
      <c r="CI19" s="29"/>
      <c r="CJ19" s="28"/>
      <c r="CK19" s="26"/>
      <c r="CL19" s="26"/>
      <c r="CM19" s="29"/>
      <c r="CN19" s="28"/>
      <c r="CO19" s="26"/>
      <c r="CP19" s="26"/>
      <c r="CQ19" s="29"/>
      <c r="CR19" s="28"/>
      <c r="CS19" s="26"/>
      <c r="CT19" s="26"/>
      <c r="CU19" s="29"/>
      <c r="CV19" s="28"/>
      <c r="CW19" s="26"/>
      <c r="CX19" s="26"/>
      <c r="CY19" s="29"/>
      <c r="CZ19" s="28"/>
      <c r="DA19" s="26"/>
      <c r="DB19" s="26"/>
      <c r="DC19" s="29"/>
    </row>
    <row r="20" spans="1:107" x14ac:dyDescent="0.25">
      <c r="B20" s="158" t="s">
        <v>104</v>
      </c>
      <c r="C20" s="159"/>
      <c r="D20" s="159"/>
      <c r="E20" s="159"/>
      <c r="F20" s="159"/>
      <c r="G20" s="159"/>
      <c r="H20" s="28"/>
      <c r="I20" s="26"/>
      <c r="J20" s="26"/>
      <c r="K20" s="29"/>
      <c r="L20" s="28"/>
      <c r="M20" s="26"/>
      <c r="N20" s="26"/>
      <c r="O20" s="29"/>
      <c r="P20" s="28"/>
      <c r="Q20" s="26"/>
      <c r="R20" s="26"/>
      <c r="S20" s="29"/>
      <c r="T20" s="28"/>
      <c r="U20" s="26"/>
      <c r="V20" s="26"/>
      <c r="W20" s="29"/>
      <c r="X20" s="28"/>
      <c r="Y20" s="26"/>
      <c r="Z20" s="26"/>
      <c r="AA20" s="29"/>
      <c r="AB20" s="28"/>
      <c r="AC20" s="26"/>
      <c r="AD20" s="26"/>
      <c r="AE20" s="29"/>
      <c r="AF20" s="28">
        <v>3</v>
      </c>
      <c r="AG20" s="26"/>
      <c r="AH20" s="26"/>
      <c r="AI20" s="29"/>
      <c r="AJ20" s="28"/>
      <c r="AK20" s="26"/>
      <c r="AL20" s="26"/>
      <c r="AM20" s="29"/>
      <c r="AN20" s="28"/>
      <c r="AO20" s="26"/>
      <c r="AP20" s="26"/>
      <c r="AQ20" s="29"/>
      <c r="AR20" s="28"/>
      <c r="AS20" s="26"/>
      <c r="AT20" s="26"/>
      <c r="AU20" s="29"/>
      <c r="AV20" s="28"/>
      <c r="AW20" s="26"/>
      <c r="AX20" s="26"/>
      <c r="AY20" s="29"/>
      <c r="AZ20" s="28"/>
      <c r="BA20" s="26"/>
      <c r="BB20" s="26"/>
      <c r="BC20" s="29"/>
      <c r="BD20" s="28"/>
      <c r="BE20" s="26"/>
      <c r="BF20" s="26"/>
      <c r="BG20" s="29"/>
      <c r="BH20" s="28"/>
      <c r="BI20" s="26"/>
      <c r="BJ20" s="26"/>
      <c r="BK20" s="29"/>
      <c r="BL20" s="28"/>
      <c r="BM20" s="26"/>
      <c r="BN20" s="26"/>
      <c r="BO20" s="29"/>
      <c r="BP20" s="28"/>
      <c r="BQ20" s="26"/>
      <c r="BR20" s="26"/>
      <c r="BS20" s="29"/>
      <c r="BT20" s="28"/>
      <c r="BU20" s="26"/>
      <c r="BV20" s="26"/>
      <c r="BW20" s="29"/>
      <c r="BX20" s="28"/>
      <c r="BY20" s="26"/>
      <c r="BZ20" s="26"/>
      <c r="CA20" s="29"/>
      <c r="CB20" s="28"/>
      <c r="CC20" s="26"/>
      <c r="CD20" s="26"/>
      <c r="CE20" s="29"/>
      <c r="CF20" s="28"/>
      <c r="CG20" s="26"/>
      <c r="CH20" s="26"/>
      <c r="CI20" s="29"/>
      <c r="CJ20" s="28"/>
      <c r="CK20" s="26"/>
      <c r="CL20" s="26"/>
      <c r="CM20" s="29"/>
      <c r="CN20" s="28"/>
      <c r="CO20" s="26"/>
      <c r="CP20" s="26"/>
      <c r="CQ20" s="29"/>
      <c r="CR20" s="28"/>
      <c r="CS20" s="26"/>
      <c r="CT20" s="26"/>
      <c r="CU20" s="29"/>
      <c r="CV20" s="28"/>
      <c r="CW20" s="26"/>
      <c r="CX20" s="26"/>
      <c r="CY20" s="29"/>
      <c r="CZ20" s="28"/>
      <c r="DA20" s="26"/>
      <c r="DB20" s="26"/>
      <c r="DC20" s="29"/>
    </row>
    <row r="21" spans="1:107" ht="15.75" thickBot="1" x14ac:dyDescent="0.3">
      <c r="B21" s="161" t="s">
        <v>106</v>
      </c>
      <c r="C21" s="162"/>
      <c r="D21" s="162"/>
      <c r="E21" s="162"/>
      <c r="F21" s="162"/>
      <c r="G21" s="162"/>
      <c r="H21" s="30"/>
      <c r="I21" s="31"/>
      <c r="J21" s="31"/>
      <c r="K21" s="32"/>
      <c r="L21" s="30"/>
      <c r="M21" s="31"/>
      <c r="N21" s="31"/>
      <c r="O21" s="32"/>
      <c r="P21" s="30"/>
      <c r="Q21" s="31"/>
      <c r="R21" s="31"/>
      <c r="S21" s="32"/>
      <c r="T21" s="30"/>
      <c r="U21" s="31"/>
      <c r="V21" s="31"/>
      <c r="W21" s="32"/>
      <c r="X21" s="30"/>
      <c r="Y21" s="31"/>
      <c r="Z21" s="31"/>
      <c r="AA21" s="32"/>
      <c r="AB21" s="30"/>
      <c r="AC21" s="31"/>
      <c r="AD21" s="31"/>
      <c r="AE21" s="32"/>
      <c r="AF21" s="30"/>
      <c r="AG21" s="31"/>
      <c r="AH21" s="31"/>
      <c r="AI21" s="32"/>
      <c r="AJ21" s="30"/>
      <c r="AK21" s="31"/>
      <c r="AL21" s="31"/>
      <c r="AM21" s="32"/>
      <c r="AN21" s="30"/>
      <c r="AO21" s="31"/>
      <c r="AP21" s="31"/>
      <c r="AQ21" s="32"/>
      <c r="AR21" s="30"/>
      <c r="AS21" s="31"/>
      <c r="AT21" s="31"/>
      <c r="AU21" s="32"/>
      <c r="AV21" s="30"/>
      <c r="AW21" s="31"/>
      <c r="AX21" s="31"/>
      <c r="AY21" s="32"/>
      <c r="AZ21" s="30"/>
      <c r="BA21" s="31"/>
      <c r="BB21" s="31"/>
      <c r="BC21" s="32"/>
      <c r="BD21" s="30"/>
      <c r="BE21" s="31"/>
      <c r="BF21" s="31"/>
      <c r="BG21" s="32"/>
      <c r="BH21" s="30"/>
      <c r="BI21" s="31"/>
      <c r="BJ21" s="31"/>
      <c r="BK21" s="32"/>
      <c r="BL21" s="30"/>
      <c r="BM21" s="31"/>
      <c r="BN21" s="31"/>
      <c r="BO21" s="32"/>
      <c r="BP21" s="30"/>
      <c r="BQ21" s="31"/>
      <c r="BR21" s="31"/>
      <c r="BS21" s="32"/>
      <c r="BT21" s="30"/>
      <c r="BU21" s="31"/>
      <c r="BV21" s="31"/>
      <c r="BW21" s="32"/>
      <c r="BX21" s="30"/>
      <c r="BY21" s="31"/>
      <c r="BZ21" s="31"/>
      <c r="CA21" s="32"/>
      <c r="CB21" s="30"/>
      <c r="CC21" s="31"/>
      <c r="CD21" s="31"/>
      <c r="CE21" s="32"/>
      <c r="CF21" s="30"/>
      <c r="CG21" s="31"/>
      <c r="CH21" s="31"/>
      <c r="CI21" s="32"/>
      <c r="CJ21" s="30"/>
      <c r="CK21" s="31"/>
      <c r="CL21" s="31"/>
      <c r="CM21" s="32"/>
      <c r="CN21" s="30"/>
      <c r="CO21" s="31"/>
      <c r="CP21" s="31"/>
      <c r="CQ21" s="32"/>
      <c r="CR21" s="30"/>
      <c r="CS21" s="31"/>
      <c r="CT21" s="31"/>
      <c r="CU21" s="32"/>
      <c r="CV21" s="30"/>
      <c r="CW21" s="31"/>
      <c r="CX21" s="31"/>
      <c r="CY21" s="32"/>
      <c r="CZ21" s="30"/>
      <c r="DA21" s="31"/>
      <c r="DB21" s="31"/>
      <c r="DC21" s="32"/>
    </row>
    <row r="22" spans="1:107" x14ac:dyDescent="0.25">
      <c r="B22" s="3"/>
      <c r="C22" s="27"/>
      <c r="D22" s="23">
        <f>H22+L22+P22+T22+X22+AB22+AF22+AJ22+AN22+AR22+AV22+AZ22+BD22+BH22+BL22+BP22+BT22+BX22+CB22+CF22+CJ22+CN22+CR22+CV22+CZ22</f>
        <v>88</v>
      </c>
      <c r="E22" s="23">
        <f>I22+M22+Q22+U22+Y22+AC22+AG22+AK22+AO22+AS22+AW22+BA22+BE22+BI22+BM22+BQ22+BV22+BY22+CD22+CG22+CL22+CO22+CT22+CW22+DB22</f>
        <v>33</v>
      </c>
      <c r="F22" s="23">
        <f>J22+N22+R22+V22+Z22+AD22+AH22+AL22+AP22+AT22+AX22+BB22+BF22+BJ22+BN22+BT22+BX22+CB22+CF22+CJ22+CN22+CR22+CV22+CZ22</f>
        <v>33</v>
      </c>
      <c r="G22" s="23">
        <f>K22+O22+S22+W22+AA22+AE22+AI22+AM22+AQ22+AU22+AY22+BC22+BG22+BK22+BO22+BV22+BY22+CD22+CG22+CL22+CO22+CT22+CW22+DB22</f>
        <v>8</v>
      </c>
      <c r="H22" s="33">
        <f>SUM(H4:H21)</f>
        <v>1</v>
      </c>
      <c r="I22" s="34">
        <f>SUM(I4:I18)</f>
        <v>1</v>
      </c>
      <c r="J22" s="34">
        <f>SUM(J4:J18)</f>
        <v>0</v>
      </c>
      <c r="K22" s="35">
        <f>SUM(K4:K20)</f>
        <v>0</v>
      </c>
      <c r="L22" s="33">
        <f t="shared" ref="L22" si="4">SUM(L4:L21)</f>
        <v>9</v>
      </c>
      <c r="M22" s="34">
        <f t="shared" ref="M22:N22" si="5">SUM(M4:M18)</f>
        <v>0</v>
      </c>
      <c r="N22" s="34">
        <f t="shared" si="5"/>
        <v>0</v>
      </c>
      <c r="O22" s="35">
        <f t="shared" ref="O22" si="6">SUM(O4:O20)</f>
        <v>0</v>
      </c>
      <c r="P22" s="33">
        <f t="shared" ref="P22" si="7">SUM(P4:P21)</f>
        <v>3</v>
      </c>
      <c r="Q22" s="34">
        <f t="shared" ref="Q22:R22" si="8">SUM(Q4:Q18)</f>
        <v>2</v>
      </c>
      <c r="R22" s="34">
        <f t="shared" si="8"/>
        <v>0</v>
      </c>
      <c r="S22" s="35">
        <f t="shared" ref="S22" si="9">SUM(S4:S20)</f>
        <v>0</v>
      </c>
      <c r="T22" s="33">
        <f t="shared" ref="T22" si="10">SUM(T4:T21)</f>
        <v>2</v>
      </c>
      <c r="U22" s="34">
        <f t="shared" ref="U22:V22" si="11">SUM(U4:U18)</f>
        <v>2</v>
      </c>
      <c r="V22" s="34">
        <f t="shared" si="11"/>
        <v>0</v>
      </c>
      <c r="W22" s="35">
        <f t="shared" ref="W22" si="12">SUM(W4:W20)</f>
        <v>0</v>
      </c>
      <c r="X22" s="33">
        <f t="shared" ref="X22" si="13">SUM(X4:X21)</f>
        <v>5</v>
      </c>
      <c r="Y22" s="34">
        <f t="shared" ref="Y22:Z22" si="14">SUM(Y4:Y18)</f>
        <v>2</v>
      </c>
      <c r="Z22" s="34">
        <f t="shared" si="14"/>
        <v>0</v>
      </c>
      <c r="AA22" s="35">
        <f t="shared" ref="AA22" si="15">SUM(AA4:AA20)</f>
        <v>0</v>
      </c>
      <c r="AB22" s="33">
        <f t="shared" ref="AB22" si="16">SUM(AB4:AB21)</f>
        <v>1</v>
      </c>
      <c r="AC22" s="34">
        <f t="shared" ref="AC22:AD22" si="17">SUM(AC4:AC18)</f>
        <v>2</v>
      </c>
      <c r="AD22" s="34">
        <f t="shared" si="17"/>
        <v>0</v>
      </c>
      <c r="AE22" s="35">
        <f t="shared" ref="AE22" si="18">SUM(AE4:AE20)</f>
        <v>0</v>
      </c>
      <c r="AF22" s="33">
        <f t="shared" ref="AF22" si="19">SUM(AF4:AF21)</f>
        <v>3</v>
      </c>
      <c r="AG22" s="34">
        <f t="shared" ref="AG22:AH22" si="20">SUM(AG4:AG18)</f>
        <v>0</v>
      </c>
      <c r="AH22" s="34">
        <f t="shared" si="20"/>
        <v>0</v>
      </c>
      <c r="AI22" s="35">
        <f t="shared" ref="AI22" si="21">SUM(AI4:AI20)</f>
        <v>0</v>
      </c>
      <c r="AJ22" s="33">
        <f t="shared" ref="AJ22" si="22">SUM(AJ4:AJ21)</f>
        <v>3</v>
      </c>
      <c r="AK22" s="34">
        <f t="shared" ref="AK22:AL22" si="23">SUM(AK4:AK18)</f>
        <v>2</v>
      </c>
      <c r="AL22" s="34">
        <f t="shared" si="23"/>
        <v>0</v>
      </c>
      <c r="AM22" s="35">
        <f t="shared" ref="AM22" si="24">SUM(AM4:AM20)</f>
        <v>0</v>
      </c>
      <c r="AN22" s="33">
        <f t="shared" ref="AN22" si="25">SUM(AN4:AN21)</f>
        <v>3</v>
      </c>
      <c r="AO22" s="34">
        <f t="shared" ref="AO22:AP22" si="26">SUM(AO4:AO18)</f>
        <v>1</v>
      </c>
      <c r="AP22" s="34">
        <f t="shared" si="26"/>
        <v>0</v>
      </c>
      <c r="AQ22" s="35">
        <f t="shared" ref="AQ22" si="27">SUM(AQ4:AQ20)</f>
        <v>0</v>
      </c>
      <c r="AR22" s="33">
        <f t="shared" ref="AR22" si="28">SUM(AR4:AR21)</f>
        <v>4</v>
      </c>
      <c r="AS22" s="34">
        <f t="shared" ref="AS22:AT22" si="29">SUM(AS4:AS18)</f>
        <v>2</v>
      </c>
      <c r="AT22" s="34">
        <f t="shared" si="29"/>
        <v>0</v>
      </c>
      <c r="AU22" s="35">
        <f t="shared" ref="AU22" si="30">SUM(AU4:AU20)</f>
        <v>0</v>
      </c>
      <c r="AV22" s="33">
        <f t="shared" ref="AV22" si="31">SUM(AV4:AV21)</f>
        <v>3</v>
      </c>
      <c r="AW22" s="34">
        <f t="shared" ref="AW22:AX22" si="32">SUM(AW4:AW18)</f>
        <v>5</v>
      </c>
      <c r="AX22" s="34">
        <f t="shared" si="32"/>
        <v>0</v>
      </c>
      <c r="AY22" s="35">
        <f t="shared" ref="AY22" si="33">SUM(AY4:AY20)</f>
        <v>0</v>
      </c>
      <c r="AZ22" s="33">
        <f t="shared" ref="AZ22" si="34">SUM(AZ4:AZ21)</f>
        <v>3</v>
      </c>
      <c r="BA22" s="34">
        <f t="shared" ref="BA22:BB22" si="35">SUM(BA4:BA18)</f>
        <v>0</v>
      </c>
      <c r="BB22" s="34">
        <f t="shared" si="35"/>
        <v>0</v>
      </c>
      <c r="BC22" s="35">
        <f t="shared" ref="BC22" si="36">SUM(BC4:BC20)</f>
        <v>0</v>
      </c>
      <c r="BD22" s="33">
        <f t="shared" ref="BD22" si="37">SUM(BD4:BD21)</f>
        <v>8</v>
      </c>
      <c r="BE22" s="34">
        <f t="shared" ref="BE22:BF22" si="38">SUM(BE4:BE18)</f>
        <v>2</v>
      </c>
      <c r="BF22" s="34">
        <f t="shared" si="38"/>
        <v>0</v>
      </c>
      <c r="BG22" s="35">
        <f t="shared" ref="BG22" si="39">SUM(BG4:BG20)</f>
        <v>0</v>
      </c>
      <c r="BH22" s="33">
        <f t="shared" ref="BH22" si="40">SUM(BH4:BH21)</f>
        <v>5</v>
      </c>
      <c r="BI22" s="34">
        <f t="shared" ref="BI22:BJ22" si="41">SUM(BI4:BI18)</f>
        <v>1</v>
      </c>
      <c r="BJ22" s="34">
        <f t="shared" si="41"/>
        <v>0</v>
      </c>
      <c r="BK22" s="35">
        <f t="shared" ref="BK22" si="42">SUM(BK4:BK20)</f>
        <v>0</v>
      </c>
      <c r="BL22" s="33">
        <f t="shared" ref="BL22" si="43">SUM(BL4:BL21)</f>
        <v>2</v>
      </c>
      <c r="BM22" s="34">
        <f t="shared" ref="BM22:BN22" si="44">SUM(BM4:BM18)</f>
        <v>1</v>
      </c>
      <c r="BN22" s="34">
        <f t="shared" si="44"/>
        <v>0</v>
      </c>
      <c r="BO22" s="35">
        <f t="shared" ref="BO22" si="45">SUM(BO4:BO20)</f>
        <v>0</v>
      </c>
      <c r="BP22" s="33">
        <f t="shared" ref="BP22" si="46">SUM(BP4:BP21)</f>
        <v>0</v>
      </c>
      <c r="BQ22" s="34">
        <f t="shared" ref="BQ22:BR22" si="47">SUM(BQ4:BQ18)</f>
        <v>2</v>
      </c>
      <c r="BR22" s="34">
        <f t="shared" si="47"/>
        <v>0</v>
      </c>
      <c r="BS22" s="35">
        <f t="shared" ref="BS22" si="48">SUM(BS4:BS20)</f>
        <v>0</v>
      </c>
      <c r="BT22" s="33">
        <f t="shared" ref="BT22" si="49">SUM(BT4:BT21)</f>
        <v>2</v>
      </c>
      <c r="BU22" s="34">
        <f t="shared" ref="BU22:BV22" si="50">SUM(BU4:BU18)</f>
        <v>3</v>
      </c>
      <c r="BV22" s="34">
        <f t="shared" si="50"/>
        <v>0</v>
      </c>
      <c r="BW22" s="35">
        <f t="shared" ref="BW22" si="51">SUM(BW4:BW20)</f>
        <v>0</v>
      </c>
      <c r="BX22" s="33">
        <f t="shared" ref="BX22" si="52">SUM(BX4:BX21)</f>
        <v>3</v>
      </c>
      <c r="BY22" s="34">
        <f t="shared" ref="BY22:BZ22" si="53">SUM(BY4:BY18)</f>
        <v>3</v>
      </c>
      <c r="BZ22" s="34">
        <f t="shared" si="53"/>
        <v>0</v>
      </c>
      <c r="CA22" s="35">
        <f t="shared" ref="CA22" si="54">SUM(CA4:CA20)</f>
        <v>0</v>
      </c>
      <c r="CB22" s="33">
        <f t="shared" ref="CB22" si="55">SUM(CB4:CB21)</f>
        <v>3</v>
      </c>
      <c r="CC22" s="34">
        <f t="shared" ref="CC22:CD22" si="56">SUM(CC4:CC18)</f>
        <v>2</v>
      </c>
      <c r="CD22" s="34">
        <f t="shared" si="56"/>
        <v>0</v>
      </c>
      <c r="CE22" s="35">
        <f t="shared" ref="CE22" si="57">SUM(CE4:CE20)</f>
        <v>0</v>
      </c>
      <c r="CF22" s="33">
        <f t="shared" ref="CF22" si="58">SUM(CF4:CF21)</f>
        <v>5</v>
      </c>
      <c r="CG22" s="34">
        <f t="shared" ref="CG22:CH22" si="59">SUM(CG4:CG18)</f>
        <v>0</v>
      </c>
      <c r="CH22" s="34">
        <f t="shared" si="59"/>
        <v>0</v>
      </c>
      <c r="CI22" s="35">
        <f t="shared" ref="CI22" si="60">SUM(CI4:CI20)</f>
        <v>0</v>
      </c>
      <c r="CJ22" s="33">
        <f t="shared" ref="CJ22" si="61">SUM(CJ4:CJ21)</f>
        <v>7</v>
      </c>
      <c r="CK22" s="34">
        <f t="shared" ref="CK22:CL22" si="62">SUM(CK4:CK18)</f>
        <v>1</v>
      </c>
      <c r="CL22" s="34">
        <f t="shared" si="62"/>
        <v>0</v>
      </c>
      <c r="CM22" s="35">
        <f t="shared" ref="CM22" si="63">SUM(CM4:CM20)</f>
        <v>0</v>
      </c>
      <c r="CN22" s="33">
        <f t="shared" ref="CN22" si="64">SUM(CN4:CN21)</f>
        <v>9</v>
      </c>
      <c r="CO22" s="34">
        <f t="shared" ref="CO22:CP22" si="65">SUM(CO4:CO18)</f>
        <v>2</v>
      </c>
      <c r="CP22" s="34">
        <f t="shared" si="65"/>
        <v>0</v>
      </c>
      <c r="CQ22" s="35">
        <f t="shared" ref="CQ22" si="66">SUM(CQ4:CQ20)</f>
        <v>0</v>
      </c>
      <c r="CR22" s="33">
        <f t="shared" ref="CR22" si="67">SUM(CR4:CR21)</f>
        <v>2</v>
      </c>
      <c r="CS22" s="34">
        <f t="shared" ref="CS22:CT22" si="68">SUM(CS4:CS18)</f>
        <v>2</v>
      </c>
      <c r="CT22" s="34">
        <f t="shared" si="68"/>
        <v>0</v>
      </c>
      <c r="CU22" s="35">
        <f t="shared" ref="CU22" si="69">SUM(CU4:CU20)</f>
        <v>0</v>
      </c>
      <c r="CV22" s="33">
        <f t="shared" ref="CV22" si="70">SUM(CV4:CV21)</f>
        <v>2</v>
      </c>
      <c r="CW22" s="34">
        <f t="shared" ref="CW22:CX22" si="71">SUM(CW4:CW18)</f>
        <v>3</v>
      </c>
      <c r="CX22" s="34">
        <f t="shared" si="71"/>
        <v>0</v>
      </c>
      <c r="CY22" s="35">
        <f t="shared" ref="CY22" si="72">SUM(CY4:CY20)</f>
        <v>0</v>
      </c>
      <c r="CZ22" s="33">
        <f t="shared" ref="CZ22" si="73">SUM(CZ4:CZ21)</f>
        <v>0</v>
      </c>
      <c r="DA22" s="34">
        <f t="shared" ref="DA22:DB22" si="74">SUM(DA4:DA18)</f>
        <v>0</v>
      </c>
      <c r="DB22" s="34">
        <f t="shared" si="74"/>
        <v>0</v>
      </c>
      <c r="DC22" s="35">
        <f t="shared" ref="DC22" si="75">SUM(DC4:DC20)</f>
        <v>0</v>
      </c>
    </row>
    <row r="23" spans="1:107" ht="14.45" customHeight="1" x14ac:dyDescent="0.25">
      <c r="B23" s="3"/>
      <c r="C23" s="27"/>
      <c r="D23" s="148" t="s">
        <v>86</v>
      </c>
      <c r="E23" s="148" t="s">
        <v>97</v>
      </c>
      <c r="F23" s="148" t="s">
        <v>99</v>
      </c>
      <c r="G23" s="148" t="s">
        <v>98</v>
      </c>
      <c r="H23" s="145" t="s">
        <v>86</v>
      </c>
      <c r="I23" s="148" t="s">
        <v>97</v>
      </c>
      <c r="J23" s="148" t="s">
        <v>99</v>
      </c>
      <c r="K23" s="151" t="s">
        <v>98</v>
      </c>
      <c r="L23" s="145" t="s">
        <v>86</v>
      </c>
      <c r="M23" s="148" t="s">
        <v>97</v>
      </c>
      <c r="N23" s="148" t="s">
        <v>99</v>
      </c>
      <c r="O23" s="151" t="s">
        <v>98</v>
      </c>
      <c r="P23" s="145" t="s">
        <v>86</v>
      </c>
      <c r="Q23" s="148" t="s">
        <v>97</v>
      </c>
      <c r="R23" s="148" t="s">
        <v>99</v>
      </c>
      <c r="S23" s="151" t="s">
        <v>98</v>
      </c>
      <c r="T23" s="145" t="s">
        <v>86</v>
      </c>
      <c r="U23" s="148" t="s">
        <v>97</v>
      </c>
      <c r="V23" s="148" t="s">
        <v>99</v>
      </c>
      <c r="W23" s="151" t="s">
        <v>98</v>
      </c>
      <c r="X23" s="145" t="s">
        <v>86</v>
      </c>
      <c r="Y23" s="148" t="s">
        <v>97</v>
      </c>
      <c r="Z23" s="148" t="s">
        <v>99</v>
      </c>
      <c r="AA23" s="151" t="s">
        <v>98</v>
      </c>
      <c r="AB23" s="145" t="s">
        <v>86</v>
      </c>
      <c r="AC23" s="148" t="s">
        <v>97</v>
      </c>
      <c r="AD23" s="148" t="s">
        <v>99</v>
      </c>
      <c r="AE23" s="151" t="s">
        <v>98</v>
      </c>
      <c r="AF23" s="145" t="s">
        <v>86</v>
      </c>
      <c r="AG23" s="148" t="s">
        <v>97</v>
      </c>
      <c r="AH23" s="148" t="s">
        <v>99</v>
      </c>
      <c r="AI23" s="151" t="s">
        <v>98</v>
      </c>
      <c r="AJ23" s="145" t="s">
        <v>86</v>
      </c>
      <c r="AK23" s="148" t="s">
        <v>97</v>
      </c>
      <c r="AL23" s="148" t="s">
        <v>99</v>
      </c>
      <c r="AM23" s="151" t="s">
        <v>98</v>
      </c>
      <c r="AN23" s="145" t="s">
        <v>86</v>
      </c>
      <c r="AO23" s="148" t="s">
        <v>97</v>
      </c>
      <c r="AP23" s="148" t="s">
        <v>99</v>
      </c>
      <c r="AQ23" s="151" t="s">
        <v>98</v>
      </c>
      <c r="AR23" s="145" t="s">
        <v>86</v>
      </c>
      <c r="AS23" s="148" t="s">
        <v>97</v>
      </c>
      <c r="AT23" s="148" t="s">
        <v>99</v>
      </c>
      <c r="AU23" s="151" t="s">
        <v>98</v>
      </c>
      <c r="AV23" s="145" t="s">
        <v>86</v>
      </c>
      <c r="AW23" s="148" t="s">
        <v>97</v>
      </c>
      <c r="AX23" s="148" t="s">
        <v>99</v>
      </c>
      <c r="AY23" s="151" t="s">
        <v>98</v>
      </c>
      <c r="AZ23" s="145" t="s">
        <v>86</v>
      </c>
      <c r="BA23" s="148" t="s">
        <v>97</v>
      </c>
      <c r="BB23" s="148" t="s">
        <v>99</v>
      </c>
      <c r="BC23" s="151" t="s">
        <v>98</v>
      </c>
      <c r="BD23" s="145" t="s">
        <v>86</v>
      </c>
      <c r="BE23" s="148" t="s">
        <v>97</v>
      </c>
      <c r="BF23" s="148" t="s">
        <v>99</v>
      </c>
      <c r="BG23" s="151" t="s">
        <v>98</v>
      </c>
      <c r="BH23" s="145" t="s">
        <v>86</v>
      </c>
      <c r="BI23" s="148" t="s">
        <v>97</v>
      </c>
      <c r="BJ23" s="148" t="s">
        <v>99</v>
      </c>
      <c r="BK23" s="151" t="s">
        <v>98</v>
      </c>
      <c r="BL23" s="145" t="s">
        <v>86</v>
      </c>
      <c r="BM23" s="148" t="s">
        <v>97</v>
      </c>
      <c r="BN23" s="148" t="s">
        <v>99</v>
      </c>
      <c r="BO23" s="151" t="s">
        <v>98</v>
      </c>
      <c r="BP23" s="145" t="s">
        <v>86</v>
      </c>
      <c r="BQ23" s="148" t="s">
        <v>97</v>
      </c>
      <c r="BR23" s="148" t="s">
        <v>99</v>
      </c>
      <c r="BS23" s="151" t="s">
        <v>98</v>
      </c>
      <c r="BT23" s="145" t="s">
        <v>86</v>
      </c>
      <c r="BU23" s="148" t="s">
        <v>97</v>
      </c>
      <c r="BV23" s="148" t="s">
        <v>99</v>
      </c>
      <c r="BW23" s="151" t="s">
        <v>98</v>
      </c>
      <c r="BX23" s="145" t="s">
        <v>86</v>
      </c>
      <c r="BY23" s="148" t="s">
        <v>97</v>
      </c>
      <c r="BZ23" s="148" t="s">
        <v>99</v>
      </c>
      <c r="CA23" s="151" t="s">
        <v>98</v>
      </c>
      <c r="CB23" s="145" t="s">
        <v>86</v>
      </c>
      <c r="CC23" s="148" t="s">
        <v>97</v>
      </c>
      <c r="CD23" s="148" t="s">
        <v>99</v>
      </c>
      <c r="CE23" s="151" t="s">
        <v>98</v>
      </c>
      <c r="CF23" s="145" t="s">
        <v>86</v>
      </c>
      <c r="CG23" s="148" t="s">
        <v>97</v>
      </c>
      <c r="CH23" s="148" t="s">
        <v>99</v>
      </c>
      <c r="CI23" s="151" t="s">
        <v>98</v>
      </c>
      <c r="CJ23" s="145" t="s">
        <v>86</v>
      </c>
      <c r="CK23" s="148" t="s">
        <v>97</v>
      </c>
      <c r="CL23" s="148" t="s">
        <v>99</v>
      </c>
      <c r="CM23" s="151" t="s">
        <v>98</v>
      </c>
      <c r="CN23" s="145" t="s">
        <v>86</v>
      </c>
      <c r="CO23" s="148" t="s">
        <v>97</v>
      </c>
      <c r="CP23" s="148" t="s">
        <v>99</v>
      </c>
      <c r="CQ23" s="151" t="s">
        <v>98</v>
      </c>
      <c r="CR23" s="145" t="s">
        <v>86</v>
      </c>
      <c r="CS23" s="148" t="s">
        <v>97</v>
      </c>
      <c r="CT23" s="148" t="s">
        <v>99</v>
      </c>
      <c r="CU23" s="151" t="s">
        <v>98</v>
      </c>
      <c r="CV23" s="145" t="s">
        <v>86</v>
      </c>
      <c r="CW23" s="148" t="s">
        <v>97</v>
      </c>
      <c r="CX23" s="148" t="s">
        <v>99</v>
      </c>
      <c r="CY23" s="151" t="s">
        <v>98</v>
      </c>
      <c r="CZ23" s="145" t="s">
        <v>86</v>
      </c>
      <c r="DA23" s="148" t="s">
        <v>97</v>
      </c>
      <c r="DB23" s="148" t="s">
        <v>99</v>
      </c>
      <c r="DC23" s="151" t="s">
        <v>98</v>
      </c>
    </row>
    <row r="24" spans="1:107" x14ac:dyDescent="0.25">
      <c r="B24" s="3"/>
      <c r="C24" s="27"/>
      <c r="D24" s="149"/>
      <c r="E24" s="149"/>
      <c r="F24" s="149"/>
      <c r="G24" s="149"/>
      <c r="H24" s="146"/>
      <c r="I24" s="149"/>
      <c r="J24" s="149"/>
      <c r="K24" s="152"/>
      <c r="L24" s="146"/>
      <c r="M24" s="149"/>
      <c r="N24" s="149"/>
      <c r="O24" s="152"/>
      <c r="P24" s="146"/>
      <c r="Q24" s="149"/>
      <c r="R24" s="149"/>
      <c r="S24" s="152"/>
      <c r="T24" s="146"/>
      <c r="U24" s="149"/>
      <c r="V24" s="149"/>
      <c r="W24" s="152"/>
      <c r="X24" s="146"/>
      <c r="Y24" s="149"/>
      <c r="Z24" s="149"/>
      <c r="AA24" s="152"/>
      <c r="AB24" s="146"/>
      <c r="AC24" s="149"/>
      <c r="AD24" s="149"/>
      <c r="AE24" s="152"/>
      <c r="AF24" s="146"/>
      <c r="AG24" s="149"/>
      <c r="AH24" s="149"/>
      <c r="AI24" s="152"/>
      <c r="AJ24" s="146"/>
      <c r="AK24" s="149"/>
      <c r="AL24" s="149"/>
      <c r="AM24" s="152"/>
      <c r="AN24" s="146"/>
      <c r="AO24" s="149"/>
      <c r="AP24" s="149"/>
      <c r="AQ24" s="152"/>
      <c r="AR24" s="146"/>
      <c r="AS24" s="149"/>
      <c r="AT24" s="149"/>
      <c r="AU24" s="152"/>
      <c r="AV24" s="146"/>
      <c r="AW24" s="149"/>
      <c r="AX24" s="149"/>
      <c r="AY24" s="152"/>
      <c r="AZ24" s="146"/>
      <c r="BA24" s="149"/>
      <c r="BB24" s="149"/>
      <c r="BC24" s="152"/>
      <c r="BD24" s="146"/>
      <c r="BE24" s="149"/>
      <c r="BF24" s="149"/>
      <c r="BG24" s="152"/>
      <c r="BH24" s="146"/>
      <c r="BI24" s="149"/>
      <c r="BJ24" s="149"/>
      <c r="BK24" s="152"/>
      <c r="BL24" s="146"/>
      <c r="BM24" s="149"/>
      <c r="BN24" s="149"/>
      <c r="BO24" s="152"/>
      <c r="BP24" s="146"/>
      <c r="BQ24" s="149"/>
      <c r="BR24" s="149"/>
      <c r="BS24" s="152"/>
      <c r="BT24" s="146"/>
      <c r="BU24" s="149"/>
      <c r="BV24" s="149"/>
      <c r="BW24" s="152"/>
      <c r="BX24" s="146"/>
      <c r="BY24" s="149"/>
      <c r="BZ24" s="149"/>
      <c r="CA24" s="152"/>
      <c r="CB24" s="146"/>
      <c r="CC24" s="149"/>
      <c r="CD24" s="149"/>
      <c r="CE24" s="152"/>
      <c r="CF24" s="146"/>
      <c r="CG24" s="149"/>
      <c r="CH24" s="149"/>
      <c r="CI24" s="152"/>
      <c r="CJ24" s="146"/>
      <c r="CK24" s="149"/>
      <c r="CL24" s="149"/>
      <c r="CM24" s="152"/>
      <c r="CN24" s="146"/>
      <c r="CO24" s="149"/>
      <c r="CP24" s="149"/>
      <c r="CQ24" s="152"/>
      <c r="CR24" s="146"/>
      <c r="CS24" s="149"/>
      <c r="CT24" s="149"/>
      <c r="CU24" s="152"/>
      <c r="CV24" s="146"/>
      <c r="CW24" s="149"/>
      <c r="CX24" s="149"/>
      <c r="CY24" s="152"/>
      <c r="CZ24" s="146"/>
      <c r="DA24" s="149"/>
      <c r="DB24" s="149"/>
      <c r="DC24" s="152"/>
    </row>
    <row r="25" spans="1:107" x14ac:dyDescent="0.25">
      <c r="D25" s="149"/>
      <c r="E25" s="149"/>
      <c r="F25" s="149"/>
      <c r="G25" s="149"/>
      <c r="H25" s="146"/>
      <c r="I25" s="149"/>
      <c r="J25" s="149"/>
      <c r="K25" s="152"/>
      <c r="L25" s="146"/>
      <c r="M25" s="149"/>
      <c r="N25" s="149"/>
      <c r="O25" s="152"/>
      <c r="P25" s="146"/>
      <c r="Q25" s="149"/>
      <c r="R25" s="149"/>
      <c r="S25" s="152"/>
      <c r="T25" s="146"/>
      <c r="U25" s="149"/>
      <c r="V25" s="149"/>
      <c r="W25" s="152"/>
      <c r="X25" s="146"/>
      <c r="Y25" s="149"/>
      <c r="Z25" s="149"/>
      <c r="AA25" s="152"/>
      <c r="AB25" s="146"/>
      <c r="AC25" s="149"/>
      <c r="AD25" s="149"/>
      <c r="AE25" s="152"/>
      <c r="AF25" s="146"/>
      <c r="AG25" s="149"/>
      <c r="AH25" s="149"/>
      <c r="AI25" s="152"/>
      <c r="AJ25" s="146"/>
      <c r="AK25" s="149"/>
      <c r="AL25" s="149"/>
      <c r="AM25" s="152"/>
      <c r="AN25" s="146"/>
      <c r="AO25" s="149"/>
      <c r="AP25" s="149"/>
      <c r="AQ25" s="152"/>
      <c r="AR25" s="146"/>
      <c r="AS25" s="149"/>
      <c r="AT25" s="149"/>
      <c r="AU25" s="152"/>
      <c r="AV25" s="146"/>
      <c r="AW25" s="149"/>
      <c r="AX25" s="149"/>
      <c r="AY25" s="152"/>
      <c r="AZ25" s="146"/>
      <c r="BA25" s="149"/>
      <c r="BB25" s="149"/>
      <c r="BC25" s="152"/>
      <c r="BD25" s="146"/>
      <c r="BE25" s="149"/>
      <c r="BF25" s="149"/>
      <c r="BG25" s="152"/>
      <c r="BH25" s="146"/>
      <c r="BI25" s="149"/>
      <c r="BJ25" s="149"/>
      <c r="BK25" s="152"/>
      <c r="BL25" s="146"/>
      <c r="BM25" s="149"/>
      <c r="BN25" s="149"/>
      <c r="BO25" s="152"/>
      <c r="BP25" s="146"/>
      <c r="BQ25" s="149"/>
      <c r="BR25" s="149"/>
      <c r="BS25" s="152"/>
      <c r="BT25" s="146"/>
      <c r="BU25" s="149"/>
      <c r="BV25" s="149"/>
      <c r="BW25" s="152"/>
      <c r="BX25" s="146"/>
      <c r="BY25" s="149"/>
      <c r="BZ25" s="149"/>
      <c r="CA25" s="152"/>
      <c r="CB25" s="146"/>
      <c r="CC25" s="149"/>
      <c r="CD25" s="149"/>
      <c r="CE25" s="152"/>
      <c r="CF25" s="146"/>
      <c r="CG25" s="149"/>
      <c r="CH25" s="149"/>
      <c r="CI25" s="152"/>
      <c r="CJ25" s="146"/>
      <c r="CK25" s="149"/>
      <c r="CL25" s="149"/>
      <c r="CM25" s="152"/>
      <c r="CN25" s="146"/>
      <c r="CO25" s="149"/>
      <c r="CP25" s="149"/>
      <c r="CQ25" s="152"/>
      <c r="CR25" s="146"/>
      <c r="CS25" s="149"/>
      <c r="CT25" s="149"/>
      <c r="CU25" s="152"/>
      <c r="CV25" s="146"/>
      <c r="CW25" s="149"/>
      <c r="CX25" s="149"/>
      <c r="CY25" s="152"/>
      <c r="CZ25" s="146"/>
      <c r="DA25" s="149"/>
      <c r="DB25" s="149"/>
      <c r="DC25" s="152"/>
    </row>
    <row r="26" spans="1:107" ht="15.75" thickBot="1" x14ac:dyDescent="0.3">
      <c r="D26" s="149"/>
      <c r="E26" s="149"/>
      <c r="F26" s="149"/>
      <c r="G26" s="149"/>
      <c r="H26" s="147"/>
      <c r="I26" s="150"/>
      <c r="J26" s="150"/>
      <c r="K26" s="153"/>
      <c r="L26" s="147"/>
      <c r="M26" s="150"/>
      <c r="N26" s="150"/>
      <c r="O26" s="153"/>
      <c r="P26" s="147"/>
      <c r="Q26" s="150"/>
      <c r="R26" s="150"/>
      <c r="S26" s="153"/>
      <c r="T26" s="147"/>
      <c r="U26" s="150"/>
      <c r="V26" s="150"/>
      <c r="W26" s="153"/>
      <c r="X26" s="147"/>
      <c r="Y26" s="150"/>
      <c r="Z26" s="150"/>
      <c r="AA26" s="153"/>
      <c r="AB26" s="147"/>
      <c r="AC26" s="150"/>
      <c r="AD26" s="150"/>
      <c r="AE26" s="153"/>
      <c r="AF26" s="147"/>
      <c r="AG26" s="150"/>
      <c r="AH26" s="150"/>
      <c r="AI26" s="153"/>
      <c r="AJ26" s="147"/>
      <c r="AK26" s="150"/>
      <c r="AL26" s="150"/>
      <c r="AM26" s="153"/>
      <c r="AN26" s="147"/>
      <c r="AO26" s="150"/>
      <c r="AP26" s="150"/>
      <c r="AQ26" s="153"/>
      <c r="AR26" s="147"/>
      <c r="AS26" s="150"/>
      <c r="AT26" s="150"/>
      <c r="AU26" s="153"/>
      <c r="AV26" s="147"/>
      <c r="AW26" s="150"/>
      <c r="AX26" s="150"/>
      <c r="AY26" s="153"/>
      <c r="AZ26" s="147"/>
      <c r="BA26" s="150"/>
      <c r="BB26" s="150"/>
      <c r="BC26" s="153"/>
      <c r="BD26" s="147"/>
      <c r="BE26" s="150"/>
      <c r="BF26" s="150"/>
      <c r="BG26" s="153"/>
      <c r="BH26" s="147"/>
      <c r="BI26" s="150"/>
      <c r="BJ26" s="150"/>
      <c r="BK26" s="153"/>
      <c r="BL26" s="147"/>
      <c r="BM26" s="150"/>
      <c r="BN26" s="150"/>
      <c r="BO26" s="153"/>
      <c r="BP26" s="147"/>
      <c r="BQ26" s="150"/>
      <c r="BR26" s="150"/>
      <c r="BS26" s="153"/>
      <c r="BT26" s="147"/>
      <c r="BU26" s="150"/>
      <c r="BV26" s="150"/>
      <c r="BW26" s="153"/>
      <c r="BX26" s="147"/>
      <c r="BY26" s="150"/>
      <c r="BZ26" s="150"/>
      <c r="CA26" s="153"/>
      <c r="CB26" s="147"/>
      <c r="CC26" s="150"/>
      <c r="CD26" s="150"/>
      <c r="CE26" s="153"/>
      <c r="CF26" s="147"/>
      <c r="CG26" s="150"/>
      <c r="CH26" s="150"/>
      <c r="CI26" s="153"/>
      <c r="CJ26" s="147"/>
      <c r="CK26" s="150"/>
      <c r="CL26" s="150"/>
      <c r="CM26" s="153"/>
      <c r="CN26" s="147"/>
      <c r="CO26" s="150"/>
      <c r="CP26" s="150"/>
      <c r="CQ26" s="153"/>
      <c r="CR26" s="147"/>
      <c r="CS26" s="150"/>
      <c r="CT26" s="150"/>
      <c r="CU26" s="153"/>
      <c r="CV26" s="147"/>
      <c r="CW26" s="150"/>
      <c r="CX26" s="150"/>
      <c r="CY26" s="153"/>
      <c r="CZ26" s="147"/>
      <c r="DA26" s="150"/>
      <c r="DB26" s="150"/>
      <c r="DC26" s="153"/>
    </row>
  </sheetData>
  <mergeCells count="200">
    <mergeCell ref="B21:G21"/>
    <mergeCell ref="A4:A18"/>
    <mergeCell ref="B19:G19"/>
    <mergeCell ref="B20:G20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8:C18"/>
    <mergeCell ref="B4:C4"/>
    <mergeCell ref="B5:C5"/>
    <mergeCell ref="B6:C6"/>
    <mergeCell ref="B7:C7"/>
    <mergeCell ref="B17:C17"/>
    <mergeCell ref="P2:S2"/>
    <mergeCell ref="T1:W1"/>
    <mergeCell ref="X1:AA1"/>
    <mergeCell ref="AB1:AE1"/>
    <mergeCell ref="AF1:AI1"/>
    <mergeCell ref="AZ1:BC1"/>
    <mergeCell ref="AV1:AY1"/>
    <mergeCell ref="AR1:AU1"/>
    <mergeCell ref="AN1:AQ1"/>
    <mergeCell ref="AJ1:AM1"/>
    <mergeCell ref="T2:W2"/>
    <mergeCell ref="X2:AA2"/>
    <mergeCell ref="AB2:AE2"/>
    <mergeCell ref="AF2:AI2"/>
    <mergeCell ref="AJ2:AM2"/>
    <mergeCell ref="AN2:AQ2"/>
    <mergeCell ref="AR2:AU2"/>
    <mergeCell ref="AV2:AY2"/>
    <mergeCell ref="AZ2:BC2"/>
    <mergeCell ref="BH3:BK3"/>
    <mergeCell ref="BL3:BO3"/>
    <mergeCell ref="BP3:BS3"/>
    <mergeCell ref="BT3:BW3"/>
    <mergeCell ref="BX3:CA3"/>
    <mergeCell ref="BD3:BG3"/>
    <mergeCell ref="T3:W3"/>
    <mergeCell ref="X3:AA3"/>
    <mergeCell ref="AB3:AE3"/>
    <mergeCell ref="AF3:AI3"/>
    <mergeCell ref="AJ3:AM3"/>
    <mergeCell ref="AN3:AQ3"/>
    <mergeCell ref="AR3:AU3"/>
    <mergeCell ref="AV3:AY3"/>
    <mergeCell ref="AZ3:BC3"/>
    <mergeCell ref="CZ1:DC1"/>
    <mergeCell ref="CV1:CY1"/>
    <mergeCell ref="CR1:CU1"/>
    <mergeCell ref="CV3:CY3"/>
    <mergeCell ref="CZ3:DC3"/>
    <mergeCell ref="CB3:CE3"/>
    <mergeCell ref="CF3:CI3"/>
    <mergeCell ref="CJ3:CM3"/>
    <mergeCell ref="CN3:CQ3"/>
    <mergeCell ref="CR3:CU3"/>
    <mergeCell ref="CN2:CQ2"/>
    <mergeCell ref="CR2:CU2"/>
    <mergeCell ref="CV2:CY2"/>
    <mergeCell ref="CZ2:DC2"/>
    <mergeCell ref="BT1:BW1"/>
    <mergeCell ref="BP1:BS1"/>
    <mergeCell ref="BL1:BO1"/>
    <mergeCell ref="BH1:BK1"/>
    <mergeCell ref="BD1:BG1"/>
    <mergeCell ref="CN1:CQ1"/>
    <mergeCell ref="CJ1:CM1"/>
    <mergeCell ref="CF1:CI1"/>
    <mergeCell ref="CB1:CE1"/>
    <mergeCell ref="BX1:CA1"/>
    <mergeCell ref="N23:N26"/>
    <mergeCell ref="O23:O26"/>
    <mergeCell ref="P23:P26"/>
    <mergeCell ref="Q23:Q26"/>
    <mergeCell ref="A1:C3"/>
    <mergeCell ref="I23:I26"/>
    <mergeCell ref="J23:J26"/>
    <mergeCell ref="K23:K26"/>
    <mergeCell ref="L23:L26"/>
    <mergeCell ref="M23:M26"/>
    <mergeCell ref="D23:D26"/>
    <mergeCell ref="E23:E26"/>
    <mergeCell ref="F23:F26"/>
    <mergeCell ref="G23:G26"/>
    <mergeCell ref="H23:H26"/>
    <mergeCell ref="D2:G2"/>
    <mergeCell ref="H3:K3"/>
    <mergeCell ref="H1:K1"/>
    <mergeCell ref="L3:O3"/>
    <mergeCell ref="L1:O1"/>
    <mergeCell ref="P3:S3"/>
    <mergeCell ref="P1:S1"/>
    <mergeCell ref="H2:K2"/>
    <mergeCell ref="L2:O2"/>
    <mergeCell ref="AH23:AH26"/>
    <mergeCell ref="AI23:AI26"/>
    <mergeCell ref="AJ23:AJ26"/>
    <mergeCell ref="AK23:AK26"/>
    <mergeCell ref="AL23:AL26"/>
    <mergeCell ref="R23:R26"/>
    <mergeCell ref="AC23:AC26"/>
    <mergeCell ref="AD23:AD26"/>
    <mergeCell ref="AE23:AE26"/>
    <mergeCell ref="AF23:AF26"/>
    <mergeCell ref="AG23:AG26"/>
    <mergeCell ref="X23:X26"/>
    <mergeCell ref="Y23:Y26"/>
    <mergeCell ref="Z23:Z26"/>
    <mergeCell ref="AA23:AA26"/>
    <mergeCell ref="AB23:AB26"/>
    <mergeCell ref="S23:S26"/>
    <mergeCell ref="T23:T26"/>
    <mergeCell ref="U23:U26"/>
    <mergeCell ref="V23:V26"/>
    <mergeCell ref="W23:W26"/>
    <mergeCell ref="AR23:AR26"/>
    <mergeCell ref="AS23:AS26"/>
    <mergeCell ref="AT23:AT26"/>
    <mergeCell ref="AU23:AU26"/>
    <mergeCell ref="AV23:AV26"/>
    <mergeCell ref="AM23:AM26"/>
    <mergeCell ref="AN23:AN26"/>
    <mergeCell ref="AO23:AO26"/>
    <mergeCell ref="AP23:AP26"/>
    <mergeCell ref="AQ23:AQ26"/>
    <mergeCell ref="BB23:BB26"/>
    <mergeCell ref="BC23:BC26"/>
    <mergeCell ref="BD23:BD26"/>
    <mergeCell ref="BE23:BE26"/>
    <mergeCell ref="BF23:BF26"/>
    <mergeCell ref="AW23:AW26"/>
    <mergeCell ref="AX23:AX26"/>
    <mergeCell ref="AY23:AY26"/>
    <mergeCell ref="AZ23:AZ26"/>
    <mergeCell ref="BA23:BA26"/>
    <mergeCell ref="BL23:BL26"/>
    <mergeCell ref="BM23:BM26"/>
    <mergeCell ref="BN23:BN26"/>
    <mergeCell ref="BO23:BO26"/>
    <mergeCell ref="BP23:BP26"/>
    <mergeCell ref="BG23:BG26"/>
    <mergeCell ref="BH23:BH26"/>
    <mergeCell ref="BI23:BI26"/>
    <mergeCell ref="BJ23:BJ26"/>
    <mergeCell ref="BK23:BK26"/>
    <mergeCell ref="BV23:BV26"/>
    <mergeCell ref="BW23:BW26"/>
    <mergeCell ref="BX23:BX26"/>
    <mergeCell ref="BY23:BY26"/>
    <mergeCell ref="BZ23:BZ26"/>
    <mergeCell ref="BQ23:BQ26"/>
    <mergeCell ref="BR23:BR26"/>
    <mergeCell ref="BS23:BS26"/>
    <mergeCell ref="BT23:BT26"/>
    <mergeCell ref="BU23:BU26"/>
    <mergeCell ref="CF23:CF26"/>
    <mergeCell ref="CG23:CG26"/>
    <mergeCell ref="CH23:CH26"/>
    <mergeCell ref="CI23:CI26"/>
    <mergeCell ref="CJ23:CJ26"/>
    <mergeCell ref="CA23:CA26"/>
    <mergeCell ref="CB23:CB26"/>
    <mergeCell ref="CC23:CC26"/>
    <mergeCell ref="CD23:CD26"/>
    <mergeCell ref="CE23:CE26"/>
    <mergeCell ref="CP23:CP26"/>
    <mergeCell ref="CQ23:CQ26"/>
    <mergeCell ref="CR23:CR26"/>
    <mergeCell ref="CS23:CS26"/>
    <mergeCell ref="CT23:CT26"/>
    <mergeCell ref="CK23:CK26"/>
    <mergeCell ref="CL23:CL26"/>
    <mergeCell ref="CM23:CM26"/>
    <mergeCell ref="CN23:CN26"/>
    <mergeCell ref="CO23:CO26"/>
    <mergeCell ref="CZ23:CZ26"/>
    <mergeCell ref="DA23:DA26"/>
    <mergeCell ref="DB23:DB26"/>
    <mergeCell ref="DC23:DC26"/>
    <mergeCell ref="CU23:CU26"/>
    <mergeCell ref="CV23:CV26"/>
    <mergeCell ref="CW23:CW26"/>
    <mergeCell ref="CX23:CX26"/>
    <mergeCell ref="CY23:CY26"/>
    <mergeCell ref="BD2:BG2"/>
    <mergeCell ref="BH2:BK2"/>
    <mergeCell ref="BL2:BO2"/>
    <mergeCell ref="BP2:BS2"/>
    <mergeCell ref="BT2:BW2"/>
    <mergeCell ref="BX2:CA2"/>
    <mergeCell ref="CB2:CE2"/>
    <mergeCell ref="CF2:CI2"/>
    <mergeCell ref="CJ2:CM2"/>
  </mergeCells>
  <phoneticPr fontId="9" type="noConversion"/>
  <hyperlinks>
    <hyperlink ref="A1:C3" location="Equipos!A1" display="Equipos!A1" xr:uid="{00000000-0004-0000-0300-000000000000}"/>
    <hyperlink ref="A4:A18" location="Jugadores!A1" display="Jugador" xr:uid="{9A65EF3F-E44C-4DC4-881A-EBC46DA657D6}"/>
  </hyperlinks>
  <pageMargins left="0.7" right="0.7" top="0.75" bottom="0.75" header="0.3" footer="0.3"/>
  <pageSetup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C26"/>
  <sheetViews>
    <sheetView zoomScale="90" zoomScaleNormal="90" zoomScaleSheetLayoutView="90" workbookViewId="0">
      <pane xSplit="7" ySplit="3" topLeftCell="AX4" activePane="bottomRight" state="frozen"/>
      <selection pane="topRight" activeCell="H1" sqref="H1"/>
      <selection pane="bottomLeft" activeCell="A3" sqref="A3"/>
      <selection pane="bottomRight" sqref="A1:C3"/>
    </sheetView>
  </sheetViews>
  <sheetFormatPr baseColWidth="10" defaultColWidth="11.42578125" defaultRowHeight="15" x14ac:dyDescent="0.25"/>
  <cols>
    <col min="1" max="1" width="4.85546875" customWidth="1"/>
    <col min="2" max="2" width="9.42578125" customWidth="1"/>
    <col min="3" max="3" width="11.5703125" style="3" customWidth="1"/>
    <col min="4" max="7" width="4.28515625" style="3" customWidth="1"/>
    <col min="8" max="8" width="3.5703125" style="3" customWidth="1"/>
    <col min="9" max="9" width="3" style="3" customWidth="1"/>
    <col min="10" max="11" width="2.7109375" style="3" customWidth="1"/>
    <col min="12" max="12" width="3" style="3" customWidth="1"/>
    <col min="13" max="15" width="2.7109375" style="3" customWidth="1"/>
    <col min="16" max="16" width="3" style="3" customWidth="1"/>
    <col min="17" max="19" width="2.7109375" style="3" customWidth="1"/>
    <col min="20" max="21" width="2.85546875" style="3" customWidth="1"/>
    <col min="22" max="23" width="2.7109375" style="3" customWidth="1"/>
    <col min="24" max="24" width="3.140625" style="3" customWidth="1"/>
    <col min="25" max="31" width="2.7109375" style="3" customWidth="1"/>
    <col min="32" max="32" width="3.140625" style="3" customWidth="1"/>
    <col min="33" max="35" width="2.7109375" style="3" customWidth="1"/>
    <col min="36" max="36" width="3.28515625" style="3" customWidth="1"/>
    <col min="37" max="37" width="3" style="3" customWidth="1"/>
    <col min="38" max="38" width="2.85546875" style="3" customWidth="1"/>
    <col min="39" max="67" width="2.7109375" style="3" customWidth="1"/>
    <col min="68" max="68" width="3.28515625" style="3" customWidth="1"/>
    <col min="69" max="107" width="2.7109375" style="3" customWidth="1"/>
    <col min="108" max="16384" width="11.42578125" style="3"/>
  </cols>
  <sheetData>
    <row r="1" spans="1:107" ht="13.9" customHeight="1" x14ac:dyDescent="0.25">
      <c r="A1" s="189" t="str">
        <f>Equipos!B12</f>
        <v>Boca Juniors</v>
      </c>
      <c r="B1" s="189"/>
      <c r="C1" s="189"/>
      <c r="H1" s="172" t="s">
        <v>5</v>
      </c>
      <c r="I1" s="173"/>
      <c r="J1" s="173"/>
      <c r="K1" s="174"/>
      <c r="L1" s="172" t="s">
        <v>6</v>
      </c>
      <c r="M1" s="173"/>
      <c r="N1" s="173"/>
      <c r="O1" s="174"/>
      <c r="P1" s="172" t="s">
        <v>7</v>
      </c>
      <c r="Q1" s="173"/>
      <c r="R1" s="173"/>
      <c r="S1" s="174"/>
      <c r="T1" s="172" t="s">
        <v>8</v>
      </c>
      <c r="U1" s="173"/>
      <c r="V1" s="173"/>
      <c r="W1" s="174"/>
      <c r="X1" s="172" t="s">
        <v>9</v>
      </c>
      <c r="Y1" s="173"/>
      <c r="Z1" s="173"/>
      <c r="AA1" s="174"/>
      <c r="AB1" s="172" t="s">
        <v>10</v>
      </c>
      <c r="AC1" s="173"/>
      <c r="AD1" s="173"/>
      <c r="AE1" s="174"/>
      <c r="AF1" s="172" t="s">
        <v>11</v>
      </c>
      <c r="AG1" s="173"/>
      <c r="AH1" s="173"/>
      <c r="AI1" s="174"/>
      <c r="AJ1" s="172" t="s">
        <v>12</v>
      </c>
      <c r="AK1" s="173"/>
      <c r="AL1" s="173"/>
      <c r="AM1" s="174"/>
      <c r="AN1" s="172" t="s">
        <v>13</v>
      </c>
      <c r="AO1" s="173"/>
      <c r="AP1" s="173"/>
      <c r="AQ1" s="174"/>
      <c r="AR1" s="172" t="s">
        <v>14</v>
      </c>
      <c r="AS1" s="173"/>
      <c r="AT1" s="173"/>
      <c r="AU1" s="174"/>
      <c r="AV1" s="172" t="s">
        <v>15</v>
      </c>
      <c r="AW1" s="173"/>
      <c r="AX1" s="173"/>
      <c r="AY1" s="174"/>
      <c r="AZ1" s="172" t="s">
        <v>16</v>
      </c>
      <c r="BA1" s="173"/>
      <c r="BB1" s="173"/>
      <c r="BC1" s="174"/>
      <c r="BD1" s="172" t="s">
        <v>17</v>
      </c>
      <c r="BE1" s="173"/>
      <c r="BF1" s="173"/>
      <c r="BG1" s="174"/>
      <c r="BH1" s="172" t="s">
        <v>18</v>
      </c>
      <c r="BI1" s="173"/>
      <c r="BJ1" s="173"/>
      <c r="BK1" s="174"/>
      <c r="BL1" s="172" t="s">
        <v>19</v>
      </c>
      <c r="BM1" s="173"/>
      <c r="BN1" s="173"/>
      <c r="BO1" s="174"/>
      <c r="BP1" s="172" t="s">
        <v>20</v>
      </c>
      <c r="BQ1" s="173"/>
      <c r="BR1" s="173"/>
      <c r="BS1" s="174"/>
      <c r="BT1" s="172" t="s">
        <v>51</v>
      </c>
      <c r="BU1" s="173"/>
      <c r="BV1" s="173"/>
      <c r="BW1" s="174"/>
      <c r="BX1" s="172" t="s">
        <v>81</v>
      </c>
      <c r="BY1" s="173"/>
      <c r="BZ1" s="173"/>
      <c r="CA1" s="174"/>
      <c r="CB1" s="172" t="s">
        <v>83</v>
      </c>
      <c r="CC1" s="173"/>
      <c r="CD1" s="173"/>
      <c r="CE1" s="174"/>
      <c r="CF1" s="172" t="s">
        <v>84</v>
      </c>
      <c r="CG1" s="173"/>
      <c r="CH1" s="173"/>
      <c r="CI1" s="174"/>
      <c r="CJ1" s="172" t="s">
        <v>85</v>
      </c>
      <c r="CK1" s="173"/>
      <c r="CL1" s="173"/>
      <c r="CM1" s="174"/>
      <c r="CN1" s="172" t="s">
        <v>93</v>
      </c>
      <c r="CO1" s="173"/>
      <c r="CP1" s="173"/>
      <c r="CQ1" s="174"/>
      <c r="CR1" s="172" t="s">
        <v>94</v>
      </c>
      <c r="CS1" s="173"/>
      <c r="CT1" s="173"/>
      <c r="CU1" s="174"/>
      <c r="CV1" s="172" t="s">
        <v>95</v>
      </c>
      <c r="CW1" s="173"/>
      <c r="CX1" s="173"/>
      <c r="CY1" s="174"/>
      <c r="CZ1" s="172" t="s">
        <v>96</v>
      </c>
      <c r="DA1" s="173"/>
      <c r="DB1" s="173"/>
      <c r="DC1" s="174"/>
    </row>
    <row r="2" spans="1:107" ht="13.9" customHeight="1" x14ac:dyDescent="0.25">
      <c r="A2" s="189"/>
      <c r="B2" s="189"/>
      <c r="C2" s="189"/>
      <c r="D2" s="143" t="s">
        <v>272</v>
      </c>
      <c r="E2" s="143"/>
      <c r="F2" s="143"/>
      <c r="G2" s="144"/>
      <c r="H2" s="140" t="str">
        <f>+_xlfn.XLOOKUP($A$1,Fixture!$D$2:$D$9,Fixture!$F$2:$F$9,_xlfn.XLOOKUP($A$1,Fixture!$F$2:$F$9,Fixture!$D$2:$D$9,"Descansa",FALSE))</f>
        <v>Hojas Anchas</v>
      </c>
      <c r="I2" s="141"/>
      <c r="J2" s="141"/>
      <c r="K2" s="142"/>
      <c r="L2" s="140" t="str">
        <f>+_xlfn.XLOOKUP($A$1,Fixture!$D$10:$D$17,Fixture!$F$10:$F$17,_xlfn.XLOOKUP($A$1,Fixture!$F$10:$F$17,Fixture!$D$10:$D$17,"Descansa",FALSE))</f>
        <v>Los Aliados</v>
      </c>
      <c r="M2" s="141"/>
      <c r="N2" s="141"/>
      <c r="O2" s="142"/>
      <c r="P2" s="175" t="str">
        <f>+_xlfn.XLOOKUP($A$1,Fixture!$D$18:$D$25,Fixture!$F$18:$F$25,_xlfn.XLOOKUP($A$1,Fixture!$F$18:$F$25,Fixture!$D$18:$D$25,"Descansa",FALSE))</f>
        <v>Ron Star</v>
      </c>
      <c r="Q2" s="176"/>
      <c r="R2" s="176"/>
      <c r="S2" s="177"/>
      <c r="T2" s="140" t="str">
        <f>+_xlfn.XLOOKUP($A$1,Fixture!$D$26:$D$33,Fixture!$F$26:$F$33,_xlfn.XLOOKUP($A$1,Fixture!$F$26:$F$33,Fixture!$D$26:$D$33,"Descansa",FALSE))</f>
        <v>Deportivo Fénix</v>
      </c>
      <c r="U2" s="141"/>
      <c r="V2" s="141"/>
      <c r="W2" s="142"/>
      <c r="X2" s="140" t="str">
        <f>+_xlfn.XLOOKUP($A$1,Fixture!$D$34:$D$41,Fixture!$F$34:$F$41,_xlfn.XLOOKUP($A$1,Fixture!$F$34:$F$41,Fixture!$D$34:$D$41,"Descansa",FALSE))</f>
        <v>Rayos FC</v>
      </c>
      <c r="Y2" s="141"/>
      <c r="Z2" s="141"/>
      <c r="AA2" s="142"/>
      <c r="AB2" s="140" t="str">
        <f>+_xlfn.XLOOKUP($A$1,Fixture!$D$42:$D$49,Fixture!$F$42:$F$49,_xlfn.XLOOKUP($A$1,Fixture!$F$42:$F$49,Fixture!$D$42:$D$49,"Descansa",FALSE))</f>
        <v>La Unión FC</v>
      </c>
      <c r="AC2" s="141"/>
      <c r="AD2" s="141"/>
      <c r="AE2" s="142"/>
      <c r="AF2" s="140" t="str">
        <f>+_xlfn.XLOOKUP($A$1,Fixture!$D$50:$D$57,Fixture!$F$50:$F$57,_xlfn.XLOOKUP($A$1,Fixture!$F$50:$F$57,Fixture!$D$50:$D$57,"Descansa",FALSE))</f>
        <v>CD El Corozo</v>
      </c>
      <c r="AG2" s="141"/>
      <c r="AH2" s="141"/>
      <c r="AI2" s="142"/>
      <c r="AJ2" s="140" t="str">
        <f>+_xlfn.XLOOKUP($A$1,Fixture!$D$58:$D$65,Fixture!$F$58:$F$65,_xlfn.XLOOKUP($A$1,Fixture!$F$58:$F$65,Fixture!$D$58:$D$65,"Descansa",FALSE))</f>
        <v>Atalanta</v>
      </c>
      <c r="AK2" s="141"/>
      <c r="AL2" s="141"/>
      <c r="AM2" s="142"/>
      <c r="AN2" s="140" t="str">
        <f>+_xlfn.XLOOKUP($A$1,Fixture!$D$66:$D$73,Fixture!$F$66:$F$73,_xlfn.XLOOKUP($A$1,Fixture!$F$66:$F$73,Fixture!$D$66:$D$73,"Descansa",FALSE))</f>
        <v>Los Amigos</v>
      </c>
      <c r="AO2" s="141"/>
      <c r="AP2" s="141"/>
      <c r="AQ2" s="142"/>
      <c r="AR2" s="140" t="str">
        <f>+_xlfn.XLOOKUP($A$1,Fixture!$D$74:$D$81,Fixture!$F$74:$F$81,_xlfn.XLOOKUP($A$1,Fixture!$F$74:$F$81,Fixture!$D$74:$D$81,"Descansa",FALSE))</f>
        <v>La Nueva Era</v>
      </c>
      <c r="AS2" s="141"/>
      <c r="AT2" s="141"/>
      <c r="AU2" s="142"/>
      <c r="AV2" s="140" t="str">
        <f>+_xlfn.XLOOKUP($A$1,Fixture!$D$82:$D$89,Fixture!$F$82:$F$89,_xlfn.XLOOKUP($A$1,Fixture!$F$82:$F$89,Fixture!$D$82:$D$89,"Descansa",FALSE))</f>
        <v>La Amistad</v>
      </c>
      <c r="AW2" s="141"/>
      <c r="AX2" s="141"/>
      <c r="AY2" s="142"/>
      <c r="AZ2" s="140" t="str">
        <f>+_xlfn.XLOOKUP($A$1,Fixture!$D$90:$D$97,Fixture!$F$90:$F$97,_xlfn.XLOOKUP($A$1,Fixture!$F$90:$F$97,Fixture!$D$90:$D$97,"Descansa",FALSE))</f>
        <v>Konami</v>
      </c>
      <c r="BA2" s="141"/>
      <c r="BB2" s="141"/>
      <c r="BC2" s="142"/>
      <c r="BD2" s="140" t="str">
        <f>+_xlfn.XLOOKUP($A$1,Fixture!$D$98:$D$105,Fixture!$F$98:$F$105,_xlfn.XLOOKUP($A$1,Fixture!$F$98:$F$105,Fixture!$D$98:$D$105,"Descansa",FALSE))</f>
        <v>Villanueva</v>
      </c>
      <c r="BE2" s="141"/>
      <c r="BF2" s="141"/>
      <c r="BG2" s="142"/>
      <c r="BH2" s="140" t="str">
        <f>+_xlfn.XLOOKUP($A$1,Fixture!$D$106:$D$113,Fixture!$F$106:$F$113,_xlfn.XLOOKUP($A$1,Fixture!$F$106:$F$113,Fixture!$D$106:$D$113,"Descansa",FALSE))</f>
        <v>Valentín FC</v>
      </c>
      <c r="BI2" s="141"/>
      <c r="BJ2" s="141"/>
      <c r="BK2" s="142"/>
      <c r="BL2" s="140" t="str">
        <f>+_xlfn.XLOOKUP($A$1,Fixture!$D$114:$D$121,Fixture!$F$114:$F$121,_xlfn.XLOOKUP($A$1,Fixture!$F$114:$F$121,Fixture!$D$114:$D$121,"Descansa",FALSE))</f>
        <v>Amenadim</v>
      </c>
      <c r="BM2" s="141"/>
      <c r="BN2" s="141"/>
      <c r="BO2" s="142"/>
      <c r="BP2" s="140" t="str">
        <f>+_xlfn.XLOOKUP($A$1,Fixture!$D$122:$D$128,Fixture!$F$122:$F$128,_xlfn.XLOOKUP($A$1,Fixture!$F$122:$F$128,Fixture!$D$122:$D$128,"Descansa",FALSE))</f>
        <v>Ron Star</v>
      </c>
      <c r="BQ2" s="141"/>
      <c r="BR2" s="141"/>
      <c r="BS2" s="142"/>
      <c r="BT2" s="140" t="str">
        <f>+_xlfn.XLOOKUP($A$1,Fixture!$D$129:$D$135,Fixture!$F$129:$F$135,_xlfn.XLOOKUP($A$1,Fixture!$F$129:$F$135,Fixture!$D$129:$D$135,"Descansa",FALSE))</f>
        <v>Hojas Anchas</v>
      </c>
      <c r="BU2" s="141"/>
      <c r="BV2" s="141"/>
      <c r="BW2" s="142"/>
      <c r="BX2" s="140" t="str">
        <f>+_xlfn.XLOOKUP($A$1,Fixture!$D$136:$D$141,Fixture!$F$136:$F$141,_xlfn.XLOOKUP($A$1,Fixture!$F$136:$F$141,Fixture!$D$136:$D$141,"Descansa",FALSE))</f>
        <v>Los Amigos</v>
      </c>
      <c r="BY2" s="141"/>
      <c r="BZ2" s="141"/>
      <c r="CA2" s="142"/>
      <c r="CB2" s="140" t="str">
        <f>+_xlfn.XLOOKUP($A$1,Fixture!$D$142:$D$149,Fixture!$F$142:$F$149,_xlfn.XLOOKUP($A$1,Fixture!$F$142:$F$149,Fixture!$D$142:$D$149,"Descansa",FALSE))</f>
        <v>Atalanta</v>
      </c>
      <c r="CC2" s="141"/>
      <c r="CD2" s="141"/>
      <c r="CE2" s="142"/>
      <c r="CF2" s="140" t="str">
        <f>+_xlfn.XLOOKUP($A$1,Fixture!$D$150:$D$155,Fixture!$F$150:$F$155,_xlfn.XLOOKUP($A$1,Fixture!$F$150:$F$155,Fixture!$D$150:$D$155,"Descansa",FALSE))</f>
        <v>Valentín FC</v>
      </c>
      <c r="CG2" s="141"/>
      <c r="CH2" s="141"/>
      <c r="CI2" s="142"/>
      <c r="CJ2" s="140" t="str">
        <f>+_xlfn.XLOOKUP($A$1,Fixture!$D$156:$D$161,Fixture!$F$156:$F$161,_xlfn.XLOOKUP($A$1,Fixture!$F$156:$F$161,Fixture!$D$156:$D$161,"Descansa",FALSE))</f>
        <v>Descansa</v>
      </c>
      <c r="CK2" s="141"/>
      <c r="CL2" s="141"/>
      <c r="CM2" s="142"/>
      <c r="CN2" s="140" t="str">
        <f>+_xlfn.XLOOKUP($A$1,Fixture!$D$162:$D$167,Fixture!$F$162:$F$167,_xlfn.XLOOKUP($A$1,Fixture!$F$162:$F$167,Fixture!$D$162:$D$167,"Descansa",FALSE))</f>
        <v>La Unión FC</v>
      </c>
      <c r="CO2" s="141"/>
      <c r="CP2" s="141"/>
      <c r="CQ2" s="142"/>
      <c r="CR2" s="140" t="str">
        <f>+_xlfn.XLOOKUP($A$1,Fixture!$D$168:$D$169,Fixture!$F$168:$F$169,_xlfn.XLOOKUP($A$1,Fixture!$F$168:$F$169,Fixture!$D$168:$D$169,"Descanssa",FALSE))</f>
        <v>Los Aliados</v>
      </c>
      <c r="CS2" s="141"/>
      <c r="CT2" s="141"/>
      <c r="CU2" s="142"/>
      <c r="CV2" s="140" t="str">
        <f>+_xlfn.XLOOKUP($A$1,Fixture!$D$170:$D$171,Fixture!$F$170:$F$171,_xlfn.XLOOKUP($A$1,Fixture!$F$170:$F$171,Fixture!$D$170:$D$171,"Descansa",FALSE))</f>
        <v>Descansa</v>
      </c>
      <c r="CW2" s="141"/>
      <c r="CX2" s="141"/>
      <c r="CY2" s="142"/>
      <c r="CZ2" s="184"/>
      <c r="DA2" s="185"/>
      <c r="DB2" s="185"/>
      <c r="DC2" s="186"/>
    </row>
    <row r="3" spans="1:107" ht="14.45" customHeight="1" x14ac:dyDescent="0.25">
      <c r="A3" s="189"/>
      <c r="B3" s="189"/>
      <c r="C3" s="189"/>
      <c r="D3" s="22" t="s">
        <v>89</v>
      </c>
      <c r="E3" s="22" t="s">
        <v>90</v>
      </c>
      <c r="F3" s="22" t="s">
        <v>91</v>
      </c>
      <c r="G3" s="24" t="s">
        <v>92</v>
      </c>
      <c r="H3" s="166">
        <f>IF(Fixture!C4=0,"",Fixture!C4)</f>
        <v>45676</v>
      </c>
      <c r="I3" s="167"/>
      <c r="J3" s="167"/>
      <c r="K3" s="168"/>
      <c r="L3" s="166">
        <f>IF(Fixture!C13=0,"",Fixture!C13)</f>
        <v>45683</v>
      </c>
      <c r="M3" s="167"/>
      <c r="N3" s="167"/>
      <c r="O3" s="168"/>
      <c r="P3" s="166">
        <f>IF(Fixture!C21=0,"",Fixture!C21)</f>
        <v>45690</v>
      </c>
      <c r="Q3" s="167"/>
      <c r="R3" s="167"/>
      <c r="S3" s="168"/>
      <c r="T3" s="166">
        <f>IF(Fixture!C29=0,"",Fixture!C29)</f>
        <v>45697</v>
      </c>
      <c r="U3" s="167"/>
      <c r="V3" s="167"/>
      <c r="W3" s="168"/>
      <c r="X3" s="166">
        <f>IF(Fixture!C37=0,"",Fixture!C37)</f>
        <v>45704</v>
      </c>
      <c r="Y3" s="167"/>
      <c r="Z3" s="167"/>
      <c r="AA3" s="168"/>
      <c r="AB3" s="166">
        <f>IF(Fixture!C47=0,"",Fixture!C47)</f>
        <v>45711</v>
      </c>
      <c r="AC3" s="167"/>
      <c r="AD3" s="167"/>
      <c r="AE3" s="168"/>
      <c r="AF3" s="166">
        <f>IF(Fixture!C57=0,"",Fixture!C57)</f>
        <v>45718</v>
      </c>
      <c r="AG3" s="167"/>
      <c r="AH3" s="167"/>
      <c r="AI3" s="168"/>
      <c r="AJ3" s="166">
        <f>IF(Fixture!C62=0,"",Fixture!C62)</f>
        <v>45725</v>
      </c>
      <c r="AK3" s="167"/>
      <c r="AL3" s="167"/>
      <c r="AM3" s="168"/>
      <c r="AN3" s="166">
        <f>IF(Fixture!C71=0,"",Fixture!C71)</f>
        <v>45704</v>
      </c>
      <c r="AO3" s="167"/>
      <c r="AP3" s="167"/>
      <c r="AQ3" s="168"/>
      <c r="AR3" s="166">
        <f>IF(Fixture!C78=0,"",Fixture!C78)</f>
        <v>45746</v>
      </c>
      <c r="AS3" s="167"/>
      <c r="AT3" s="167"/>
      <c r="AU3" s="168"/>
      <c r="AV3" s="166">
        <f>IF(Fixture!C86=0,"",Fixture!C86)</f>
        <v>45753</v>
      </c>
      <c r="AW3" s="167"/>
      <c r="AX3" s="167"/>
      <c r="AY3" s="168"/>
      <c r="AZ3" s="166">
        <f>IF(Fixture!C93=0,"",Fixture!C93)</f>
        <v>45774</v>
      </c>
      <c r="BA3" s="167"/>
      <c r="BB3" s="167"/>
      <c r="BC3" s="168"/>
      <c r="BD3" s="166">
        <f>IF(Fixture!C101=0,"",Fixture!C101)</f>
        <v>45781</v>
      </c>
      <c r="BE3" s="167"/>
      <c r="BF3" s="167"/>
      <c r="BG3" s="168"/>
      <c r="BH3" s="163" t="e">
        <f>+VLOOKUP(BH1,Resultados!$A$3:$B$71,2,FALSE)</f>
        <v>#N/A</v>
      </c>
      <c r="BI3" s="164"/>
      <c r="BJ3" s="164"/>
      <c r="BK3" s="165"/>
      <c r="BL3" s="163" t="e">
        <f>+VLOOKUP(BL1,Resultados!$A$3:$B$71,2,FALSE)</f>
        <v>#N/A</v>
      </c>
      <c r="BM3" s="164"/>
      <c r="BN3" s="164"/>
      <c r="BO3" s="165"/>
      <c r="BP3" s="163" t="e">
        <f>+VLOOKUP(BP1,Resultados!$A$3:$B$71,2,FALSE)</f>
        <v>#N/A</v>
      </c>
      <c r="BQ3" s="164"/>
      <c r="BR3" s="164"/>
      <c r="BS3" s="165"/>
      <c r="BT3" s="163" t="e">
        <f>+VLOOKUP(BT1,Resultados!$A$3:$B$71,2,FALSE)</f>
        <v>#N/A</v>
      </c>
      <c r="BU3" s="164"/>
      <c r="BV3" s="164"/>
      <c r="BW3" s="165"/>
      <c r="BX3" s="163" t="e">
        <f>+VLOOKUP(BX1,Resultados!$A$3:$B$71,2,FALSE)</f>
        <v>#N/A</v>
      </c>
      <c r="BY3" s="164"/>
      <c r="BZ3" s="164"/>
      <c r="CA3" s="165"/>
      <c r="CB3" s="163" t="e">
        <f>+VLOOKUP(CB1,Resultados!$A$3:$B$71,2,FALSE)</f>
        <v>#N/A</v>
      </c>
      <c r="CC3" s="164"/>
      <c r="CD3" s="164"/>
      <c r="CE3" s="165"/>
      <c r="CF3" s="163" t="e">
        <f>+VLOOKUP(CF1,Resultados!$A$3:$B$71,2,FALSE)</f>
        <v>#N/A</v>
      </c>
      <c r="CG3" s="164"/>
      <c r="CH3" s="164"/>
      <c r="CI3" s="165"/>
      <c r="CJ3" s="163" t="e">
        <f>+VLOOKUP(CJ1,Resultados!$A$3:$B$71,2,FALSE)</f>
        <v>#N/A</v>
      </c>
      <c r="CK3" s="164"/>
      <c r="CL3" s="164"/>
      <c r="CM3" s="165"/>
      <c r="CN3" s="163" t="e">
        <f>+VLOOKUP(CN1,Resultados!$A$3:$B$71,2,FALSE)</f>
        <v>#N/A</v>
      </c>
      <c r="CO3" s="164"/>
      <c r="CP3" s="164"/>
      <c r="CQ3" s="165"/>
      <c r="CR3" s="163" t="e">
        <f>+VLOOKUP(CR1,Resultados!$A$3:$B$71,2,FALSE)</f>
        <v>#N/A</v>
      </c>
      <c r="CS3" s="164"/>
      <c r="CT3" s="164"/>
      <c r="CU3" s="165"/>
      <c r="CV3" s="163" t="e">
        <f>+VLOOKUP(CV1,Resultados!$A$3:$B$71,2,FALSE)</f>
        <v>#N/A</v>
      </c>
      <c r="CW3" s="164"/>
      <c r="CX3" s="164"/>
      <c r="CY3" s="165"/>
      <c r="CZ3" s="163" t="e">
        <f>+VLOOKUP(CZ1,Resultados!$A$3:$B$71,2,FALSE)</f>
        <v>#N/A</v>
      </c>
      <c r="DA3" s="164"/>
      <c r="DB3" s="164"/>
      <c r="DC3" s="165"/>
    </row>
    <row r="4" spans="1:107" ht="19.899999999999999" customHeight="1" x14ac:dyDescent="0.25">
      <c r="A4" s="190" t="s">
        <v>3</v>
      </c>
      <c r="B4" s="154" t="str">
        <f>Jugadores!J3</f>
        <v>Orlando Montiel</v>
      </c>
      <c r="C4" s="155"/>
      <c r="D4" s="24">
        <f>H4+L4+P4+T4+X4+AB4+AF4+AJ4+AN4+AR4+AV4+AZ4+BD4+BH4+BL4+BP4+BT4+BX4+CB4+CF4+CJ4+CN4+CR4+CV4+CZ4</f>
        <v>9</v>
      </c>
      <c r="E4" s="24">
        <f>I4+M4+Q4+U4+Y4+AC4+AG4+AK4+AO4+AS4+AW4+BA4+BE4+BI4+BM4+BQ4+BV4+BY4+CD4+CG4+CL4+CO4+CT4+CW4+DB4</f>
        <v>3</v>
      </c>
      <c r="F4" s="115">
        <f>J4+N4+R4+V4+Z4+AD4+AH4+AL4+AP4+AT4+AX4+BB4+BF4+BJ4+BN4+BT4+BX4+CB4+CF4+CJ4+CN4+CR4+CV4+CZ4</f>
        <v>0</v>
      </c>
      <c r="G4" s="115">
        <f>K4+O4+S4+W4+AA4+AE4+AI4+AM4+AQ4+AU4+AY4+BC4+BG4+BK4+BO4+BV4+BY4+CD4+CG4+CL4+CO4+CT4+CW4+DB4</f>
        <v>0</v>
      </c>
      <c r="H4" s="28"/>
      <c r="I4" s="26"/>
      <c r="J4" s="26"/>
      <c r="K4" s="29"/>
      <c r="L4" s="28">
        <v>4</v>
      </c>
      <c r="M4" s="26"/>
      <c r="N4" s="26"/>
      <c r="O4" s="29"/>
      <c r="P4" s="28">
        <v>1</v>
      </c>
      <c r="Q4" s="26">
        <v>1</v>
      </c>
      <c r="R4" s="26"/>
      <c r="S4" s="29"/>
      <c r="T4" s="28">
        <v>3</v>
      </c>
      <c r="U4" s="26"/>
      <c r="V4" s="26"/>
      <c r="W4" s="29"/>
      <c r="X4" s="28"/>
      <c r="Y4" s="26"/>
      <c r="Z4" s="26"/>
      <c r="AA4" s="29"/>
      <c r="AB4" s="28"/>
      <c r="AC4" s="26"/>
      <c r="AD4" s="26"/>
      <c r="AE4" s="29"/>
      <c r="AF4" s="28"/>
      <c r="AG4" s="26"/>
      <c r="AH4" s="26"/>
      <c r="AI4" s="29"/>
      <c r="AJ4" s="28"/>
      <c r="AK4" s="26"/>
      <c r="AL4" s="26"/>
      <c r="AM4" s="29"/>
      <c r="AN4" s="28"/>
      <c r="AO4" s="26"/>
      <c r="AP4" s="26"/>
      <c r="AQ4" s="29"/>
      <c r="AR4" s="28"/>
      <c r="AS4" s="26"/>
      <c r="AT4" s="26"/>
      <c r="AU4" s="29"/>
      <c r="AV4" s="28"/>
      <c r="AW4" s="26"/>
      <c r="AX4" s="26"/>
      <c r="AY4" s="29"/>
      <c r="AZ4" s="28">
        <v>1</v>
      </c>
      <c r="BA4" s="26">
        <v>1</v>
      </c>
      <c r="BB4" s="26"/>
      <c r="BC4" s="29"/>
      <c r="BD4" s="28"/>
      <c r="BE4" s="26">
        <v>1</v>
      </c>
      <c r="BF4" s="26"/>
      <c r="BG4" s="29"/>
      <c r="BH4" s="28"/>
      <c r="BI4" s="26"/>
      <c r="BJ4" s="26"/>
      <c r="BK4" s="29"/>
      <c r="BL4" s="28"/>
      <c r="BM4" s="26"/>
      <c r="BN4" s="26"/>
      <c r="BO4" s="29"/>
      <c r="BP4" s="28"/>
      <c r="BQ4" s="26"/>
      <c r="BR4" s="26"/>
      <c r="BS4" s="29"/>
      <c r="BT4" s="28"/>
      <c r="BU4" s="26"/>
      <c r="BV4" s="26"/>
      <c r="BW4" s="29"/>
      <c r="BX4" s="28"/>
      <c r="BY4" s="26"/>
      <c r="BZ4" s="26"/>
      <c r="CA4" s="29"/>
      <c r="CB4" s="28"/>
      <c r="CC4" s="26"/>
      <c r="CD4" s="26"/>
      <c r="CE4" s="29"/>
      <c r="CF4" s="28"/>
      <c r="CG4" s="26"/>
      <c r="CH4" s="26"/>
      <c r="CI4" s="29"/>
      <c r="CJ4" s="28"/>
      <c r="CK4" s="26"/>
      <c r="CL4" s="26"/>
      <c r="CM4" s="29"/>
      <c r="CN4" s="28"/>
      <c r="CO4" s="26"/>
      <c r="CP4" s="26"/>
      <c r="CQ4" s="29"/>
      <c r="CR4" s="28"/>
      <c r="CS4" s="26"/>
      <c r="CT4" s="26"/>
      <c r="CU4" s="29"/>
      <c r="CV4" s="28"/>
      <c r="CW4" s="26"/>
      <c r="CX4" s="26"/>
      <c r="CY4" s="29"/>
      <c r="CZ4" s="28"/>
      <c r="DA4" s="26"/>
      <c r="DB4" s="26"/>
      <c r="DC4" s="29"/>
    </row>
    <row r="5" spans="1:107" ht="19.899999999999999" customHeight="1" x14ac:dyDescent="0.25">
      <c r="A5" s="190"/>
      <c r="B5" s="154" t="str">
        <f>Jugadores!J4</f>
        <v>Wilberto Gil</v>
      </c>
      <c r="C5" s="155"/>
      <c r="D5" s="24">
        <f t="shared" ref="D5:D18" si="0">H5+L5+P5+T5+X5+AB5+AF5+AJ5+AN5+AR5+AV5+AZ5+BD5+BH5+BL5+BP5+BT5+BX5+CB5+CF5+CJ5+CN5+CR5+CV5+CZ5</f>
        <v>3</v>
      </c>
      <c r="E5" s="24">
        <f t="shared" ref="E5:E18" si="1">I5+M5+Q5+U5+Y5+AC5+AG5+AK5+AO5+AS5+AW5+BA5+BE5+BI5+BM5+BQ5+BV5+BY5+CD5+CG5+CL5+CO5+CT5+CW5+DB5</f>
        <v>0</v>
      </c>
      <c r="F5" s="115">
        <f t="shared" ref="F5:F18" si="2">J5+N5+R5+V5+Z5+AD5+AH5+AL5+AP5+AT5+AX5+BB5+BF5+BJ5+BN5+BT5+BX5+CB5+CF5+CJ5+CN5+CR5+CV5+CZ5</f>
        <v>0</v>
      </c>
      <c r="G5" s="115">
        <f t="shared" ref="G5:G18" si="3">K5+O5+S5+W5+AA5+AE5+AI5+AM5+AQ5+AU5+AY5+BC5+BG5+BK5+BO5+BV5+BY5+CD5+CG5+CL5+CO5+CT5+CW5+DB5</f>
        <v>0</v>
      </c>
      <c r="H5" s="28"/>
      <c r="I5" s="26"/>
      <c r="J5" s="26"/>
      <c r="K5" s="29"/>
      <c r="L5" s="28">
        <v>1</v>
      </c>
      <c r="M5" s="26"/>
      <c r="N5" s="26"/>
      <c r="O5" s="29"/>
      <c r="P5" s="28">
        <v>1</v>
      </c>
      <c r="Q5" s="26"/>
      <c r="R5" s="26"/>
      <c r="S5" s="29"/>
      <c r="T5" s="28">
        <v>1</v>
      </c>
      <c r="U5" s="26"/>
      <c r="V5" s="26"/>
      <c r="W5" s="29"/>
      <c r="X5" s="28"/>
      <c r="Y5" s="26"/>
      <c r="Z5" s="26"/>
      <c r="AA5" s="29"/>
      <c r="AB5" s="28"/>
      <c r="AC5" s="26"/>
      <c r="AD5" s="26"/>
      <c r="AE5" s="29"/>
      <c r="AF5" s="28"/>
      <c r="AG5" s="26"/>
      <c r="AH5" s="26"/>
      <c r="AI5" s="29"/>
      <c r="AJ5" s="28"/>
      <c r="AK5" s="26"/>
      <c r="AL5" s="26"/>
      <c r="AM5" s="29"/>
      <c r="AN5" s="28"/>
      <c r="AO5" s="26"/>
      <c r="AP5" s="26"/>
      <c r="AQ5" s="29"/>
      <c r="AR5" s="28"/>
      <c r="AS5" s="26"/>
      <c r="AT5" s="26"/>
      <c r="AU5" s="29"/>
      <c r="AV5" s="28"/>
      <c r="AW5" s="26"/>
      <c r="AX5" s="26"/>
      <c r="AY5" s="29"/>
      <c r="AZ5" s="28"/>
      <c r="BA5" s="26"/>
      <c r="BB5" s="26"/>
      <c r="BC5" s="29"/>
      <c r="BD5" s="28"/>
      <c r="BE5" s="26"/>
      <c r="BF5" s="26"/>
      <c r="BG5" s="29"/>
      <c r="BH5" s="28"/>
      <c r="BI5" s="26"/>
      <c r="BJ5" s="26"/>
      <c r="BK5" s="29"/>
      <c r="BL5" s="28"/>
      <c r="BM5" s="26"/>
      <c r="BN5" s="26"/>
      <c r="BO5" s="29"/>
      <c r="BP5" s="28"/>
      <c r="BQ5" s="26"/>
      <c r="BR5" s="26"/>
      <c r="BS5" s="29"/>
      <c r="BT5" s="28"/>
      <c r="BU5" s="26"/>
      <c r="BV5" s="26"/>
      <c r="BW5" s="29"/>
      <c r="BX5" s="28"/>
      <c r="BY5" s="26"/>
      <c r="BZ5" s="26"/>
      <c r="CA5" s="29"/>
      <c r="CB5" s="28"/>
      <c r="CC5" s="26"/>
      <c r="CD5" s="26"/>
      <c r="CE5" s="29"/>
      <c r="CF5" s="28"/>
      <c r="CG5" s="26"/>
      <c r="CH5" s="26"/>
      <c r="CI5" s="29"/>
      <c r="CJ5" s="28"/>
      <c r="CK5" s="26"/>
      <c r="CL5" s="26"/>
      <c r="CM5" s="29"/>
      <c r="CN5" s="28"/>
      <c r="CO5" s="26"/>
      <c r="CP5" s="26"/>
      <c r="CQ5" s="29"/>
      <c r="CR5" s="28"/>
      <c r="CS5" s="26"/>
      <c r="CT5" s="26"/>
      <c r="CU5" s="29"/>
      <c r="CV5" s="28"/>
      <c r="CW5" s="26"/>
      <c r="CX5" s="26"/>
      <c r="CY5" s="29"/>
      <c r="CZ5" s="28"/>
      <c r="DA5" s="26"/>
      <c r="DB5" s="26"/>
      <c r="DC5" s="29"/>
    </row>
    <row r="6" spans="1:107" ht="19.899999999999999" customHeight="1" x14ac:dyDescent="0.25">
      <c r="A6" s="190"/>
      <c r="B6" s="154" t="str">
        <f>Jugadores!J5</f>
        <v>Daniel Garcia</v>
      </c>
      <c r="C6" s="155"/>
      <c r="D6" s="24">
        <f t="shared" si="0"/>
        <v>7</v>
      </c>
      <c r="E6" s="24">
        <f t="shared" si="1"/>
        <v>4</v>
      </c>
      <c r="F6" s="115">
        <f t="shared" si="2"/>
        <v>0</v>
      </c>
      <c r="G6" s="115">
        <f t="shared" si="3"/>
        <v>0</v>
      </c>
      <c r="H6" s="28"/>
      <c r="I6" s="26">
        <v>1</v>
      </c>
      <c r="J6" s="26"/>
      <c r="K6" s="29"/>
      <c r="L6" s="28"/>
      <c r="M6" s="26"/>
      <c r="N6" s="26"/>
      <c r="O6" s="29"/>
      <c r="P6" s="28"/>
      <c r="Q6" s="26"/>
      <c r="R6" s="26"/>
      <c r="S6" s="29"/>
      <c r="T6" s="28"/>
      <c r="U6" s="26"/>
      <c r="V6" s="26"/>
      <c r="W6" s="29"/>
      <c r="X6" s="28"/>
      <c r="Y6" s="26"/>
      <c r="Z6" s="26"/>
      <c r="AA6" s="29"/>
      <c r="AB6" s="28"/>
      <c r="AC6" s="26"/>
      <c r="AD6" s="26"/>
      <c r="AE6" s="29"/>
      <c r="AF6" s="28">
        <v>1</v>
      </c>
      <c r="AG6" s="26">
        <v>1</v>
      </c>
      <c r="AH6" s="26"/>
      <c r="AI6" s="29"/>
      <c r="AJ6" s="28"/>
      <c r="AK6" s="26"/>
      <c r="AL6" s="26"/>
      <c r="AM6" s="29"/>
      <c r="AN6" s="28">
        <v>1</v>
      </c>
      <c r="AO6" s="26"/>
      <c r="AP6" s="26"/>
      <c r="AQ6" s="29"/>
      <c r="AR6" s="28"/>
      <c r="AS6" s="26"/>
      <c r="AT6" s="26"/>
      <c r="AU6" s="29"/>
      <c r="AV6" s="28"/>
      <c r="AW6" s="26"/>
      <c r="AX6" s="26"/>
      <c r="AY6" s="29"/>
      <c r="AZ6" s="28"/>
      <c r="BA6" s="26"/>
      <c r="BB6" s="26"/>
      <c r="BC6" s="29"/>
      <c r="BD6" s="28">
        <v>1</v>
      </c>
      <c r="BE6" s="26">
        <v>1</v>
      </c>
      <c r="BF6" s="26"/>
      <c r="BG6" s="29"/>
      <c r="BH6" s="28"/>
      <c r="BI6" s="26"/>
      <c r="BJ6" s="26"/>
      <c r="BK6" s="29"/>
      <c r="BL6" s="28">
        <v>3</v>
      </c>
      <c r="BM6" s="26">
        <v>1</v>
      </c>
      <c r="BN6" s="26"/>
      <c r="BO6" s="29"/>
      <c r="BP6" s="28">
        <v>1</v>
      </c>
      <c r="BQ6" s="26"/>
      <c r="BR6" s="26"/>
      <c r="BS6" s="29"/>
      <c r="BT6" s="28"/>
      <c r="BU6" s="26"/>
      <c r="BV6" s="26"/>
      <c r="BW6" s="29"/>
      <c r="BX6" s="28"/>
      <c r="BY6" s="26"/>
      <c r="BZ6" s="26"/>
      <c r="CA6" s="29"/>
      <c r="CB6" s="28"/>
      <c r="CC6" s="26"/>
      <c r="CD6" s="26"/>
      <c r="CE6" s="29"/>
      <c r="CF6" s="28"/>
      <c r="CG6" s="26"/>
      <c r="CH6" s="26"/>
      <c r="CI6" s="29"/>
      <c r="CJ6" s="28"/>
      <c r="CK6" s="26"/>
      <c r="CL6" s="26"/>
      <c r="CM6" s="29"/>
      <c r="CN6" s="28"/>
      <c r="CO6" s="26"/>
      <c r="CP6" s="26"/>
      <c r="CQ6" s="29"/>
      <c r="CR6" s="28"/>
      <c r="CS6" s="26"/>
      <c r="CT6" s="26"/>
      <c r="CU6" s="29"/>
      <c r="CV6" s="28"/>
      <c r="CW6" s="26"/>
      <c r="CX6" s="26"/>
      <c r="CY6" s="29"/>
      <c r="CZ6" s="28"/>
      <c r="DA6" s="26"/>
      <c r="DB6" s="26"/>
      <c r="DC6" s="29"/>
    </row>
    <row r="7" spans="1:107" ht="19.899999999999999" customHeight="1" x14ac:dyDescent="0.25">
      <c r="A7" s="190"/>
      <c r="B7" s="154" t="str">
        <f>Jugadores!J6</f>
        <v>Nelson  Plaza</v>
      </c>
      <c r="C7" s="155"/>
      <c r="D7" s="24">
        <f>H7+L7+P7+T7+X7+AB7+AF7+AJ7+AN7+AR7+AV7+AZ7+BD7+BH7+BL7+BP7+BT7+BX7+CB7+CF7+CJ7+CN7+CR7+CV7+CZ7</f>
        <v>2</v>
      </c>
      <c r="E7" s="24">
        <f t="shared" si="1"/>
        <v>0</v>
      </c>
      <c r="F7" s="115">
        <f t="shared" si="2"/>
        <v>0</v>
      </c>
      <c r="G7" s="115">
        <f t="shared" si="3"/>
        <v>0</v>
      </c>
      <c r="H7" s="28"/>
      <c r="I7" s="26"/>
      <c r="J7" s="26"/>
      <c r="K7" s="29"/>
      <c r="L7" s="28">
        <v>2</v>
      </c>
      <c r="M7" s="26"/>
      <c r="N7" s="26"/>
      <c r="O7" s="29"/>
      <c r="P7" s="28"/>
      <c r="Q7" s="26"/>
      <c r="R7" s="26"/>
      <c r="S7" s="29"/>
      <c r="T7" s="28"/>
      <c r="U7" s="26"/>
      <c r="V7" s="26"/>
      <c r="W7" s="29"/>
      <c r="X7" s="28"/>
      <c r="Y7" s="26"/>
      <c r="Z7" s="26"/>
      <c r="AA7" s="29"/>
      <c r="AB7" s="28"/>
      <c r="AC7" s="26"/>
      <c r="AD7" s="26"/>
      <c r="AE7" s="29"/>
      <c r="AF7" s="28"/>
      <c r="AG7" s="26"/>
      <c r="AH7" s="26"/>
      <c r="AI7" s="29"/>
      <c r="AJ7" s="28"/>
      <c r="AK7" s="26"/>
      <c r="AL7" s="26"/>
      <c r="AM7" s="29"/>
      <c r="AN7" s="28"/>
      <c r="AO7" s="26"/>
      <c r="AP7" s="26"/>
      <c r="AQ7" s="29"/>
      <c r="AR7" s="28"/>
      <c r="AS7" s="26"/>
      <c r="AT7" s="26"/>
      <c r="AU7" s="29"/>
      <c r="AV7" s="28"/>
      <c r="AW7" s="26"/>
      <c r="AX7" s="26"/>
      <c r="AY7" s="29"/>
      <c r="AZ7" s="28"/>
      <c r="BA7" s="26"/>
      <c r="BB7" s="26"/>
      <c r="BC7" s="29"/>
      <c r="BD7" s="28"/>
      <c r="BE7" s="26"/>
      <c r="BF7" s="26"/>
      <c r="BG7" s="29"/>
      <c r="BH7" s="28"/>
      <c r="BI7" s="26"/>
      <c r="BJ7" s="26"/>
      <c r="BK7" s="29"/>
      <c r="BL7" s="28"/>
      <c r="BM7" s="26"/>
      <c r="BN7" s="26"/>
      <c r="BO7" s="29"/>
      <c r="BP7" s="28"/>
      <c r="BQ7" s="26"/>
      <c r="BR7" s="26"/>
      <c r="BS7" s="29"/>
      <c r="BT7" s="28"/>
      <c r="BU7" s="26"/>
      <c r="BV7" s="26"/>
      <c r="BW7" s="29"/>
      <c r="BX7" s="28"/>
      <c r="BY7" s="26"/>
      <c r="BZ7" s="26"/>
      <c r="CA7" s="29"/>
      <c r="CB7" s="28"/>
      <c r="CC7" s="26"/>
      <c r="CD7" s="26"/>
      <c r="CE7" s="29"/>
      <c r="CF7" s="28"/>
      <c r="CG7" s="26"/>
      <c r="CH7" s="26"/>
      <c r="CI7" s="29"/>
      <c r="CJ7" s="28"/>
      <c r="CK7" s="26"/>
      <c r="CL7" s="26"/>
      <c r="CM7" s="29"/>
      <c r="CN7" s="28"/>
      <c r="CO7" s="26"/>
      <c r="CP7" s="26"/>
      <c r="CQ7" s="29"/>
      <c r="CR7" s="28"/>
      <c r="CS7" s="26"/>
      <c r="CT7" s="26"/>
      <c r="CU7" s="29"/>
      <c r="CV7" s="28"/>
      <c r="CW7" s="26"/>
      <c r="CX7" s="26"/>
      <c r="CY7" s="29"/>
      <c r="CZ7" s="28"/>
      <c r="DA7" s="26"/>
      <c r="DB7" s="26"/>
      <c r="DC7" s="29"/>
    </row>
    <row r="8" spans="1:107" ht="19.899999999999999" customHeight="1" x14ac:dyDescent="0.25">
      <c r="A8" s="190"/>
      <c r="B8" s="154" t="str">
        <f>Jugadores!J7</f>
        <v>Silvio Celins</v>
      </c>
      <c r="C8" s="155"/>
      <c r="D8" s="24">
        <f t="shared" si="0"/>
        <v>1</v>
      </c>
      <c r="E8" s="24">
        <f t="shared" si="1"/>
        <v>1</v>
      </c>
      <c r="F8" s="115">
        <f t="shared" si="2"/>
        <v>0</v>
      </c>
      <c r="G8" s="115">
        <f t="shared" si="3"/>
        <v>0</v>
      </c>
      <c r="H8" s="28"/>
      <c r="I8" s="26"/>
      <c r="J8" s="26"/>
      <c r="K8" s="29"/>
      <c r="L8" s="28">
        <v>1</v>
      </c>
      <c r="M8" s="26">
        <v>1</v>
      </c>
      <c r="N8" s="26"/>
      <c r="O8" s="29"/>
      <c r="P8" s="28"/>
      <c r="Q8" s="26"/>
      <c r="R8" s="26"/>
      <c r="S8" s="29"/>
      <c r="T8" s="28"/>
      <c r="U8" s="26"/>
      <c r="V8" s="26"/>
      <c r="W8" s="29"/>
      <c r="X8" s="28"/>
      <c r="Y8" s="26"/>
      <c r="Z8" s="26"/>
      <c r="AA8" s="29"/>
      <c r="AB8" s="28"/>
      <c r="AC8" s="26"/>
      <c r="AD8" s="26"/>
      <c r="AE8" s="29"/>
      <c r="AF8" s="28"/>
      <c r="AG8" s="26"/>
      <c r="AH8" s="26"/>
      <c r="AI8" s="29"/>
      <c r="AJ8" s="28"/>
      <c r="AK8" s="26"/>
      <c r="AL8" s="26"/>
      <c r="AM8" s="29"/>
      <c r="AN8" s="28"/>
      <c r="AO8" s="26"/>
      <c r="AP8" s="26"/>
      <c r="AQ8" s="29"/>
      <c r="AR8" s="28"/>
      <c r="AS8" s="26"/>
      <c r="AT8" s="26"/>
      <c r="AU8" s="29"/>
      <c r="AV8" s="28"/>
      <c r="AW8" s="26"/>
      <c r="AX8" s="26"/>
      <c r="AY8" s="29"/>
      <c r="AZ8" s="28"/>
      <c r="BA8" s="26"/>
      <c r="BB8" s="26"/>
      <c r="BC8" s="29"/>
      <c r="BD8" s="28"/>
      <c r="BE8" s="26"/>
      <c r="BF8" s="26"/>
      <c r="BG8" s="29"/>
      <c r="BH8" s="28"/>
      <c r="BI8" s="26"/>
      <c r="BJ8" s="26"/>
      <c r="BK8" s="29"/>
      <c r="BL8" s="28"/>
      <c r="BM8" s="26"/>
      <c r="BN8" s="26"/>
      <c r="BO8" s="29"/>
      <c r="BP8" s="28"/>
      <c r="BQ8" s="26"/>
      <c r="BR8" s="26"/>
      <c r="BS8" s="29"/>
      <c r="BT8" s="28"/>
      <c r="BU8" s="26"/>
      <c r="BV8" s="26"/>
      <c r="BW8" s="29"/>
      <c r="BX8" s="28"/>
      <c r="BY8" s="26"/>
      <c r="BZ8" s="26"/>
      <c r="CA8" s="29"/>
      <c r="CB8" s="28"/>
      <c r="CC8" s="26"/>
      <c r="CD8" s="26"/>
      <c r="CE8" s="29"/>
      <c r="CF8" s="28"/>
      <c r="CG8" s="26"/>
      <c r="CH8" s="26"/>
      <c r="CI8" s="29"/>
      <c r="CJ8" s="28"/>
      <c r="CK8" s="26"/>
      <c r="CL8" s="26"/>
      <c r="CM8" s="29"/>
      <c r="CN8" s="28"/>
      <c r="CO8" s="26"/>
      <c r="CP8" s="26"/>
      <c r="CQ8" s="29"/>
      <c r="CR8" s="28"/>
      <c r="CS8" s="26"/>
      <c r="CT8" s="26"/>
      <c r="CU8" s="29"/>
      <c r="CV8" s="28"/>
      <c r="CW8" s="26"/>
      <c r="CX8" s="26"/>
      <c r="CY8" s="29"/>
      <c r="CZ8" s="28"/>
      <c r="DA8" s="26"/>
      <c r="DB8" s="26"/>
      <c r="DC8" s="29"/>
    </row>
    <row r="9" spans="1:107" ht="19.899999999999999" customHeight="1" x14ac:dyDescent="0.25">
      <c r="A9" s="190"/>
      <c r="B9" s="154" t="str">
        <f>Jugadores!J8</f>
        <v>Luis Colmenares</v>
      </c>
      <c r="C9" s="155"/>
      <c r="D9" s="24">
        <f t="shared" si="0"/>
        <v>3</v>
      </c>
      <c r="E9" s="24">
        <f t="shared" si="1"/>
        <v>2</v>
      </c>
      <c r="F9" s="115">
        <f t="shared" si="2"/>
        <v>2</v>
      </c>
      <c r="G9" s="115">
        <f t="shared" si="3"/>
        <v>0</v>
      </c>
      <c r="H9" s="28"/>
      <c r="I9" s="26"/>
      <c r="J9" s="26"/>
      <c r="K9" s="29"/>
      <c r="L9" s="28"/>
      <c r="M9" s="26"/>
      <c r="N9" s="26"/>
      <c r="O9" s="29"/>
      <c r="P9" s="28"/>
      <c r="Q9" s="26">
        <v>1</v>
      </c>
      <c r="R9" s="26"/>
      <c r="S9" s="29"/>
      <c r="T9" s="28"/>
      <c r="U9" s="26"/>
      <c r="V9" s="26"/>
      <c r="W9" s="29"/>
      <c r="X9" s="28"/>
      <c r="Y9" s="26"/>
      <c r="Z9" s="26"/>
      <c r="AA9" s="29"/>
      <c r="AB9" s="28"/>
      <c r="AC9" s="26"/>
      <c r="AD9" s="26"/>
      <c r="AE9" s="29"/>
      <c r="AF9" s="28"/>
      <c r="AG9" s="26"/>
      <c r="AH9" s="26"/>
      <c r="AI9" s="29"/>
      <c r="AJ9" s="28"/>
      <c r="AK9" s="26"/>
      <c r="AL9" s="26"/>
      <c r="AM9" s="29"/>
      <c r="AN9" s="28"/>
      <c r="AO9" s="26"/>
      <c r="AP9" s="26"/>
      <c r="AQ9" s="29"/>
      <c r="AR9" s="28"/>
      <c r="AS9" s="26"/>
      <c r="AT9" s="26"/>
      <c r="AU9" s="29"/>
      <c r="AV9" s="28"/>
      <c r="AW9" s="26"/>
      <c r="AX9" s="26"/>
      <c r="AY9" s="29"/>
      <c r="AZ9" s="28"/>
      <c r="BA9" s="26">
        <v>1</v>
      </c>
      <c r="BB9" s="26"/>
      <c r="BC9" s="29"/>
      <c r="BD9" s="28"/>
      <c r="BE9" s="26"/>
      <c r="BF9" s="26"/>
      <c r="BG9" s="29"/>
      <c r="BH9" s="28"/>
      <c r="BI9" s="26"/>
      <c r="BJ9" s="26"/>
      <c r="BK9" s="29"/>
      <c r="BL9" s="28"/>
      <c r="BM9" s="26"/>
      <c r="BN9" s="26"/>
      <c r="BO9" s="29"/>
      <c r="BP9" s="28">
        <v>1</v>
      </c>
      <c r="BQ9" s="26"/>
      <c r="BR9" s="26"/>
      <c r="BS9" s="29"/>
      <c r="BT9" s="28"/>
      <c r="BU9" s="26"/>
      <c r="BV9" s="26"/>
      <c r="BW9" s="29"/>
      <c r="BX9" s="28">
        <v>1</v>
      </c>
      <c r="BY9" s="26"/>
      <c r="BZ9" s="26"/>
      <c r="CA9" s="29"/>
      <c r="CB9" s="28">
        <v>1</v>
      </c>
      <c r="CC9" s="26"/>
      <c r="CD9" s="26"/>
      <c r="CE9" s="29"/>
      <c r="CF9" s="28"/>
      <c r="CG9" s="26"/>
      <c r="CH9" s="26"/>
      <c r="CI9" s="29"/>
      <c r="CJ9" s="28"/>
      <c r="CK9" s="26"/>
      <c r="CL9" s="26"/>
      <c r="CM9" s="29"/>
      <c r="CN9" s="28"/>
      <c r="CO9" s="26"/>
      <c r="CP9" s="26"/>
      <c r="CQ9" s="29"/>
      <c r="CR9" s="28"/>
      <c r="CS9" s="26"/>
      <c r="CT9" s="26"/>
      <c r="CU9" s="29"/>
      <c r="CV9" s="28"/>
      <c r="CW9" s="26"/>
      <c r="CX9" s="26"/>
      <c r="CY9" s="29"/>
      <c r="CZ9" s="28"/>
      <c r="DA9" s="26"/>
      <c r="DB9" s="26"/>
      <c r="DC9" s="29"/>
    </row>
    <row r="10" spans="1:107" ht="19.899999999999999" customHeight="1" x14ac:dyDescent="0.25">
      <c r="A10" s="190"/>
      <c r="B10" s="154" t="str">
        <f>Jugadores!J9</f>
        <v>Yehis Pacheco</v>
      </c>
      <c r="C10" s="155"/>
      <c r="D10" s="24">
        <f t="shared" si="0"/>
        <v>20</v>
      </c>
      <c r="E10" s="24">
        <f t="shared" si="1"/>
        <v>2</v>
      </c>
      <c r="F10" s="115">
        <f t="shared" si="2"/>
        <v>3</v>
      </c>
      <c r="G10" s="115">
        <f t="shared" si="3"/>
        <v>0</v>
      </c>
      <c r="H10" s="28">
        <v>1</v>
      </c>
      <c r="I10" s="26"/>
      <c r="J10" s="26"/>
      <c r="K10" s="29"/>
      <c r="L10" s="28">
        <v>4</v>
      </c>
      <c r="M10" s="26">
        <v>1</v>
      </c>
      <c r="N10" s="26"/>
      <c r="O10" s="29"/>
      <c r="P10" s="28"/>
      <c r="Q10" s="26"/>
      <c r="R10" s="26"/>
      <c r="S10" s="29"/>
      <c r="T10" s="28">
        <v>2</v>
      </c>
      <c r="U10" s="26"/>
      <c r="V10" s="26"/>
      <c r="W10" s="29"/>
      <c r="X10" s="28"/>
      <c r="Y10" s="26"/>
      <c r="Z10" s="26"/>
      <c r="AA10" s="29"/>
      <c r="AB10" s="28">
        <v>2</v>
      </c>
      <c r="AC10" s="26"/>
      <c r="AD10" s="26"/>
      <c r="AE10" s="29"/>
      <c r="AF10" s="28"/>
      <c r="AG10" s="26"/>
      <c r="AH10" s="26"/>
      <c r="AI10" s="29"/>
      <c r="AJ10" s="28">
        <v>1</v>
      </c>
      <c r="AK10" s="26"/>
      <c r="AL10" s="26"/>
      <c r="AM10" s="29"/>
      <c r="AN10" s="28"/>
      <c r="AO10" s="26"/>
      <c r="AP10" s="26"/>
      <c r="AQ10" s="29"/>
      <c r="AR10" s="28">
        <v>3</v>
      </c>
      <c r="AS10" s="26">
        <v>1</v>
      </c>
      <c r="AT10" s="26"/>
      <c r="AU10" s="29"/>
      <c r="AV10" s="28">
        <v>1</v>
      </c>
      <c r="AW10" s="26"/>
      <c r="AX10" s="26"/>
      <c r="AY10" s="29"/>
      <c r="AZ10" s="28"/>
      <c r="BA10" s="26"/>
      <c r="BB10" s="26"/>
      <c r="BC10" s="29"/>
      <c r="BD10" s="28">
        <v>1</v>
      </c>
      <c r="BE10" s="26"/>
      <c r="BF10" s="26"/>
      <c r="BG10" s="29"/>
      <c r="BH10" s="28"/>
      <c r="BI10" s="26"/>
      <c r="BJ10" s="26"/>
      <c r="BK10" s="29"/>
      <c r="BL10" s="28"/>
      <c r="BM10" s="26"/>
      <c r="BN10" s="26"/>
      <c r="BO10" s="29"/>
      <c r="BP10" s="28">
        <v>2</v>
      </c>
      <c r="BQ10" s="26"/>
      <c r="BR10" s="26"/>
      <c r="BS10" s="29"/>
      <c r="BT10" s="28">
        <v>1</v>
      </c>
      <c r="BU10" s="26"/>
      <c r="BV10" s="26"/>
      <c r="BW10" s="29"/>
      <c r="BX10" s="28">
        <v>2</v>
      </c>
      <c r="BY10" s="26"/>
      <c r="BZ10" s="26"/>
      <c r="CA10" s="29"/>
      <c r="CB10" s="28"/>
      <c r="CC10" s="26"/>
      <c r="CD10" s="26"/>
      <c r="CE10" s="29"/>
      <c r="CF10" s="28"/>
      <c r="CG10" s="26"/>
      <c r="CH10" s="26"/>
      <c r="CI10" s="29"/>
      <c r="CJ10" s="28"/>
      <c r="CK10" s="26"/>
      <c r="CL10" s="26"/>
      <c r="CM10" s="29"/>
      <c r="CN10" s="28"/>
      <c r="CO10" s="26"/>
      <c r="CP10" s="26"/>
      <c r="CQ10" s="29"/>
      <c r="CR10" s="28"/>
      <c r="CS10" s="26"/>
      <c r="CT10" s="26"/>
      <c r="CU10" s="29"/>
      <c r="CV10" s="28"/>
      <c r="CW10" s="26"/>
      <c r="CX10" s="26"/>
      <c r="CY10" s="29"/>
      <c r="CZ10" s="28"/>
      <c r="DA10" s="26"/>
      <c r="DB10" s="26"/>
      <c r="DC10" s="29"/>
    </row>
    <row r="11" spans="1:107" ht="19.899999999999999" customHeight="1" x14ac:dyDescent="0.25">
      <c r="A11" s="190"/>
      <c r="B11" s="154" t="str">
        <f>Jugadores!J10</f>
        <v>Arbenis Montoya</v>
      </c>
      <c r="C11" s="155"/>
      <c r="D11" s="24">
        <f t="shared" si="0"/>
        <v>3</v>
      </c>
      <c r="E11" s="24">
        <f t="shared" si="1"/>
        <v>4</v>
      </c>
      <c r="F11" s="115">
        <f t="shared" si="2"/>
        <v>0</v>
      </c>
      <c r="G11" s="115">
        <f t="shared" si="3"/>
        <v>1</v>
      </c>
      <c r="H11" s="28"/>
      <c r="I11" s="26"/>
      <c r="J11" s="26"/>
      <c r="K11" s="29"/>
      <c r="L11" s="28"/>
      <c r="M11" s="26"/>
      <c r="N11" s="26"/>
      <c r="O11" s="29"/>
      <c r="P11" s="28">
        <v>1</v>
      </c>
      <c r="Q11" s="26">
        <v>1</v>
      </c>
      <c r="R11" s="26"/>
      <c r="S11" s="29"/>
      <c r="T11" s="28"/>
      <c r="U11" s="26">
        <v>1</v>
      </c>
      <c r="V11" s="26"/>
      <c r="W11" s="29"/>
      <c r="X11" s="28"/>
      <c r="Y11" s="26"/>
      <c r="Z11" s="26"/>
      <c r="AA11" s="29"/>
      <c r="AB11" s="28"/>
      <c r="AC11" s="26"/>
      <c r="AD11" s="26"/>
      <c r="AE11" s="29"/>
      <c r="AF11" s="28"/>
      <c r="AG11" s="26"/>
      <c r="AH11" s="26"/>
      <c r="AI11" s="29"/>
      <c r="AJ11" s="28"/>
      <c r="AK11" s="26"/>
      <c r="AL11" s="26"/>
      <c r="AM11" s="29"/>
      <c r="AN11" s="28"/>
      <c r="AO11" s="26"/>
      <c r="AP11" s="26"/>
      <c r="AQ11" s="29"/>
      <c r="AR11" s="28">
        <v>2</v>
      </c>
      <c r="AS11" s="26">
        <v>1</v>
      </c>
      <c r="AT11" s="26"/>
      <c r="AU11" s="29"/>
      <c r="AV11" s="28"/>
      <c r="AW11" s="26"/>
      <c r="AX11" s="26"/>
      <c r="AY11" s="29">
        <v>1</v>
      </c>
      <c r="AZ11" s="28"/>
      <c r="BA11" s="26"/>
      <c r="BB11" s="26"/>
      <c r="BC11" s="29"/>
      <c r="BD11" s="28"/>
      <c r="BE11" s="26"/>
      <c r="BF11" s="26"/>
      <c r="BG11" s="29"/>
      <c r="BH11" s="28"/>
      <c r="BI11" s="26"/>
      <c r="BJ11" s="26"/>
      <c r="BK11" s="29"/>
      <c r="BL11" s="28"/>
      <c r="BM11" s="26"/>
      <c r="BN11" s="26"/>
      <c r="BO11" s="29"/>
      <c r="BP11" s="28"/>
      <c r="BQ11" s="26">
        <v>1</v>
      </c>
      <c r="BR11" s="26"/>
      <c r="BS11" s="29"/>
      <c r="BT11" s="28"/>
      <c r="BU11" s="26">
        <v>1</v>
      </c>
      <c r="BV11" s="26"/>
      <c r="BW11" s="29"/>
      <c r="BX11" s="28"/>
      <c r="BY11" s="26"/>
      <c r="BZ11" s="26"/>
      <c r="CA11" s="29"/>
      <c r="CB11" s="28"/>
      <c r="CC11" s="26">
        <v>1</v>
      </c>
      <c r="CD11" s="26"/>
      <c r="CE11" s="29"/>
      <c r="CF11" s="28"/>
      <c r="CG11" s="26"/>
      <c r="CH11" s="26"/>
      <c r="CI11" s="29"/>
      <c r="CJ11" s="28"/>
      <c r="CK11" s="26"/>
      <c r="CL11" s="26"/>
      <c r="CM11" s="29"/>
      <c r="CN11" s="28"/>
      <c r="CO11" s="26"/>
      <c r="CP11" s="26"/>
      <c r="CQ11" s="29"/>
      <c r="CR11" s="28"/>
      <c r="CS11" s="26"/>
      <c r="CT11" s="26"/>
      <c r="CU11" s="29"/>
      <c r="CV11" s="28"/>
      <c r="CW11" s="26"/>
      <c r="CX11" s="26"/>
      <c r="CY11" s="29"/>
      <c r="CZ11" s="28"/>
      <c r="DA11" s="26"/>
      <c r="DB11" s="26"/>
      <c r="DC11" s="29"/>
    </row>
    <row r="12" spans="1:107" ht="19.899999999999999" customHeight="1" x14ac:dyDescent="0.25">
      <c r="A12" s="190"/>
      <c r="B12" s="154" t="str">
        <f>Jugadores!J11</f>
        <v>Andry Jhoan Rivera</v>
      </c>
      <c r="C12" s="155"/>
      <c r="D12" s="24">
        <f t="shared" si="0"/>
        <v>4</v>
      </c>
      <c r="E12" s="24">
        <f t="shared" si="1"/>
        <v>3</v>
      </c>
      <c r="F12" s="115">
        <f t="shared" si="2"/>
        <v>0</v>
      </c>
      <c r="G12" s="115">
        <f t="shared" si="3"/>
        <v>0</v>
      </c>
      <c r="H12" s="28"/>
      <c r="I12" s="26"/>
      <c r="J12" s="26"/>
      <c r="K12" s="29"/>
      <c r="L12" s="28"/>
      <c r="M12" s="26"/>
      <c r="N12" s="26"/>
      <c r="O12" s="29"/>
      <c r="P12" s="28"/>
      <c r="Q12" s="26"/>
      <c r="R12" s="26"/>
      <c r="S12" s="29"/>
      <c r="T12" s="28">
        <v>2</v>
      </c>
      <c r="U12" s="26"/>
      <c r="V12" s="26"/>
      <c r="X12" s="28"/>
      <c r="Y12" s="26"/>
      <c r="Z12" s="26"/>
      <c r="AA12" s="29"/>
      <c r="AB12" s="28"/>
      <c r="AC12" s="26"/>
      <c r="AD12" s="26"/>
      <c r="AE12" s="29"/>
      <c r="AF12" s="28"/>
      <c r="AG12" s="26"/>
      <c r="AH12" s="26"/>
      <c r="AI12" s="29"/>
      <c r="AJ12" s="28"/>
      <c r="AK12" s="26">
        <v>1</v>
      </c>
      <c r="AL12" s="26"/>
      <c r="AM12" s="29"/>
      <c r="AN12" s="28"/>
      <c r="AO12" s="26"/>
      <c r="AP12" s="26"/>
      <c r="AQ12" s="29"/>
      <c r="AR12" s="28">
        <v>1</v>
      </c>
      <c r="AS12" s="26"/>
      <c r="AT12" s="26"/>
      <c r="AU12" s="29"/>
      <c r="AV12" s="28"/>
      <c r="AW12" s="26"/>
      <c r="AX12" s="26"/>
      <c r="AY12" s="29"/>
      <c r="AZ12" s="28"/>
      <c r="BA12" s="26">
        <v>1</v>
      </c>
      <c r="BB12" s="26"/>
      <c r="BC12" s="29"/>
      <c r="BD12" s="28"/>
      <c r="BE12" s="26">
        <v>1</v>
      </c>
      <c r="BF12" s="26"/>
      <c r="BG12" s="29"/>
      <c r="BH12" s="28"/>
      <c r="BI12" s="26"/>
      <c r="BJ12" s="26"/>
      <c r="BK12" s="29"/>
      <c r="BL12" s="28">
        <v>1</v>
      </c>
      <c r="BM12" s="26"/>
      <c r="BN12" s="26"/>
      <c r="BO12" s="29"/>
      <c r="BP12" s="28"/>
      <c r="BQ12" s="26"/>
      <c r="BR12" s="26"/>
      <c r="BS12" s="29"/>
      <c r="BT12" s="28"/>
      <c r="BU12" s="26"/>
      <c r="BV12" s="26"/>
      <c r="BW12" s="29"/>
      <c r="BX12" s="28"/>
      <c r="BY12" s="26"/>
      <c r="BZ12" s="26"/>
      <c r="CA12" s="29"/>
      <c r="CB12" s="28"/>
      <c r="CC12" s="26"/>
      <c r="CD12" s="26"/>
      <c r="CE12" s="29"/>
      <c r="CF12" s="28"/>
      <c r="CG12" s="26"/>
      <c r="CH12" s="26"/>
      <c r="CI12" s="29"/>
      <c r="CJ12" s="28"/>
      <c r="CK12" s="26"/>
      <c r="CL12" s="26"/>
      <c r="CM12" s="29"/>
      <c r="CN12" s="28"/>
      <c r="CO12" s="26"/>
      <c r="CP12" s="26"/>
      <c r="CQ12" s="29"/>
      <c r="CR12" s="28"/>
      <c r="CS12" s="26"/>
      <c r="CT12" s="26"/>
      <c r="CU12" s="29"/>
      <c r="CV12" s="28"/>
      <c r="CW12" s="26"/>
      <c r="CX12" s="26"/>
      <c r="CY12" s="29"/>
      <c r="CZ12" s="28"/>
      <c r="DA12" s="26"/>
      <c r="DB12" s="26"/>
      <c r="DC12" s="29"/>
    </row>
    <row r="13" spans="1:107" ht="19.899999999999999" customHeight="1" x14ac:dyDescent="0.25">
      <c r="A13" s="190"/>
      <c r="B13" s="154" t="str">
        <f>Jugadores!J12</f>
        <v>Oscar Torín</v>
      </c>
      <c r="C13" s="155"/>
      <c r="D13" s="24">
        <f t="shared" si="0"/>
        <v>1</v>
      </c>
      <c r="E13" s="24">
        <f t="shared" si="1"/>
        <v>4</v>
      </c>
      <c r="F13" s="115">
        <f t="shared" si="2"/>
        <v>1</v>
      </c>
      <c r="G13" s="115">
        <f t="shared" si="3"/>
        <v>0</v>
      </c>
      <c r="H13" s="28"/>
      <c r="I13" s="26"/>
      <c r="J13" s="26"/>
      <c r="K13" s="29"/>
      <c r="L13" s="28"/>
      <c r="M13" s="26"/>
      <c r="N13" s="26"/>
      <c r="O13" s="29"/>
      <c r="P13" s="28"/>
      <c r="Q13" s="26"/>
      <c r="R13" s="26"/>
      <c r="S13" s="29"/>
      <c r="T13" s="28"/>
      <c r="U13" s="26"/>
      <c r="V13" s="26"/>
      <c r="W13" s="29"/>
      <c r="X13" s="28"/>
      <c r="Y13" s="26"/>
      <c r="Z13" s="26"/>
      <c r="AA13" s="29"/>
      <c r="AB13" s="28"/>
      <c r="AC13" s="26">
        <v>1</v>
      </c>
      <c r="AD13" s="26"/>
      <c r="AE13" s="29"/>
      <c r="AF13" s="28"/>
      <c r="AG13" s="26">
        <v>1</v>
      </c>
      <c r="AH13" s="26"/>
      <c r="AI13" s="29"/>
      <c r="AJ13" s="28"/>
      <c r="AK13" s="26">
        <v>1</v>
      </c>
      <c r="AL13" s="26"/>
      <c r="AM13" s="29"/>
      <c r="AN13" s="28"/>
      <c r="AO13" s="26"/>
      <c r="AP13" s="26"/>
      <c r="AQ13" s="29"/>
      <c r="AR13" s="28"/>
      <c r="AS13" s="26"/>
      <c r="AT13" s="26"/>
      <c r="AU13" s="29"/>
      <c r="AV13" s="28"/>
      <c r="AW13" s="26"/>
      <c r="AX13" s="26"/>
      <c r="AY13" s="29"/>
      <c r="AZ13" s="28"/>
      <c r="BA13" s="26"/>
      <c r="BB13" s="26"/>
      <c r="BC13" s="29"/>
      <c r="BD13" s="28"/>
      <c r="BE13" s="26"/>
      <c r="BF13" s="26"/>
      <c r="BG13" s="29"/>
      <c r="BH13" s="28"/>
      <c r="BI13" s="26">
        <v>1</v>
      </c>
      <c r="BJ13" s="26"/>
      <c r="BK13" s="29"/>
      <c r="BL13" s="28"/>
      <c r="BM13" s="26"/>
      <c r="BN13" s="26"/>
      <c r="BO13" s="29"/>
      <c r="BP13" s="28"/>
      <c r="BQ13" s="26"/>
      <c r="BR13" s="26"/>
      <c r="BS13" s="29"/>
      <c r="BT13" s="28"/>
      <c r="BU13" s="26"/>
      <c r="BV13" s="26"/>
      <c r="BW13" s="29"/>
      <c r="BX13" s="28"/>
      <c r="BY13" s="26"/>
      <c r="BZ13" s="26"/>
      <c r="CA13" s="29"/>
      <c r="CB13" s="28">
        <v>1</v>
      </c>
      <c r="CC13" s="26"/>
      <c r="CD13" s="26"/>
      <c r="CE13" s="29"/>
      <c r="CF13" s="28"/>
      <c r="CG13" s="26"/>
      <c r="CH13" s="26"/>
      <c r="CI13" s="29"/>
      <c r="CJ13" s="28"/>
      <c r="CK13" s="26"/>
      <c r="CL13" s="26"/>
      <c r="CM13" s="29"/>
      <c r="CN13" s="28"/>
      <c r="CO13" s="26"/>
      <c r="CP13" s="26"/>
      <c r="CQ13" s="29"/>
      <c r="CR13" s="28"/>
      <c r="CS13" s="26"/>
      <c r="CT13" s="26"/>
      <c r="CU13" s="29"/>
      <c r="CV13" s="28"/>
      <c r="CW13" s="26"/>
      <c r="CX13" s="26"/>
      <c r="CY13" s="29"/>
      <c r="CZ13" s="28"/>
      <c r="DA13" s="26"/>
      <c r="DB13" s="26"/>
      <c r="DC13" s="29"/>
    </row>
    <row r="14" spans="1:107" ht="19.899999999999999" customHeight="1" x14ac:dyDescent="0.25">
      <c r="A14" s="190"/>
      <c r="B14" s="154" t="str">
        <f>Jugadores!J13</f>
        <v xml:space="preserve">Eduar Rodríguez </v>
      </c>
      <c r="C14" s="155"/>
      <c r="D14" s="24">
        <f t="shared" si="0"/>
        <v>0</v>
      </c>
      <c r="E14" s="24">
        <f t="shared" si="1"/>
        <v>0</v>
      </c>
      <c r="F14" s="115">
        <f t="shared" si="2"/>
        <v>0</v>
      </c>
      <c r="G14" s="115">
        <f t="shared" si="3"/>
        <v>0</v>
      </c>
      <c r="H14" s="28"/>
      <c r="I14" s="26"/>
      <c r="J14" s="26"/>
      <c r="K14" s="29"/>
      <c r="L14" s="28"/>
      <c r="M14" s="26"/>
      <c r="N14" s="26"/>
      <c r="O14" s="29"/>
      <c r="P14" s="28"/>
      <c r="Q14" s="26"/>
      <c r="R14" s="26"/>
      <c r="S14" s="29"/>
      <c r="T14" s="28"/>
      <c r="U14" s="26"/>
      <c r="V14" s="26"/>
      <c r="W14" s="29"/>
      <c r="X14" s="28"/>
      <c r="Y14" s="26"/>
      <c r="Z14" s="26"/>
      <c r="AA14" s="29"/>
      <c r="AB14" s="28"/>
      <c r="AC14" s="26"/>
      <c r="AD14" s="26"/>
      <c r="AE14" s="29"/>
      <c r="AF14" s="28"/>
      <c r="AG14" s="26"/>
      <c r="AH14" s="26"/>
      <c r="AI14" s="29"/>
      <c r="AJ14" s="28"/>
      <c r="AK14" s="26"/>
      <c r="AL14" s="26"/>
      <c r="AM14" s="29"/>
      <c r="AN14" s="28"/>
      <c r="AO14" s="26"/>
      <c r="AP14" s="26"/>
      <c r="AQ14" s="29"/>
      <c r="AR14" s="28"/>
      <c r="AS14" s="26"/>
      <c r="AT14" s="26"/>
      <c r="AU14" s="29"/>
      <c r="AV14" s="28"/>
      <c r="AW14" s="26"/>
      <c r="AX14" s="26"/>
      <c r="AY14" s="29"/>
      <c r="AZ14" s="28"/>
      <c r="BA14" s="26"/>
      <c r="BB14" s="26"/>
      <c r="BC14" s="29"/>
      <c r="BD14" s="28"/>
      <c r="BE14" s="26"/>
      <c r="BF14" s="26"/>
      <c r="BG14" s="29"/>
      <c r="BH14" s="28"/>
      <c r="BI14" s="26"/>
      <c r="BJ14" s="26"/>
      <c r="BK14" s="29"/>
      <c r="BL14" s="28"/>
      <c r="BM14" s="26"/>
      <c r="BN14" s="26"/>
      <c r="BO14" s="29"/>
      <c r="BP14" s="28"/>
      <c r="BQ14" s="26"/>
      <c r="BR14" s="26"/>
      <c r="BS14" s="29"/>
      <c r="BT14" s="28"/>
      <c r="BU14" s="26"/>
      <c r="BV14" s="26"/>
      <c r="BW14" s="29"/>
      <c r="BX14" s="28"/>
      <c r="BY14" s="26"/>
      <c r="BZ14" s="26"/>
      <c r="CA14" s="29"/>
      <c r="CB14" s="28"/>
      <c r="CC14" s="26"/>
      <c r="CD14" s="26"/>
      <c r="CE14" s="29"/>
      <c r="CF14" s="28"/>
      <c r="CG14" s="26"/>
      <c r="CH14" s="26"/>
      <c r="CI14" s="29"/>
      <c r="CJ14" s="28"/>
      <c r="CK14" s="26"/>
      <c r="CL14" s="26"/>
      <c r="CM14" s="29"/>
      <c r="CN14" s="28"/>
      <c r="CO14" s="26"/>
      <c r="CP14" s="26"/>
      <c r="CQ14" s="29"/>
      <c r="CR14" s="28"/>
      <c r="CS14" s="26"/>
      <c r="CT14" s="26"/>
      <c r="CU14" s="29"/>
      <c r="CV14" s="28"/>
      <c r="CW14" s="26"/>
      <c r="CX14" s="26"/>
      <c r="CY14" s="29"/>
      <c r="CZ14" s="28"/>
      <c r="DA14" s="26"/>
      <c r="DB14" s="26"/>
      <c r="DC14" s="29"/>
    </row>
    <row r="15" spans="1:107" ht="19.899999999999999" customHeight="1" x14ac:dyDescent="0.25">
      <c r="A15" s="190"/>
      <c r="B15" s="154" t="str">
        <f>Jugadores!J14</f>
        <v xml:space="preserve">Sergio Ruiz </v>
      </c>
      <c r="C15" s="155"/>
      <c r="D15" s="24">
        <f t="shared" si="0"/>
        <v>0</v>
      </c>
      <c r="E15" s="24">
        <f t="shared" si="1"/>
        <v>0</v>
      </c>
      <c r="F15" s="115">
        <f t="shared" si="2"/>
        <v>0</v>
      </c>
      <c r="G15" s="115">
        <f t="shared" si="3"/>
        <v>0</v>
      </c>
      <c r="H15" s="28"/>
      <c r="I15" s="26"/>
      <c r="J15" s="26"/>
      <c r="K15" s="29"/>
      <c r="L15" s="28"/>
      <c r="M15" s="26"/>
      <c r="N15" s="26"/>
      <c r="O15" s="29"/>
      <c r="P15" s="28"/>
      <c r="Q15" s="26"/>
      <c r="R15" s="26"/>
      <c r="S15" s="29"/>
      <c r="T15" s="28"/>
      <c r="U15" s="26"/>
      <c r="V15" s="26"/>
      <c r="W15" s="29"/>
      <c r="X15" s="28"/>
      <c r="Y15" s="26"/>
      <c r="Z15" s="26"/>
      <c r="AA15" s="29"/>
      <c r="AB15" s="28"/>
      <c r="AC15" s="26"/>
      <c r="AD15" s="26"/>
      <c r="AE15" s="29"/>
      <c r="AF15" s="28"/>
      <c r="AG15" s="26"/>
      <c r="AH15" s="26"/>
      <c r="AI15" s="29"/>
      <c r="AJ15" s="28"/>
      <c r="AK15" s="26"/>
      <c r="AL15" s="26"/>
      <c r="AM15" s="29"/>
      <c r="AN15" s="28"/>
      <c r="AO15" s="26"/>
      <c r="AP15" s="26"/>
      <c r="AQ15" s="29"/>
      <c r="AR15" s="28"/>
      <c r="AS15" s="26"/>
      <c r="AT15" s="26"/>
      <c r="AU15" s="29"/>
      <c r="AV15" s="28"/>
      <c r="AW15" s="26"/>
      <c r="AX15" s="26"/>
      <c r="AY15" s="29"/>
      <c r="AZ15" s="28"/>
      <c r="BA15" s="26"/>
      <c r="BB15" s="26"/>
      <c r="BC15" s="29"/>
      <c r="BD15" s="28"/>
      <c r="BE15" s="26"/>
      <c r="BF15" s="26"/>
      <c r="BG15" s="29"/>
      <c r="BH15" s="28"/>
      <c r="BI15" s="26"/>
      <c r="BJ15" s="26"/>
      <c r="BK15" s="29"/>
      <c r="BL15" s="28"/>
      <c r="BM15" s="26"/>
      <c r="BN15" s="26"/>
      <c r="BO15" s="29"/>
      <c r="BP15" s="28"/>
      <c r="BQ15" s="26"/>
      <c r="BR15" s="26"/>
      <c r="BS15" s="29"/>
      <c r="BT15" s="28"/>
      <c r="BU15" s="26"/>
      <c r="BV15" s="26"/>
      <c r="BW15" s="29"/>
      <c r="BX15" s="28"/>
      <c r="BY15" s="26"/>
      <c r="BZ15" s="26"/>
      <c r="CA15" s="29"/>
      <c r="CB15" s="28"/>
      <c r="CC15" s="26"/>
      <c r="CD15" s="26"/>
      <c r="CE15" s="29"/>
      <c r="CF15" s="28"/>
      <c r="CG15" s="26"/>
      <c r="CH15" s="26"/>
      <c r="CI15" s="29"/>
      <c r="CJ15" s="28"/>
      <c r="CK15" s="26"/>
      <c r="CL15" s="26"/>
      <c r="CM15" s="29"/>
      <c r="CN15" s="28"/>
      <c r="CO15" s="26"/>
      <c r="CP15" s="26"/>
      <c r="CQ15" s="29"/>
      <c r="CR15" s="28"/>
      <c r="CS15" s="26"/>
      <c r="CT15" s="26"/>
      <c r="CU15" s="29"/>
      <c r="CV15" s="28"/>
      <c r="CW15" s="26"/>
      <c r="CX15" s="26"/>
      <c r="CY15" s="29"/>
      <c r="CZ15" s="28"/>
      <c r="DA15" s="26"/>
      <c r="DB15" s="26"/>
      <c r="DC15" s="29"/>
    </row>
    <row r="16" spans="1:107" ht="19.899999999999999" customHeight="1" x14ac:dyDescent="0.25">
      <c r="A16" s="190"/>
      <c r="B16" s="154" t="str">
        <f>Jugadores!J15</f>
        <v>Segundo Polo</v>
      </c>
      <c r="C16" s="155"/>
      <c r="D16" s="24">
        <f t="shared" si="0"/>
        <v>1</v>
      </c>
      <c r="E16" s="24">
        <f t="shared" si="1"/>
        <v>2</v>
      </c>
      <c r="F16" s="115">
        <f t="shared" si="2"/>
        <v>0</v>
      </c>
      <c r="G16" s="115">
        <f t="shared" si="3"/>
        <v>1</v>
      </c>
      <c r="H16" s="28"/>
      <c r="I16" s="26"/>
      <c r="J16" s="26"/>
      <c r="K16" s="29"/>
      <c r="L16" s="28"/>
      <c r="M16" s="26"/>
      <c r="N16" s="26"/>
      <c r="O16" s="29"/>
      <c r="P16" s="28"/>
      <c r="Q16" s="26"/>
      <c r="R16" s="26"/>
      <c r="S16" s="29"/>
      <c r="T16" s="28"/>
      <c r="U16" s="26"/>
      <c r="V16" s="26"/>
      <c r="W16" s="29"/>
      <c r="X16" s="28"/>
      <c r="Y16" s="26"/>
      <c r="Z16" s="26"/>
      <c r="AA16" s="29"/>
      <c r="AB16" s="28"/>
      <c r="AC16" s="26"/>
      <c r="AD16" s="26"/>
      <c r="AE16" s="29"/>
      <c r="AF16" s="28"/>
      <c r="AG16" s="26"/>
      <c r="AH16" s="26"/>
      <c r="AI16" s="29"/>
      <c r="AJ16" s="28"/>
      <c r="AK16" s="26"/>
      <c r="AL16" s="26"/>
      <c r="AM16" s="29"/>
      <c r="AN16" s="28"/>
      <c r="AO16" s="26"/>
      <c r="AP16" s="26"/>
      <c r="AQ16" s="29"/>
      <c r="AR16" s="28"/>
      <c r="AS16" s="26"/>
      <c r="AT16" s="26"/>
      <c r="AU16" s="29"/>
      <c r="AV16" s="28"/>
      <c r="AW16" s="26"/>
      <c r="AX16" s="26"/>
      <c r="AY16" s="29"/>
      <c r="AZ16" s="28"/>
      <c r="BA16" s="26"/>
      <c r="BB16" s="26"/>
      <c r="BC16" s="29"/>
      <c r="BD16" s="28"/>
      <c r="BE16" s="26"/>
      <c r="BF16" s="26"/>
      <c r="BG16" s="29"/>
      <c r="BH16" s="28"/>
      <c r="BI16" s="26"/>
      <c r="BJ16" s="26"/>
      <c r="BK16" s="29"/>
      <c r="BL16" s="28"/>
      <c r="BM16" s="26">
        <v>1</v>
      </c>
      <c r="BN16" s="26"/>
      <c r="BO16" s="29"/>
      <c r="BP16" s="28">
        <v>1</v>
      </c>
      <c r="BQ16" s="26"/>
      <c r="BR16" s="26"/>
      <c r="BS16" s="29"/>
      <c r="BT16" s="28"/>
      <c r="BU16" s="26"/>
      <c r="BV16" s="26"/>
      <c r="BW16" s="29"/>
      <c r="BX16" s="28"/>
      <c r="BY16" s="26">
        <v>1</v>
      </c>
      <c r="BZ16" s="26"/>
      <c r="CA16" s="29"/>
      <c r="CB16" s="28"/>
      <c r="CC16" s="26"/>
      <c r="CD16" s="26"/>
      <c r="CE16" s="29"/>
      <c r="CF16" s="28"/>
      <c r="CG16" s="26"/>
      <c r="CH16" s="26"/>
      <c r="CI16" s="29"/>
      <c r="CJ16" s="28"/>
      <c r="CK16" s="26"/>
      <c r="CL16" s="26"/>
      <c r="CM16" s="29"/>
      <c r="CN16" s="28"/>
      <c r="CO16" s="26"/>
      <c r="CP16" s="26"/>
      <c r="CQ16" s="29"/>
      <c r="CR16" s="28"/>
      <c r="CS16" s="26"/>
      <c r="CT16" s="26"/>
      <c r="CU16" s="29"/>
      <c r="CV16" s="28"/>
      <c r="CW16" s="26"/>
      <c r="CX16" s="26"/>
      <c r="CY16" s="29"/>
      <c r="CZ16" s="28"/>
      <c r="DA16" s="26"/>
      <c r="DB16" s="26"/>
      <c r="DC16" s="29"/>
    </row>
    <row r="17" spans="1:107" ht="19.899999999999999" customHeight="1" x14ac:dyDescent="0.25">
      <c r="A17" s="190"/>
      <c r="B17" s="154" t="str">
        <f>Jugadores!J16</f>
        <v xml:space="preserve">Hilmer León </v>
      </c>
      <c r="C17" s="155"/>
      <c r="D17" s="24">
        <f t="shared" si="0"/>
        <v>0</v>
      </c>
      <c r="E17" s="24">
        <f t="shared" si="1"/>
        <v>1</v>
      </c>
      <c r="F17" s="115">
        <f t="shared" si="2"/>
        <v>0</v>
      </c>
      <c r="G17" s="115">
        <f t="shared" si="3"/>
        <v>0</v>
      </c>
      <c r="H17" s="28"/>
      <c r="I17" s="26"/>
      <c r="J17" s="26"/>
      <c r="K17" s="29"/>
      <c r="L17" s="28"/>
      <c r="M17" s="26"/>
      <c r="N17" s="26"/>
      <c r="O17" s="29"/>
      <c r="P17" s="28"/>
      <c r="Q17" s="26"/>
      <c r="R17" s="26"/>
      <c r="S17" s="29"/>
      <c r="T17" s="28"/>
      <c r="U17" s="26"/>
      <c r="V17" s="26"/>
      <c r="W17" s="29"/>
      <c r="X17" s="28"/>
      <c r="Y17" s="26"/>
      <c r="Z17" s="26"/>
      <c r="AA17" s="29"/>
      <c r="AB17" s="28"/>
      <c r="AC17" s="26"/>
      <c r="AD17" s="26"/>
      <c r="AE17" s="29"/>
      <c r="AF17" s="28"/>
      <c r="AG17" s="26"/>
      <c r="AH17" s="26"/>
      <c r="AI17" s="29"/>
      <c r="AJ17" s="28"/>
      <c r="AK17" s="26"/>
      <c r="AL17" s="26"/>
      <c r="AM17" s="29"/>
      <c r="AN17" s="28"/>
      <c r="AO17" s="26"/>
      <c r="AP17" s="26"/>
      <c r="AQ17" s="29"/>
      <c r="AR17" s="28"/>
      <c r="AS17" s="26"/>
      <c r="AT17" s="26"/>
      <c r="AU17" s="29"/>
      <c r="AV17" s="28"/>
      <c r="AW17" s="26"/>
      <c r="AX17" s="26"/>
      <c r="AY17" s="29"/>
      <c r="AZ17" s="28"/>
      <c r="BA17" s="26"/>
      <c r="BB17" s="26"/>
      <c r="BC17" s="29"/>
      <c r="BD17" s="28"/>
      <c r="BE17" s="26"/>
      <c r="BF17" s="26"/>
      <c r="BG17" s="29"/>
      <c r="BH17" s="28"/>
      <c r="BI17" s="26"/>
      <c r="BJ17" s="26"/>
      <c r="BK17" s="29"/>
      <c r="BL17" s="28"/>
      <c r="BM17" s="26">
        <v>1</v>
      </c>
      <c r="BN17" s="26"/>
      <c r="BO17" s="29"/>
      <c r="BP17" s="28"/>
      <c r="BQ17" s="26"/>
      <c r="BR17" s="26"/>
      <c r="BS17" s="29"/>
      <c r="BT17" s="28"/>
      <c r="BU17" s="26"/>
      <c r="BV17" s="26"/>
      <c r="BW17" s="29"/>
      <c r="BX17" s="28"/>
      <c r="BY17" s="26"/>
      <c r="BZ17" s="26"/>
      <c r="CA17" s="29"/>
      <c r="CB17" s="28"/>
      <c r="CC17" s="26"/>
      <c r="CD17" s="26"/>
      <c r="CE17" s="29"/>
      <c r="CF17" s="28"/>
      <c r="CG17" s="26"/>
      <c r="CH17" s="26"/>
      <c r="CI17" s="29"/>
      <c r="CJ17" s="28"/>
      <c r="CK17" s="26"/>
      <c r="CL17" s="26"/>
      <c r="CM17" s="29"/>
      <c r="CN17" s="28"/>
      <c r="CO17" s="26"/>
      <c r="CP17" s="26"/>
      <c r="CQ17" s="29"/>
      <c r="CR17" s="28"/>
      <c r="CS17" s="26"/>
      <c r="CT17" s="26"/>
      <c r="CU17" s="29"/>
      <c r="CV17" s="28"/>
      <c r="CW17" s="26"/>
      <c r="CX17" s="26"/>
      <c r="CY17" s="29"/>
      <c r="CZ17" s="28"/>
      <c r="DA17" s="26"/>
      <c r="DB17" s="26"/>
      <c r="DC17" s="29"/>
    </row>
    <row r="18" spans="1:107" ht="19.899999999999999" customHeight="1" x14ac:dyDescent="0.25">
      <c r="A18" s="191"/>
      <c r="B18" s="156" t="str">
        <f>Jugadores!J17</f>
        <v>Temístocles Polo</v>
      </c>
      <c r="C18" s="157"/>
      <c r="D18" s="24">
        <f t="shared" si="0"/>
        <v>2</v>
      </c>
      <c r="E18" s="24">
        <f t="shared" si="1"/>
        <v>0</v>
      </c>
      <c r="F18" s="115">
        <f t="shared" si="2"/>
        <v>0</v>
      </c>
      <c r="G18" s="115">
        <f t="shared" si="3"/>
        <v>0</v>
      </c>
      <c r="H18" s="28"/>
      <c r="I18" s="26"/>
      <c r="J18" s="26"/>
      <c r="K18" s="29"/>
      <c r="L18" s="28"/>
      <c r="M18" s="26"/>
      <c r="N18" s="26"/>
      <c r="O18" s="29"/>
      <c r="P18" s="28"/>
      <c r="Q18" s="26"/>
      <c r="R18" s="26"/>
      <c r="S18" s="29"/>
      <c r="T18" s="28"/>
      <c r="U18" s="26"/>
      <c r="V18" s="26"/>
      <c r="W18" s="29"/>
      <c r="X18" s="28"/>
      <c r="Y18" s="26"/>
      <c r="Z18" s="26"/>
      <c r="AA18" s="29"/>
      <c r="AB18" s="28"/>
      <c r="AC18" s="26"/>
      <c r="AD18" s="26"/>
      <c r="AE18" s="29"/>
      <c r="AF18" s="28">
        <v>1</v>
      </c>
      <c r="AG18" s="26"/>
      <c r="AH18" s="26"/>
      <c r="AI18" s="29"/>
      <c r="AJ18" s="28"/>
      <c r="AK18" s="26"/>
      <c r="AL18" s="26"/>
      <c r="AM18" s="29"/>
      <c r="AN18" s="28"/>
      <c r="AO18" s="26"/>
      <c r="AP18" s="26"/>
      <c r="AQ18" s="29"/>
      <c r="AR18" s="28">
        <v>1</v>
      </c>
      <c r="AS18" s="26"/>
      <c r="AT18" s="26"/>
      <c r="AU18" s="29"/>
      <c r="AV18" s="28"/>
      <c r="AW18" s="26"/>
      <c r="AX18" s="26"/>
      <c r="AY18" s="29"/>
      <c r="AZ18" s="28"/>
      <c r="BA18" s="26"/>
      <c r="BB18" s="26"/>
      <c r="BC18" s="29"/>
      <c r="BD18" s="28"/>
      <c r="BE18" s="26"/>
      <c r="BF18" s="26"/>
      <c r="BG18" s="29"/>
      <c r="BH18" s="28"/>
      <c r="BI18" s="26"/>
      <c r="BJ18" s="26"/>
      <c r="BK18" s="29"/>
      <c r="BL18" s="28"/>
      <c r="BM18" s="26"/>
      <c r="BN18" s="26"/>
      <c r="BO18" s="29"/>
      <c r="BP18" s="28"/>
      <c r="BQ18" s="26"/>
      <c r="BR18" s="26"/>
      <c r="BS18" s="29"/>
      <c r="BT18" s="28"/>
      <c r="BU18" s="26"/>
      <c r="BV18" s="26"/>
      <c r="BW18" s="29"/>
      <c r="BX18" s="28"/>
      <c r="BY18" s="26"/>
      <c r="BZ18" s="26"/>
      <c r="CA18" s="29"/>
      <c r="CB18" s="28"/>
      <c r="CC18" s="26"/>
      <c r="CD18" s="26"/>
      <c r="CE18" s="29"/>
      <c r="CF18" s="28"/>
      <c r="CG18" s="26"/>
      <c r="CH18" s="26"/>
      <c r="CI18" s="29"/>
      <c r="CJ18" s="28"/>
      <c r="CK18" s="26"/>
      <c r="CL18" s="26"/>
      <c r="CM18" s="29"/>
      <c r="CN18" s="28"/>
      <c r="CO18" s="26"/>
      <c r="CP18" s="26"/>
      <c r="CQ18" s="29"/>
      <c r="CR18" s="28"/>
      <c r="CS18" s="26"/>
      <c r="CT18" s="26"/>
      <c r="CU18" s="29"/>
      <c r="CV18" s="28"/>
      <c r="CW18" s="26"/>
      <c r="CX18" s="26"/>
      <c r="CY18" s="29"/>
      <c r="CZ18" s="28"/>
      <c r="DA18" s="26"/>
      <c r="DB18" s="26"/>
      <c r="DC18" s="29"/>
    </row>
    <row r="19" spans="1:107" ht="14.45" customHeight="1" x14ac:dyDescent="0.25">
      <c r="B19" s="158" t="s">
        <v>105</v>
      </c>
      <c r="C19" s="159"/>
      <c r="D19" s="160"/>
      <c r="E19" s="160"/>
      <c r="F19" s="160"/>
      <c r="G19" s="160"/>
      <c r="H19" s="28"/>
      <c r="I19" s="26"/>
      <c r="J19" s="26"/>
      <c r="K19" s="29"/>
      <c r="L19" s="28"/>
      <c r="M19" s="26"/>
      <c r="N19" s="26"/>
      <c r="O19" s="29"/>
      <c r="P19" s="28"/>
      <c r="Q19" s="26"/>
      <c r="R19" s="26"/>
      <c r="S19" s="29"/>
      <c r="T19" s="28"/>
      <c r="U19" s="26"/>
      <c r="V19" s="26"/>
      <c r="W19" s="29"/>
      <c r="X19" s="28"/>
      <c r="Y19" s="26"/>
      <c r="Z19" s="26"/>
      <c r="AA19" s="29"/>
      <c r="AB19" s="28"/>
      <c r="AC19" s="26"/>
      <c r="AD19" s="26"/>
      <c r="AE19" s="29"/>
      <c r="AF19" s="28"/>
      <c r="AG19" s="26"/>
      <c r="AH19" s="26"/>
      <c r="AI19" s="29"/>
      <c r="AJ19" s="28"/>
      <c r="AK19" s="26"/>
      <c r="AL19" s="26"/>
      <c r="AM19" s="29"/>
      <c r="AN19" s="28"/>
      <c r="AO19" s="26"/>
      <c r="AP19" s="26"/>
      <c r="AQ19" s="29"/>
      <c r="AR19" s="28"/>
      <c r="AS19" s="26"/>
      <c r="AT19" s="26"/>
      <c r="AU19" s="29"/>
      <c r="AV19" s="28"/>
      <c r="AW19" s="26"/>
      <c r="AX19" s="26"/>
      <c r="AY19" s="29"/>
      <c r="AZ19" s="28"/>
      <c r="BA19" s="26"/>
      <c r="BB19" s="26"/>
      <c r="BC19" s="29"/>
      <c r="BD19" s="28"/>
      <c r="BE19" s="26"/>
      <c r="BF19" s="26"/>
      <c r="BG19" s="29"/>
      <c r="BH19" s="28"/>
      <c r="BI19" s="26"/>
      <c r="BJ19" s="26"/>
      <c r="BK19" s="29"/>
      <c r="BL19" s="28"/>
      <c r="BM19" s="26"/>
      <c r="BN19" s="26"/>
      <c r="BO19" s="29"/>
      <c r="BP19" s="28"/>
      <c r="BQ19" s="26"/>
      <c r="BR19" s="26"/>
      <c r="BS19" s="29"/>
      <c r="BT19" s="28"/>
      <c r="BU19" s="26"/>
      <c r="BV19" s="26"/>
      <c r="BW19" s="29"/>
      <c r="BX19" s="28"/>
      <c r="BY19" s="26"/>
      <c r="BZ19" s="26"/>
      <c r="CA19" s="29"/>
      <c r="CB19" s="28"/>
      <c r="CC19" s="26">
        <v>1</v>
      </c>
      <c r="CD19" s="26"/>
      <c r="CE19" s="29"/>
      <c r="CF19" s="28"/>
      <c r="CG19" s="26"/>
      <c r="CH19" s="26"/>
      <c r="CI19" s="29"/>
      <c r="CJ19" s="28"/>
      <c r="CK19" s="26"/>
      <c r="CL19" s="26"/>
      <c r="CM19" s="29">
        <v>3</v>
      </c>
      <c r="CN19" s="28"/>
      <c r="CO19" s="26"/>
      <c r="CP19" s="26"/>
      <c r="CQ19" s="29"/>
      <c r="CR19" s="28"/>
      <c r="CS19" s="26"/>
      <c r="CT19" s="26"/>
      <c r="CU19" s="29"/>
      <c r="CV19" s="28"/>
      <c r="CW19" s="26"/>
      <c r="CX19" s="26"/>
      <c r="CY19" s="29"/>
      <c r="CZ19" s="28"/>
      <c r="DA19" s="26"/>
      <c r="DB19" s="26"/>
      <c r="DC19" s="29"/>
    </row>
    <row r="20" spans="1:107" x14ac:dyDescent="0.25">
      <c r="B20" s="158" t="s">
        <v>104</v>
      </c>
      <c r="C20" s="159"/>
      <c r="D20" s="159"/>
      <c r="E20" s="159"/>
      <c r="F20" s="159"/>
      <c r="G20" s="159"/>
      <c r="H20" s="28"/>
      <c r="I20" s="26"/>
      <c r="J20" s="26"/>
      <c r="K20" s="29"/>
      <c r="L20" s="28"/>
      <c r="M20" s="26"/>
      <c r="N20" s="26"/>
      <c r="O20" s="29"/>
      <c r="P20" s="28"/>
      <c r="Q20" s="26"/>
      <c r="R20" s="26"/>
      <c r="S20" s="29"/>
      <c r="T20" s="28"/>
      <c r="U20" s="26"/>
      <c r="V20" s="26"/>
      <c r="W20" s="29"/>
      <c r="X20" s="28">
        <v>3</v>
      </c>
      <c r="Y20" s="26"/>
      <c r="Z20" s="26"/>
      <c r="AA20" s="29"/>
      <c r="AB20" s="28"/>
      <c r="AC20" s="26"/>
      <c r="AD20" s="26"/>
      <c r="AE20" s="29"/>
      <c r="AF20" s="28"/>
      <c r="AG20" s="26"/>
      <c r="AH20" s="26"/>
      <c r="AI20" s="29"/>
      <c r="AJ20" s="28"/>
      <c r="AK20" s="26"/>
      <c r="AL20" s="26"/>
      <c r="AM20" s="29"/>
      <c r="AN20" s="28"/>
      <c r="AO20" s="26"/>
      <c r="AP20" s="26"/>
      <c r="AQ20" s="29"/>
      <c r="AR20" s="28"/>
      <c r="AS20" s="26"/>
      <c r="AT20" s="26"/>
      <c r="AU20" s="29"/>
      <c r="AV20" s="28"/>
      <c r="AW20" s="26"/>
      <c r="AX20" s="26"/>
      <c r="AY20" s="29"/>
      <c r="AZ20" s="28"/>
      <c r="BA20" s="26"/>
      <c r="BB20" s="26"/>
      <c r="BC20" s="29"/>
      <c r="BD20" s="28"/>
      <c r="BE20" s="26"/>
      <c r="BF20" s="26"/>
      <c r="BG20" s="29"/>
      <c r="BH20" s="28"/>
      <c r="BI20" s="26"/>
      <c r="BJ20" s="26"/>
      <c r="BK20" s="29"/>
      <c r="BL20" s="28"/>
      <c r="BM20" s="26"/>
      <c r="BN20" s="26"/>
      <c r="BO20" s="29"/>
      <c r="BP20" s="28"/>
      <c r="BQ20" s="26"/>
      <c r="BR20" s="26"/>
      <c r="BS20" s="29"/>
      <c r="BT20" s="28"/>
      <c r="BU20" s="26"/>
      <c r="BV20" s="26"/>
      <c r="BW20" s="29"/>
      <c r="BX20" s="28"/>
      <c r="BY20" s="26"/>
      <c r="BZ20" s="26"/>
      <c r="CA20" s="29"/>
      <c r="CB20" s="28"/>
      <c r="CC20" s="26"/>
      <c r="CD20" s="26"/>
      <c r="CE20" s="29"/>
      <c r="CF20" s="28"/>
      <c r="CG20" s="26"/>
      <c r="CH20" s="26"/>
      <c r="CI20" s="29">
        <v>3</v>
      </c>
      <c r="CJ20" s="28"/>
      <c r="CK20" s="26"/>
      <c r="CL20" s="26"/>
      <c r="CM20" s="29"/>
      <c r="CN20" s="28"/>
      <c r="CO20" s="26"/>
      <c r="CP20" s="26"/>
      <c r="CQ20" s="29">
        <v>3</v>
      </c>
      <c r="CR20" s="28"/>
      <c r="CS20" s="26"/>
      <c r="CT20" s="26"/>
      <c r="CU20" s="29"/>
      <c r="CV20" s="28"/>
      <c r="CW20" s="26"/>
      <c r="CX20" s="26"/>
      <c r="CY20" s="29"/>
      <c r="CZ20" s="28"/>
      <c r="DA20" s="26"/>
      <c r="DB20" s="26"/>
      <c r="DC20" s="29"/>
    </row>
    <row r="21" spans="1:107" ht="15.75" thickBot="1" x14ac:dyDescent="0.3">
      <c r="B21" s="161" t="s">
        <v>106</v>
      </c>
      <c r="C21" s="162"/>
      <c r="D21" s="162"/>
      <c r="E21" s="162"/>
      <c r="F21" s="162"/>
      <c r="G21" s="162"/>
      <c r="H21" s="30"/>
      <c r="I21" s="31"/>
      <c r="J21" s="31"/>
      <c r="K21" s="32"/>
      <c r="L21" s="30"/>
      <c r="M21" s="31"/>
      <c r="N21" s="31"/>
      <c r="O21" s="32"/>
      <c r="P21" s="30"/>
      <c r="Q21" s="31"/>
      <c r="R21" s="31"/>
      <c r="S21" s="32"/>
      <c r="T21" s="30"/>
      <c r="U21" s="31"/>
      <c r="V21" s="31"/>
      <c r="W21" s="32"/>
      <c r="X21" s="30"/>
      <c r="Y21" s="31"/>
      <c r="Z21" s="31"/>
      <c r="AA21" s="32"/>
      <c r="AB21" s="30"/>
      <c r="AC21" s="31"/>
      <c r="AD21" s="31"/>
      <c r="AE21" s="32"/>
      <c r="AF21" s="30"/>
      <c r="AG21" s="31"/>
      <c r="AH21" s="31"/>
      <c r="AI21" s="32"/>
      <c r="AJ21" s="30"/>
      <c r="AK21" s="31"/>
      <c r="AL21" s="31"/>
      <c r="AM21" s="32"/>
      <c r="AN21" s="30"/>
      <c r="AO21" s="31"/>
      <c r="AP21" s="31"/>
      <c r="AQ21" s="32"/>
      <c r="AR21" s="30"/>
      <c r="AS21" s="31"/>
      <c r="AT21" s="31"/>
      <c r="AU21" s="32"/>
      <c r="AV21" s="30"/>
      <c r="AW21" s="31"/>
      <c r="AX21" s="31"/>
      <c r="AY21" s="32"/>
      <c r="AZ21" s="30"/>
      <c r="BA21" s="31"/>
      <c r="BB21" s="31"/>
      <c r="BC21" s="32"/>
      <c r="BD21" s="30"/>
      <c r="BE21" s="31"/>
      <c r="BF21" s="31"/>
      <c r="BG21" s="32"/>
      <c r="BH21" s="30"/>
      <c r="BI21" s="31"/>
      <c r="BJ21" s="31"/>
      <c r="BK21" s="32"/>
      <c r="BL21" s="30"/>
      <c r="BM21" s="31"/>
      <c r="BN21" s="31"/>
      <c r="BO21" s="32"/>
      <c r="BP21" s="30"/>
      <c r="BQ21" s="31"/>
      <c r="BR21" s="31"/>
      <c r="BS21" s="32"/>
      <c r="BT21" s="30"/>
      <c r="BU21" s="31"/>
      <c r="BV21" s="31"/>
      <c r="BW21" s="32"/>
      <c r="BX21" s="30"/>
      <c r="BY21" s="31"/>
      <c r="BZ21" s="31"/>
      <c r="CA21" s="32"/>
      <c r="CB21" s="30"/>
      <c r="CC21" s="31"/>
      <c r="CD21" s="31"/>
      <c r="CE21" s="32"/>
      <c r="CF21" s="30"/>
      <c r="CG21" s="31"/>
      <c r="CH21" s="31"/>
      <c r="CI21" s="32"/>
      <c r="CJ21" s="30"/>
      <c r="CK21" s="31"/>
      <c r="CL21" s="31"/>
      <c r="CM21" s="32"/>
      <c r="CN21" s="30"/>
      <c r="CO21" s="31"/>
      <c r="CP21" s="31"/>
      <c r="CQ21" s="32"/>
      <c r="CR21" s="30"/>
      <c r="CS21" s="31"/>
      <c r="CT21" s="31"/>
      <c r="CU21" s="32"/>
      <c r="CV21" s="30"/>
      <c r="CW21" s="31"/>
      <c r="CX21" s="31"/>
      <c r="CY21" s="32"/>
      <c r="CZ21" s="30"/>
      <c r="DA21" s="31"/>
      <c r="DB21" s="31"/>
      <c r="DC21" s="32"/>
    </row>
    <row r="22" spans="1:107" x14ac:dyDescent="0.25">
      <c r="B22" s="3"/>
      <c r="C22" s="27"/>
      <c r="D22" s="23">
        <f>H22+L22+P22+T22+X22+AB22+AF22+AJ22+AN22+AR22+AV22+AZ22+BD22+BH22+BL22+BP22+BT22+BX22+CB22+CF22+CJ22+CN22+CR22+CV22+CZ22</f>
        <v>59</v>
      </c>
      <c r="E22" s="23">
        <f>I22+M22+Q22+U22+Y22+AC22+AG22+AK22+AO22+AS22+AW22+BA22+BE22+BI22+BM22+BQ22+BV22+BY22+CD22+CG22+CL22+CO22+CT22+CW22+DB22</f>
        <v>26</v>
      </c>
      <c r="F22" s="23">
        <f>J22+N22+R22+V22+Z22+AD22+AH22+AL22+AP22+AT22+AX22+BB22+BF22+BJ22+BN22+BT22+BX22+CB22+CF22+CJ22+CN22+CR22+CV22+CZ22</f>
        <v>6</v>
      </c>
      <c r="G22" s="23">
        <f>K22+O22+S22+W22+AA22+AE22+AI22+AM22+AQ22+AU22+AY22+BC22+BG22+BK22+BO22+BV22+BY22+CD22+CG22+CL22+CO22+CT22+CW22+DB22</f>
        <v>2</v>
      </c>
      <c r="H22" s="33">
        <f>SUM(H4:H21)</f>
        <v>1</v>
      </c>
      <c r="I22" s="34">
        <f>SUM(I4:I21)</f>
        <v>1</v>
      </c>
      <c r="J22" s="34">
        <f>SUM(J4:J21)</f>
        <v>0</v>
      </c>
      <c r="K22" s="35">
        <f>SUM(K4:K21)</f>
        <v>0</v>
      </c>
      <c r="L22" s="33">
        <f>SUM(L4:L21)</f>
        <v>12</v>
      </c>
      <c r="M22" s="34">
        <f t="shared" ref="M22:BW22" si="4">SUM(M4:M21)</f>
        <v>2</v>
      </c>
      <c r="N22" s="34">
        <f t="shared" si="4"/>
        <v>0</v>
      </c>
      <c r="O22" s="35">
        <f t="shared" si="4"/>
        <v>0</v>
      </c>
      <c r="P22" s="33">
        <f t="shared" si="4"/>
        <v>3</v>
      </c>
      <c r="Q22" s="34">
        <f t="shared" si="4"/>
        <v>3</v>
      </c>
      <c r="R22" s="34">
        <f t="shared" si="4"/>
        <v>0</v>
      </c>
      <c r="S22" s="35">
        <f t="shared" si="4"/>
        <v>0</v>
      </c>
      <c r="T22" s="33">
        <f t="shared" si="4"/>
        <v>8</v>
      </c>
      <c r="U22" s="34">
        <f t="shared" si="4"/>
        <v>1</v>
      </c>
      <c r="V22" s="34">
        <f t="shared" si="4"/>
        <v>0</v>
      </c>
      <c r="W22" s="35">
        <f t="shared" si="4"/>
        <v>0</v>
      </c>
      <c r="X22" s="33">
        <f t="shared" si="4"/>
        <v>3</v>
      </c>
      <c r="Y22" s="34">
        <f t="shared" si="4"/>
        <v>0</v>
      </c>
      <c r="Z22" s="34">
        <f t="shared" si="4"/>
        <v>0</v>
      </c>
      <c r="AA22" s="35">
        <f t="shared" si="4"/>
        <v>0</v>
      </c>
      <c r="AB22" s="33">
        <f t="shared" si="4"/>
        <v>2</v>
      </c>
      <c r="AC22" s="34">
        <f t="shared" si="4"/>
        <v>1</v>
      </c>
      <c r="AD22" s="34">
        <f t="shared" si="4"/>
        <v>0</v>
      </c>
      <c r="AE22" s="35">
        <f t="shared" si="4"/>
        <v>0</v>
      </c>
      <c r="AF22" s="33">
        <f t="shared" si="4"/>
        <v>2</v>
      </c>
      <c r="AG22" s="34">
        <f t="shared" si="4"/>
        <v>2</v>
      </c>
      <c r="AH22" s="34">
        <f t="shared" si="4"/>
        <v>0</v>
      </c>
      <c r="AI22" s="35">
        <f t="shared" si="4"/>
        <v>0</v>
      </c>
      <c r="AJ22" s="33">
        <f t="shared" si="4"/>
        <v>1</v>
      </c>
      <c r="AK22" s="34">
        <f t="shared" si="4"/>
        <v>2</v>
      </c>
      <c r="AL22" s="34">
        <f t="shared" si="4"/>
        <v>0</v>
      </c>
      <c r="AM22" s="35">
        <f t="shared" si="4"/>
        <v>0</v>
      </c>
      <c r="AN22" s="33">
        <f t="shared" si="4"/>
        <v>1</v>
      </c>
      <c r="AO22" s="34">
        <f t="shared" si="4"/>
        <v>0</v>
      </c>
      <c r="AP22" s="34">
        <f t="shared" si="4"/>
        <v>0</v>
      </c>
      <c r="AQ22" s="35">
        <f t="shared" si="4"/>
        <v>0</v>
      </c>
      <c r="AR22" s="33">
        <f t="shared" si="4"/>
        <v>7</v>
      </c>
      <c r="AS22" s="34">
        <f t="shared" si="4"/>
        <v>2</v>
      </c>
      <c r="AT22" s="34">
        <f t="shared" si="4"/>
        <v>0</v>
      </c>
      <c r="AU22" s="35">
        <f t="shared" si="4"/>
        <v>0</v>
      </c>
      <c r="AV22" s="33">
        <f t="shared" si="4"/>
        <v>1</v>
      </c>
      <c r="AW22" s="34">
        <f t="shared" si="4"/>
        <v>0</v>
      </c>
      <c r="AX22" s="34">
        <f t="shared" si="4"/>
        <v>0</v>
      </c>
      <c r="AY22" s="35">
        <f t="shared" si="4"/>
        <v>1</v>
      </c>
      <c r="AZ22" s="33">
        <f t="shared" si="4"/>
        <v>1</v>
      </c>
      <c r="BA22" s="34">
        <f t="shared" si="4"/>
        <v>3</v>
      </c>
      <c r="BB22" s="34">
        <f t="shared" si="4"/>
        <v>0</v>
      </c>
      <c r="BC22" s="35">
        <f t="shared" si="4"/>
        <v>0</v>
      </c>
      <c r="BD22" s="33">
        <f t="shared" si="4"/>
        <v>2</v>
      </c>
      <c r="BE22" s="34">
        <f t="shared" si="4"/>
        <v>3</v>
      </c>
      <c r="BF22" s="34">
        <f t="shared" si="4"/>
        <v>0</v>
      </c>
      <c r="BG22" s="35">
        <f t="shared" si="4"/>
        <v>0</v>
      </c>
      <c r="BH22" s="33">
        <f t="shared" si="4"/>
        <v>0</v>
      </c>
      <c r="BI22" s="34">
        <f t="shared" si="4"/>
        <v>1</v>
      </c>
      <c r="BJ22" s="34">
        <f t="shared" si="4"/>
        <v>0</v>
      </c>
      <c r="BK22" s="35">
        <f t="shared" si="4"/>
        <v>0</v>
      </c>
      <c r="BL22" s="33">
        <f t="shared" si="4"/>
        <v>4</v>
      </c>
      <c r="BM22" s="34">
        <f t="shared" si="4"/>
        <v>3</v>
      </c>
      <c r="BN22" s="34">
        <f t="shared" si="4"/>
        <v>0</v>
      </c>
      <c r="BO22" s="35">
        <f t="shared" si="4"/>
        <v>0</v>
      </c>
      <c r="BP22" s="33">
        <f t="shared" si="4"/>
        <v>5</v>
      </c>
      <c r="BQ22" s="34">
        <f t="shared" si="4"/>
        <v>1</v>
      </c>
      <c r="BR22" s="34">
        <f t="shared" si="4"/>
        <v>0</v>
      </c>
      <c r="BS22" s="35">
        <f t="shared" si="4"/>
        <v>0</v>
      </c>
      <c r="BT22" s="33">
        <f t="shared" si="4"/>
        <v>1</v>
      </c>
      <c r="BU22" s="34">
        <f t="shared" si="4"/>
        <v>1</v>
      </c>
      <c r="BV22" s="34">
        <f t="shared" si="4"/>
        <v>0</v>
      </c>
      <c r="BW22" s="35">
        <f t="shared" si="4"/>
        <v>0</v>
      </c>
      <c r="BX22" s="33">
        <f t="shared" ref="BX22:DC22" si="5">SUM(BX4:BX21)</f>
        <v>3</v>
      </c>
      <c r="BY22" s="34">
        <f t="shared" si="5"/>
        <v>1</v>
      </c>
      <c r="BZ22" s="34">
        <f t="shared" si="5"/>
        <v>0</v>
      </c>
      <c r="CA22" s="35">
        <f t="shared" si="5"/>
        <v>0</v>
      </c>
      <c r="CB22" s="33">
        <f t="shared" si="5"/>
        <v>2</v>
      </c>
      <c r="CC22" s="34">
        <f t="shared" si="5"/>
        <v>2</v>
      </c>
      <c r="CD22" s="34">
        <f t="shared" si="5"/>
        <v>0</v>
      </c>
      <c r="CE22" s="35">
        <f t="shared" si="5"/>
        <v>0</v>
      </c>
      <c r="CF22" s="33">
        <f t="shared" si="5"/>
        <v>0</v>
      </c>
      <c r="CG22" s="34">
        <f t="shared" si="5"/>
        <v>0</v>
      </c>
      <c r="CH22" s="34">
        <f t="shared" si="5"/>
        <v>0</v>
      </c>
      <c r="CI22" s="35">
        <f t="shared" si="5"/>
        <v>3</v>
      </c>
      <c r="CJ22" s="33">
        <f t="shared" si="5"/>
        <v>0</v>
      </c>
      <c r="CK22" s="34">
        <f t="shared" si="5"/>
        <v>0</v>
      </c>
      <c r="CL22" s="34">
        <f t="shared" si="5"/>
        <v>0</v>
      </c>
      <c r="CM22" s="35">
        <f t="shared" si="5"/>
        <v>3</v>
      </c>
      <c r="CN22" s="33">
        <f t="shared" si="5"/>
        <v>0</v>
      </c>
      <c r="CO22" s="34">
        <f t="shared" si="5"/>
        <v>0</v>
      </c>
      <c r="CP22" s="34">
        <f t="shared" si="5"/>
        <v>0</v>
      </c>
      <c r="CQ22" s="35">
        <f t="shared" si="5"/>
        <v>3</v>
      </c>
      <c r="CR22" s="33">
        <f t="shared" si="5"/>
        <v>0</v>
      </c>
      <c r="CS22" s="34">
        <f t="shared" si="5"/>
        <v>0</v>
      </c>
      <c r="CT22" s="34">
        <f t="shared" si="5"/>
        <v>0</v>
      </c>
      <c r="CU22" s="35">
        <f t="shared" si="5"/>
        <v>0</v>
      </c>
      <c r="CV22" s="33">
        <f t="shared" si="5"/>
        <v>0</v>
      </c>
      <c r="CW22" s="34">
        <f t="shared" si="5"/>
        <v>0</v>
      </c>
      <c r="CX22" s="34">
        <f t="shared" si="5"/>
        <v>0</v>
      </c>
      <c r="CY22" s="35">
        <f t="shared" si="5"/>
        <v>0</v>
      </c>
      <c r="CZ22" s="33">
        <f t="shared" si="5"/>
        <v>0</v>
      </c>
      <c r="DA22" s="34">
        <f t="shared" si="5"/>
        <v>0</v>
      </c>
      <c r="DB22" s="34">
        <f t="shared" si="5"/>
        <v>0</v>
      </c>
      <c r="DC22" s="35">
        <f t="shared" si="5"/>
        <v>0</v>
      </c>
    </row>
    <row r="23" spans="1:107" ht="14.45" customHeight="1" x14ac:dyDescent="0.25">
      <c r="B23" s="3"/>
      <c r="C23" s="27"/>
      <c r="D23" s="148" t="s">
        <v>86</v>
      </c>
      <c r="E23" s="148" t="s">
        <v>97</v>
      </c>
      <c r="F23" s="148" t="s">
        <v>99</v>
      </c>
      <c r="G23" s="148" t="s">
        <v>98</v>
      </c>
      <c r="H23" s="145" t="s">
        <v>86</v>
      </c>
      <c r="I23" s="148" t="s">
        <v>97</v>
      </c>
      <c r="J23" s="148" t="s">
        <v>99</v>
      </c>
      <c r="K23" s="151" t="s">
        <v>98</v>
      </c>
      <c r="L23" s="145" t="s">
        <v>86</v>
      </c>
      <c r="M23" s="148" t="s">
        <v>97</v>
      </c>
      <c r="N23" s="148" t="s">
        <v>99</v>
      </c>
      <c r="O23" s="151" t="s">
        <v>98</v>
      </c>
      <c r="P23" s="145" t="s">
        <v>86</v>
      </c>
      <c r="Q23" s="148" t="s">
        <v>97</v>
      </c>
      <c r="R23" s="148" t="s">
        <v>99</v>
      </c>
      <c r="S23" s="151" t="s">
        <v>98</v>
      </c>
      <c r="T23" s="145" t="s">
        <v>86</v>
      </c>
      <c r="U23" s="148" t="s">
        <v>97</v>
      </c>
      <c r="V23" s="148" t="s">
        <v>99</v>
      </c>
      <c r="W23" s="151" t="s">
        <v>98</v>
      </c>
      <c r="X23" s="145" t="s">
        <v>86</v>
      </c>
      <c r="Y23" s="148" t="s">
        <v>97</v>
      </c>
      <c r="Z23" s="148" t="s">
        <v>99</v>
      </c>
      <c r="AA23" s="151" t="s">
        <v>98</v>
      </c>
      <c r="AB23" s="145" t="s">
        <v>86</v>
      </c>
      <c r="AC23" s="148" t="s">
        <v>97</v>
      </c>
      <c r="AD23" s="148" t="s">
        <v>99</v>
      </c>
      <c r="AE23" s="151" t="s">
        <v>98</v>
      </c>
      <c r="AF23" s="145" t="s">
        <v>86</v>
      </c>
      <c r="AG23" s="148" t="s">
        <v>97</v>
      </c>
      <c r="AH23" s="148" t="s">
        <v>99</v>
      </c>
      <c r="AI23" s="151" t="s">
        <v>98</v>
      </c>
      <c r="AJ23" s="145" t="s">
        <v>86</v>
      </c>
      <c r="AK23" s="148" t="s">
        <v>97</v>
      </c>
      <c r="AL23" s="148" t="s">
        <v>99</v>
      </c>
      <c r="AM23" s="151" t="s">
        <v>98</v>
      </c>
      <c r="AN23" s="145" t="s">
        <v>86</v>
      </c>
      <c r="AO23" s="148" t="s">
        <v>97</v>
      </c>
      <c r="AP23" s="148" t="s">
        <v>99</v>
      </c>
      <c r="AQ23" s="151" t="s">
        <v>98</v>
      </c>
      <c r="AR23" s="145" t="s">
        <v>86</v>
      </c>
      <c r="AS23" s="148" t="s">
        <v>97</v>
      </c>
      <c r="AT23" s="148" t="s">
        <v>99</v>
      </c>
      <c r="AU23" s="151" t="s">
        <v>98</v>
      </c>
      <c r="AV23" s="145" t="s">
        <v>86</v>
      </c>
      <c r="AW23" s="148" t="s">
        <v>97</v>
      </c>
      <c r="AX23" s="148" t="s">
        <v>99</v>
      </c>
      <c r="AY23" s="151" t="s">
        <v>98</v>
      </c>
      <c r="AZ23" s="145" t="s">
        <v>86</v>
      </c>
      <c r="BA23" s="148" t="s">
        <v>97</v>
      </c>
      <c r="BB23" s="148" t="s">
        <v>99</v>
      </c>
      <c r="BC23" s="151" t="s">
        <v>98</v>
      </c>
      <c r="BD23" s="145" t="s">
        <v>86</v>
      </c>
      <c r="BE23" s="148" t="s">
        <v>97</v>
      </c>
      <c r="BF23" s="148" t="s">
        <v>99</v>
      </c>
      <c r="BG23" s="151" t="s">
        <v>98</v>
      </c>
      <c r="BH23" s="145" t="s">
        <v>86</v>
      </c>
      <c r="BI23" s="148" t="s">
        <v>97</v>
      </c>
      <c r="BJ23" s="148" t="s">
        <v>99</v>
      </c>
      <c r="BK23" s="151" t="s">
        <v>98</v>
      </c>
      <c r="BL23" s="145" t="s">
        <v>86</v>
      </c>
      <c r="BM23" s="148" t="s">
        <v>97</v>
      </c>
      <c r="BN23" s="148" t="s">
        <v>99</v>
      </c>
      <c r="BO23" s="151" t="s">
        <v>98</v>
      </c>
      <c r="BP23" s="145" t="s">
        <v>86</v>
      </c>
      <c r="BQ23" s="148" t="s">
        <v>97</v>
      </c>
      <c r="BR23" s="148" t="s">
        <v>99</v>
      </c>
      <c r="BS23" s="151" t="s">
        <v>98</v>
      </c>
      <c r="BT23" s="145" t="s">
        <v>86</v>
      </c>
      <c r="BU23" s="148" t="s">
        <v>97</v>
      </c>
      <c r="BV23" s="148" t="s">
        <v>99</v>
      </c>
      <c r="BW23" s="151" t="s">
        <v>98</v>
      </c>
      <c r="BX23" s="145" t="s">
        <v>86</v>
      </c>
      <c r="BY23" s="148" t="s">
        <v>97</v>
      </c>
      <c r="BZ23" s="148" t="s">
        <v>99</v>
      </c>
      <c r="CA23" s="151" t="s">
        <v>98</v>
      </c>
      <c r="CB23" s="145" t="s">
        <v>86</v>
      </c>
      <c r="CC23" s="148" t="s">
        <v>97</v>
      </c>
      <c r="CD23" s="148" t="s">
        <v>99</v>
      </c>
      <c r="CE23" s="151" t="s">
        <v>98</v>
      </c>
      <c r="CF23" s="145" t="s">
        <v>86</v>
      </c>
      <c r="CG23" s="148" t="s">
        <v>97</v>
      </c>
      <c r="CH23" s="148" t="s">
        <v>99</v>
      </c>
      <c r="CI23" s="151" t="s">
        <v>98</v>
      </c>
      <c r="CJ23" s="145" t="s">
        <v>86</v>
      </c>
      <c r="CK23" s="148" t="s">
        <v>97</v>
      </c>
      <c r="CL23" s="148" t="s">
        <v>99</v>
      </c>
      <c r="CM23" s="151" t="s">
        <v>98</v>
      </c>
      <c r="CN23" s="145" t="s">
        <v>86</v>
      </c>
      <c r="CO23" s="148" t="s">
        <v>97</v>
      </c>
      <c r="CP23" s="148" t="s">
        <v>99</v>
      </c>
      <c r="CQ23" s="151" t="s">
        <v>98</v>
      </c>
      <c r="CR23" s="145" t="s">
        <v>86</v>
      </c>
      <c r="CS23" s="148" t="s">
        <v>97</v>
      </c>
      <c r="CT23" s="148" t="s">
        <v>99</v>
      </c>
      <c r="CU23" s="151" t="s">
        <v>98</v>
      </c>
      <c r="CV23" s="145" t="s">
        <v>86</v>
      </c>
      <c r="CW23" s="148" t="s">
        <v>97</v>
      </c>
      <c r="CX23" s="148" t="s">
        <v>99</v>
      </c>
      <c r="CY23" s="151" t="s">
        <v>98</v>
      </c>
      <c r="CZ23" s="145" t="s">
        <v>86</v>
      </c>
      <c r="DA23" s="148" t="s">
        <v>97</v>
      </c>
      <c r="DB23" s="148" t="s">
        <v>99</v>
      </c>
      <c r="DC23" s="151" t="s">
        <v>98</v>
      </c>
    </row>
    <row r="24" spans="1:107" x14ac:dyDescent="0.25">
      <c r="B24" s="3"/>
      <c r="C24" s="27"/>
      <c r="D24" s="149"/>
      <c r="E24" s="149"/>
      <c r="F24" s="149"/>
      <c r="G24" s="149"/>
      <c r="H24" s="146"/>
      <c r="I24" s="149"/>
      <c r="J24" s="149"/>
      <c r="K24" s="152"/>
      <c r="L24" s="146"/>
      <c r="M24" s="149"/>
      <c r="N24" s="149"/>
      <c r="O24" s="152"/>
      <c r="P24" s="146"/>
      <c r="Q24" s="149"/>
      <c r="R24" s="149"/>
      <c r="S24" s="152"/>
      <c r="T24" s="146"/>
      <c r="U24" s="149"/>
      <c r="V24" s="149"/>
      <c r="W24" s="152"/>
      <c r="X24" s="146"/>
      <c r="Y24" s="149"/>
      <c r="Z24" s="149"/>
      <c r="AA24" s="152"/>
      <c r="AB24" s="146"/>
      <c r="AC24" s="149"/>
      <c r="AD24" s="149"/>
      <c r="AE24" s="152"/>
      <c r="AF24" s="146"/>
      <c r="AG24" s="149"/>
      <c r="AH24" s="149"/>
      <c r="AI24" s="152"/>
      <c r="AJ24" s="146"/>
      <c r="AK24" s="149"/>
      <c r="AL24" s="149"/>
      <c r="AM24" s="152"/>
      <c r="AN24" s="146"/>
      <c r="AO24" s="149"/>
      <c r="AP24" s="149"/>
      <c r="AQ24" s="152"/>
      <c r="AR24" s="146"/>
      <c r="AS24" s="149"/>
      <c r="AT24" s="149"/>
      <c r="AU24" s="152"/>
      <c r="AV24" s="146"/>
      <c r="AW24" s="149"/>
      <c r="AX24" s="149"/>
      <c r="AY24" s="152"/>
      <c r="AZ24" s="146"/>
      <c r="BA24" s="149"/>
      <c r="BB24" s="149"/>
      <c r="BC24" s="152"/>
      <c r="BD24" s="146"/>
      <c r="BE24" s="149"/>
      <c r="BF24" s="149"/>
      <c r="BG24" s="152"/>
      <c r="BH24" s="146"/>
      <c r="BI24" s="149"/>
      <c r="BJ24" s="149"/>
      <c r="BK24" s="152"/>
      <c r="BL24" s="146"/>
      <c r="BM24" s="149"/>
      <c r="BN24" s="149"/>
      <c r="BO24" s="152"/>
      <c r="BP24" s="146"/>
      <c r="BQ24" s="149"/>
      <c r="BR24" s="149"/>
      <c r="BS24" s="152"/>
      <c r="BT24" s="146"/>
      <c r="BU24" s="149"/>
      <c r="BV24" s="149"/>
      <c r="BW24" s="152"/>
      <c r="BX24" s="146"/>
      <c r="BY24" s="149"/>
      <c r="BZ24" s="149"/>
      <c r="CA24" s="152"/>
      <c r="CB24" s="146"/>
      <c r="CC24" s="149"/>
      <c r="CD24" s="149"/>
      <c r="CE24" s="152"/>
      <c r="CF24" s="146"/>
      <c r="CG24" s="149"/>
      <c r="CH24" s="149"/>
      <c r="CI24" s="152"/>
      <c r="CJ24" s="146"/>
      <c r="CK24" s="149"/>
      <c r="CL24" s="149"/>
      <c r="CM24" s="152"/>
      <c r="CN24" s="146"/>
      <c r="CO24" s="149"/>
      <c r="CP24" s="149"/>
      <c r="CQ24" s="152"/>
      <c r="CR24" s="146"/>
      <c r="CS24" s="149"/>
      <c r="CT24" s="149"/>
      <c r="CU24" s="152"/>
      <c r="CV24" s="146"/>
      <c r="CW24" s="149"/>
      <c r="CX24" s="149"/>
      <c r="CY24" s="152"/>
      <c r="CZ24" s="146"/>
      <c r="DA24" s="149"/>
      <c r="DB24" s="149"/>
      <c r="DC24" s="152"/>
    </row>
    <row r="25" spans="1:107" x14ac:dyDescent="0.25">
      <c r="D25" s="149"/>
      <c r="E25" s="149"/>
      <c r="F25" s="149"/>
      <c r="G25" s="149"/>
      <c r="H25" s="146"/>
      <c r="I25" s="149"/>
      <c r="J25" s="149"/>
      <c r="K25" s="152"/>
      <c r="L25" s="146"/>
      <c r="M25" s="149"/>
      <c r="N25" s="149"/>
      <c r="O25" s="152"/>
      <c r="P25" s="146"/>
      <c r="Q25" s="149"/>
      <c r="R25" s="149"/>
      <c r="S25" s="152"/>
      <c r="T25" s="146"/>
      <c r="U25" s="149"/>
      <c r="V25" s="149"/>
      <c r="W25" s="152"/>
      <c r="X25" s="146"/>
      <c r="Y25" s="149"/>
      <c r="Z25" s="149"/>
      <c r="AA25" s="152"/>
      <c r="AB25" s="146"/>
      <c r="AC25" s="149"/>
      <c r="AD25" s="149"/>
      <c r="AE25" s="152"/>
      <c r="AF25" s="146"/>
      <c r="AG25" s="149"/>
      <c r="AH25" s="149"/>
      <c r="AI25" s="152"/>
      <c r="AJ25" s="146"/>
      <c r="AK25" s="149"/>
      <c r="AL25" s="149"/>
      <c r="AM25" s="152"/>
      <c r="AN25" s="146"/>
      <c r="AO25" s="149"/>
      <c r="AP25" s="149"/>
      <c r="AQ25" s="152"/>
      <c r="AR25" s="146"/>
      <c r="AS25" s="149"/>
      <c r="AT25" s="149"/>
      <c r="AU25" s="152"/>
      <c r="AV25" s="146"/>
      <c r="AW25" s="149"/>
      <c r="AX25" s="149"/>
      <c r="AY25" s="152"/>
      <c r="AZ25" s="146"/>
      <c r="BA25" s="149"/>
      <c r="BB25" s="149"/>
      <c r="BC25" s="152"/>
      <c r="BD25" s="146"/>
      <c r="BE25" s="149"/>
      <c r="BF25" s="149"/>
      <c r="BG25" s="152"/>
      <c r="BH25" s="146"/>
      <c r="BI25" s="149"/>
      <c r="BJ25" s="149"/>
      <c r="BK25" s="152"/>
      <c r="BL25" s="146"/>
      <c r="BM25" s="149"/>
      <c r="BN25" s="149"/>
      <c r="BO25" s="152"/>
      <c r="BP25" s="146"/>
      <c r="BQ25" s="149"/>
      <c r="BR25" s="149"/>
      <c r="BS25" s="152"/>
      <c r="BT25" s="146"/>
      <c r="BU25" s="149"/>
      <c r="BV25" s="149"/>
      <c r="BW25" s="152"/>
      <c r="BX25" s="146"/>
      <c r="BY25" s="149"/>
      <c r="BZ25" s="149"/>
      <c r="CA25" s="152"/>
      <c r="CB25" s="146"/>
      <c r="CC25" s="149"/>
      <c r="CD25" s="149"/>
      <c r="CE25" s="152"/>
      <c r="CF25" s="146"/>
      <c r="CG25" s="149"/>
      <c r="CH25" s="149"/>
      <c r="CI25" s="152"/>
      <c r="CJ25" s="146"/>
      <c r="CK25" s="149"/>
      <c r="CL25" s="149"/>
      <c r="CM25" s="152"/>
      <c r="CN25" s="146"/>
      <c r="CO25" s="149"/>
      <c r="CP25" s="149"/>
      <c r="CQ25" s="152"/>
      <c r="CR25" s="146"/>
      <c r="CS25" s="149"/>
      <c r="CT25" s="149"/>
      <c r="CU25" s="152"/>
      <c r="CV25" s="146"/>
      <c r="CW25" s="149"/>
      <c r="CX25" s="149"/>
      <c r="CY25" s="152"/>
      <c r="CZ25" s="146"/>
      <c r="DA25" s="149"/>
      <c r="DB25" s="149"/>
      <c r="DC25" s="152"/>
    </row>
    <row r="26" spans="1:107" ht="15.75" thickBot="1" x14ac:dyDescent="0.3">
      <c r="D26" s="149"/>
      <c r="E26" s="149"/>
      <c r="F26" s="149"/>
      <c r="G26" s="149"/>
      <c r="H26" s="147"/>
      <c r="I26" s="150"/>
      <c r="J26" s="150"/>
      <c r="K26" s="153"/>
      <c r="L26" s="147"/>
      <c r="M26" s="150"/>
      <c r="N26" s="150"/>
      <c r="O26" s="153"/>
      <c r="P26" s="147"/>
      <c r="Q26" s="150"/>
      <c r="R26" s="150"/>
      <c r="S26" s="153"/>
      <c r="T26" s="147"/>
      <c r="U26" s="150"/>
      <c r="V26" s="150"/>
      <c r="W26" s="153"/>
      <c r="X26" s="147"/>
      <c r="Y26" s="150"/>
      <c r="Z26" s="150"/>
      <c r="AA26" s="153"/>
      <c r="AB26" s="147"/>
      <c r="AC26" s="150"/>
      <c r="AD26" s="150"/>
      <c r="AE26" s="153"/>
      <c r="AF26" s="147"/>
      <c r="AG26" s="150"/>
      <c r="AH26" s="150"/>
      <c r="AI26" s="153"/>
      <c r="AJ26" s="147"/>
      <c r="AK26" s="150"/>
      <c r="AL26" s="150"/>
      <c r="AM26" s="153"/>
      <c r="AN26" s="147"/>
      <c r="AO26" s="150"/>
      <c r="AP26" s="150"/>
      <c r="AQ26" s="153"/>
      <c r="AR26" s="147"/>
      <c r="AS26" s="150"/>
      <c r="AT26" s="150"/>
      <c r="AU26" s="153"/>
      <c r="AV26" s="147"/>
      <c r="AW26" s="150"/>
      <c r="AX26" s="150"/>
      <c r="AY26" s="153"/>
      <c r="AZ26" s="147"/>
      <c r="BA26" s="150"/>
      <c r="BB26" s="150"/>
      <c r="BC26" s="153"/>
      <c r="BD26" s="147"/>
      <c r="BE26" s="150"/>
      <c r="BF26" s="150"/>
      <c r="BG26" s="153"/>
      <c r="BH26" s="147"/>
      <c r="BI26" s="150"/>
      <c r="BJ26" s="150"/>
      <c r="BK26" s="153"/>
      <c r="BL26" s="147"/>
      <c r="BM26" s="150"/>
      <c r="BN26" s="150"/>
      <c r="BO26" s="153"/>
      <c r="BP26" s="147"/>
      <c r="BQ26" s="150"/>
      <c r="BR26" s="150"/>
      <c r="BS26" s="153"/>
      <c r="BT26" s="147"/>
      <c r="BU26" s="150"/>
      <c r="BV26" s="150"/>
      <c r="BW26" s="153"/>
      <c r="BX26" s="147"/>
      <c r="BY26" s="150"/>
      <c r="BZ26" s="150"/>
      <c r="CA26" s="153"/>
      <c r="CB26" s="147"/>
      <c r="CC26" s="150"/>
      <c r="CD26" s="150"/>
      <c r="CE26" s="153"/>
      <c r="CF26" s="147"/>
      <c r="CG26" s="150"/>
      <c r="CH26" s="150"/>
      <c r="CI26" s="153"/>
      <c r="CJ26" s="147"/>
      <c r="CK26" s="150"/>
      <c r="CL26" s="150"/>
      <c r="CM26" s="153"/>
      <c r="CN26" s="147"/>
      <c r="CO26" s="150"/>
      <c r="CP26" s="150"/>
      <c r="CQ26" s="153"/>
      <c r="CR26" s="147"/>
      <c r="CS26" s="150"/>
      <c r="CT26" s="150"/>
      <c r="CU26" s="153"/>
      <c r="CV26" s="147"/>
      <c r="CW26" s="150"/>
      <c r="CX26" s="150"/>
      <c r="CY26" s="153"/>
      <c r="CZ26" s="147"/>
      <c r="DA26" s="150"/>
      <c r="DB26" s="150"/>
      <c r="DC26" s="153"/>
    </row>
  </sheetData>
  <mergeCells count="200">
    <mergeCell ref="AR1:AU1"/>
    <mergeCell ref="AV1:AY1"/>
    <mergeCell ref="CV1:CY1"/>
    <mergeCell ref="CZ1:DC1"/>
    <mergeCell ref="BX1:CA1"/>
    <mergeCell ref="CB1:CE1"/>
    <mergeCell ref="CF1:CI1"/>
    <mergeCell ref="CJ1:CM1"/>
    <mergeCell ref="CN1:CQ1"/>
    <mergeCell ref="CR1:CU1"/>
    <mergeCell ref="AZ1:BC1"/>
    <mergeCell ref="BD1:BG1"/>
    <mergeCell ref="BH1:BK1"/>
    <mergeCell ref="BL1:BO1"/>
    <mergeCell ref="BP1:BS1"/>
    <mergeCell ref="BT1:BW1"/>
    <mergeCell ref="AV3:AY3"/>
    <mergeCell ref="AZ3:BC3"/>
    <mergeCell ref="BD3:BG3"/>
    <mergeCell ref="BH3:BK3"/>
    <mergeCell ref="BL3:BO3"/>
    <mergeCell ref="A1:C3"/>
    <mergeCell ref="H1:K1"/>
    <mergeCell ref="L1:O1"/>
    <mergeCell ref="H3:K3"/>
    <mergeCell ref="L3:O3"/>
    <mergeCell ref="P3:S3"/>
    <mergeCell ref="T3:W3"/>
    <mergeCell ref="X3:AA3"/>
    <mergeCell ref="AB3:AE3"/>
    <mergeCell ref="AF3:AI3"/>
    <mergeCell ref="AJ3:AM3"/>
    <mergeCell ref="AN3:AQ3"/>
    <mergeCell ref="P1:S1"/>
    <mergeCell ref="T1:W1"/>
    <mergeCell ref="X1:AA1"/>
    <mergeCell ref="AB1:AE1"/>
    <mergeCell ref="AF1:AI1"/>
    <mergeCell ref="AJ1:AM1"/>
    <mergeCell ref="AN1:AQ1"/>
    <mergeCell ref="B10:C10"/>
    <mergeCell ref="B11:C11"/>
    <mergeCell ref="B12:C12"/>
    <mergeCell ref="B13:C13"/>
    <mergeCell ref="B14:C14"/>
    <mergeCell ref="B15:C15"/>
    <mergeCell ref="CV3:CY3"/>
    <mergeCell ref="CZ3:DC3"/>
    <mergeCell ref="A4:A18"/>
    <mergeCell ref="B4:C4"/>
    <mergeCell ref="B5:C5"/>
    <mergeCell ref="B6:C6"/>
    <mergeCell ref="B7:C7"/>
    <mergeCell ref="B8:C8"/>
    <mergeCell ref="B9:C9"/>
    <mergeCell ref="CN3:CQ3"/>
    <mergeCell ref="CR3:CU3"/>
    <mergeCell ref="BP3:BS3"/>
    <mergeCell ref="BT3:BW3"/>
    <mergeCell ref="BX3:CA3"/>
    <mergeCell ref="CB3:CE3"/>
    <mergeCell ref="CF3:CI3"/>
    <mergeCell ref="CJ3:CM3"/>
    <mergeCell ref="AR3:AU3"/>
    <mergeCell ref="H23:H26"/>
    <mergeCell ref="I23:I26"/>
    <mergeCell ref="J23:J26"/>
    <mergeCell ref="K23:K26"/>
    <mergeCell ref="L23:L26"/>
    <mergeCell ref="M23:M26"/>
    <mergeCell ref="B16:C16"/>
    <mergeCell ref="B18:C18"/>
    <mergeCell ref="B19:G19"/>
    <mergeCell ref="B20:G20"/>
    <mergeCell ref="B21:G21"/>
    <mergeCell ref="D23:D26"/>
    <mergeCell ref="E23:E26"/>
    <mergeCell ref="F23:F26"/>
    <mergeCell ref="G23:G26"/>
    <mergeCell ref="B17:C17"/>
    <mergeCell ref="T23:T26"/>
    <mergeCell ref="U23:U26"/>
    <mergeCell ref="V23:V26"/>
    <mergeCell ref="W23:W26"/>
    <mergeCell ref="X23:X26"/>
    <mergeCell ref="Y23:Y26"/>
    <mergeCell ref="N23:N26"/>
    <mergeCell ref="O23:O26"/>
    <mergeCell ref="P23:P26"/>
    <mergeCell ref="Q23:Q26"/>
    <mergeCell ref="R23:R26"/>
    <mergeCell ref="S23:S26"/>
    <mergeCell ref="AF23:AF26"/>
    <mergeCell ref="AG23:AG26"/>
    <mergeCell ref="AH23:AH26"/>
    <mergeCell ref="AI23:AI26"/>
    <mergeCell ref="AJ23:AJ26"/>
    <mergeCell ref="AK23:AK26"/>
    <mergeCell ref="Z23:Z26"/>
    <mergeCell ref="AA23:AA26"/>
    <mergeCell ref="AB23:AB26"/>
    <mergeCell ref="AC23:AC26"/>
    <mergeCell ref="AD23:AD26"/>
    <mergeCell ref="AE23:AE26"/>
    <mergeCell ref="AR23:AR26"/>
    <mergeCell ref="AS23:AS26"/>
    <mergeCell ref="AT23:AT26"/>
    <mergeCell ref="AU23:AU26"/>
    <mergeCell ref="AV23:AV26"/>
    <mergeCell ref="AW23:AW26"/>
    <mergeCell ref="AL23:AL26"/>
    <mergeCell ref="AM23:AM26"/>
    <mergeCell ref="AN23:AN26"/>
    <mergeCell ref="AO23:AO26"/>
    <mergeCell ref="AP23:AP26"/>
    <mergeCell ref="AQ23:AQ26"/>
    <mergeCell ref="BD23:BD26"/>
    <mergeCell ref="BE23:BE26"/>
    <mergeCell ref="BF23:BF26"/>
    <mergeCell ref="BG23:BG26"/>
    <mergeCell ref="BH23:BH26"/>
    <mergeCell ref="BI23:BI26"/>
    <mergeCell ref="AX23:AX26"/>
    <mergeCell ref="AY23:AY26"/>
    <mergeCell ref="AZ23:AZ26"/>
    <mergeCell ref="BA23:BA26"/>
    <mergeCell ref="BB23:BB26"/>
    <mergeCell ref="BC23:BC26"/>
    <mergeCell ref="BP23:BP26"/>
    <mergeCell ref="BQ23:BQ26"/>
    <mergeCell ref="BR23:BR26"/>
    <mergeCell ref="BS23:BS26"/>
    <mergeCell ref="BT23:BT26"/>
    <mergeCell ref="BU23:BU26"/>
    <mergeCell ref="BJ23:BJ26"/>
    <mergeCell ref="BK23:BK26"/>
    <mergeCell ref="BL23:BL26"/>
    <mergeCell ref="BM23:BM26"/>
    <mergeCell ref="BN23:BN26"/>
    <mergeCell ref="BO23:BO26"/>
    <mergeCell ref="CB23:CB26"/>
    <mergeCell ref="CC23:CC26"/>
    <mergeCell ref="CD23:CD26"/>
    <mergeCell ref="CE23:CE26"/>
    <mergeCell ref="CF23:CF26"/>
    <mergeCell ref="CG23:CG26"/>
    <mergeCell ref="BV23:BV26"/>
    <mergeCell ref="BW23:BW26"/>
    <mergeCell ref="BX23:BX26"/>
    <mergeCell ref="BY23:BY26"/>
    <mergeCell ref="BZ23:BZ26"/>
    <mergeCell ref="CA23:CA26"/>
    <mergeCell ref="CN23:CN26"/>
    <mergeCell ref="CO23:CO26"/>
    <mergeCell ref="CP23:CP26"/>
    <mergeCell ref="CQ23:CQ26"/>
    <mergeCell ref="CR23:CR26"/>
    <mergeCell ref="CS23:CS26"/>
    <mergeCell ref="CH23:CH26"/>
    <mergeCell ref="CI23:CI26"/>
    <mergeCell ref="CJ23:CJ26"/>
    <mergeCell ref="CK23:CK26"/>
    <mergeCell ref="CL23:CL26"/>
    <mergeCell ref="CM23:CM26"/>
    <mergeCell ref="CZ23:CZ26"/>
    <mergeCell ref="DA23:DA26"/>
    <mergeCell ref="DB23:DB26"/>
    <mergeCell ref="DC23:DC26"/>
    <mergeCell ref="CT23:CT26"/>
    <mergeCell ref="CU23:CU26"/>
    <mergeCell ref="CV23:CV26"/>
    <mergeCell ref="CW23:CW26"/>
    <mergeCell ref="CX23:CX26"/>
    <mergeCell ref="CY23:CY26"/>
    <mergeCell ref="D2:G2"/>
    <mergeCell ref="H2:K2"/>
    <mergeCell ref="L2:O2"/>
    <mergeCell ref="P2:S2"/>
    <mergeCell ref="T2:W2"/>
    <mergeCell ref="X2:AA2"/>
    <mergeCell ref="AB2:AE2"/>
    <mergeCell ref="AF2:AI2"/>
    <mergeCell ref="AJ2:AM2"/>
    <mergeCell ref="BX2:CA2"/>
    <mergeCell ref="CB2:CE2"/>
    <mergeCell ref="CF2:CI2"/>
    <mergeCell ref="CJ2:CM2"/>
    <mergeCell ref="CN2:CQ2"/>
    <mergeCell ref="CR2:CU2"/>
    <mergeCell ref="CV2:CY2"/>
    <mergeCell ref="CZ2:DC2"/>
    <mergeCell ref="AN2:AQ2"/>
    <mergeCell ref="AR2:AU2"/>
    <mergeCell ref="AV2:AY2"/>
    <mergeCell ref="AZ2:BC2"/>
    <mergeCell ref="BD2:BG2"/>
    <mergeCell ref="BH2:BK2"/>
    <mergeCell ref="BL2:BO2"/>
    <mergeCell ref="BP2:BS2"/>
    <mergeCell ref="BT2:BW2"/>
  </mergeCells>
  <hyperlinks>
    <hyperlink ref="A1:C3" location="Equipos!A1" display="Equipos!A1" xr:uid="{00000000-0004-0000-0400-000000000000}"/>
    <hyperlink ref="A4:A18" location="Jugadores!A1" display="Jugador" xr:uid="{A2616E1C-7921-4C84-B4E4-4F98E8EC7906}"/>
  </hyperlinks>
  <pageMargins left="0.7" right="0.7" top="0.75" bottom="0.75" header="0.3" footer="0.3"/>
  <pageSetup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C26"/>
  <sheetViews>
    <sheetView zoomScale="90" zoomScaleNormal="90" zoomScaleSheetLayoutView="90" workbookViewId="0">
      <pane xSplit="7" ySplit="3" topLeftCell="BE4" activePane="bottomRight" state="frozen"/>
      <selection pane="topRight" activeCell="H1" sqref="H1"/>
      <selection pane="bottomLeft" activeCell="A3" sqref="A3"/>
      <selection pane="bottomRight" sqref="A1:C3"/>
    </sheetView>
  </sheetViews>
  <sheetFormatPr baseColWidth="10" defaultColWidth="11.42578125" defaultRowHeight="15" x14ac:dyDescent="0.25"/>
  <cols>
    <col min="1" max="1" width="4.85546875" customWidth="1"/>
    <col min="2" max="2" width="9.42578125" customWidth="1"/>
    <col min="3" max="3" width="11.5703125" style="3" customWidth="1"/>
    <col min="4" max="4" width="4.85546875" style="3" customWidth="1"/>
    <col min="5" max="7" width="4.28515625" style="3" customWidth="1"/>
    <col min="8" max="9" width="2.85546875" style="3" customWidth="1"/>
    <col min="10" max="11" width="3.140625" style="3" customWidth="1"/>
    <col min="12" max="12" width="3.5703125" style="3" customWidth="1"/>
    <col min="13" max="13" width="3" style="3" customWidth="1"/>
    <col min="14" max="15" width="2.7109375" style="3" customWidth="1"/>
    <col min="16" max="16" width="3.28515625" style="3" customWidth="1"/>
    <col min="17" max="17" width="3" style="3" customWidth="1"/>
    <col min="18" max="18" width="2.85546875" style="3" customWidth="1"/>
    <col min="19" max="107" width="2.7109375" style="3" customWidth="1"/>
    <col min="108" max="16384" width="11.42578125" style="3"/>
  </cols>
  <sheetData>
    <row r="1" spans="1:107" ht="13.9" customHeight="1" x14ac:dyDescent="0.25">
      <c r="A1" s="192" t="str">
        <f>Equipos!B13</f>
        <v>Deportivo Fénix</v>
      </c>
      <c r="B1" s="192"/>
      <c r="C1" s="192"/>
      <c r="H1" s="172" t="s">
        <v>5</v>
      </c>
      <c r="I1" s="173"/>
      <c r="J1" s="173"/>
      <c r="K1" s="174"/>
      <c r="L1" s="172" t="s">
        <v>6</v>
      </c>
      <c r="M1" s="173"/>
      <c r="N1" s="173"/>
      <c r="O1" s="174"/>
      <c r="P1" s="172" t="s">
        <v>7</v>
      </c>
      <c r="Q1" s="173"/>
      <c r="R1" s="173"/>
      <c r="S1" s="174"/>
      <c r="T1" s="172" t="s">
        <v>8</v>
      </c>
      <c r="U1" s="173"/>
      <c r="V1" s="173"/>
      <c r="W1" s="174"/>
      <c r="X1" s="172" t="s">
        <v>9</v>
      </c>
      <c r="Y1" s="173"/>
      <c r="Z1" s="173"/>
      <c r="AA1" s="174"/>
      <c r="AB1" s="172" t="s">
        <v>10</v>
      </c>
      <c r="AC1" s="173"/>
      <c r="AD1" s="173"/>
      <c r="AE1" s="174"/>
      <c r="AF1" s="172" t="s">
        <v>11</v>
      </c>
      <c r="AG1" s="173"/>
      <c r="AH1" s="173"/>
      <c r="AI1" s="174"/>
      <c r="AJ1" s="172" t="s">
        <v>12</v>
      </c>
      <c r="AK1" s="173"/>
      <c r="AL1" s="173"/>
      <c r="AM1" s="174"/>
      <c r="AN1" s="172" t="s">
        <v>13</v>
      </c>
      <c r="AO1" s="173"/>
      <c r="AP1" s="173"/>
      <c r="AQ1" s="174"/>
      <c r="AR1" s="172" t="s">
        <v>14</v>
      </c>
      <c r="AS1" s="173"/>
      <c r="AT1" s="173"/>
      <c r="AU1" s="174"/>
      <c r="AV1" s="172" t="s">
        <v>15</v>
      </c>
      <c r="AW1" s="173"/>
      <c r="AX1" s="173"/>
      <c r="AY1" s="174"/>
      <c r="AZ1" s="172" t="s">
        <v>16</v>
      </c>
      <c r="BA1" s="173"/>
      <c r="BB1" s="173"/>
      <c r="BC1" s="174"/>
      <c r="BD1" s="172" t="s">
        <v>17</v>
      </c>
      <c r="BE1" s="173"/>
      <c r="BF1" s="173"/>
      <c r="BG1" s="174"/>
      <c r="BH1" s="172" t="s">
        <v>18</v>
      </c>
      <c r="BI1" s="173"/>
      <c r="BJ1" s="173"/>
      <c r="BK1" s="174"/>
      <c r="BL1" s="172" t="s">
        <v>19</v>
      </c>
      <c r="BM1" s="173"/>
      <c r="BN1" s="173"/>
      <c r="BO1" s="174"/>
      <c r="BP1" s="172" t="s">
        <v>20</v>
      </c>
      <c r="BQ1" s="173"/>
      <c r="BR1" s="173"/>
      <c r="BS1" s="174"/>
      <c r="BT1" s="172" t="s">
        <v>51</v>
      </c>
      <c r="BU1" s="173"/>
      <c r="BV1" s="173"/>
      <c r="BW1" s="174"/>
      <c r="BX1" s="172" t="s">
        <v>81</v>
      </c>
      <c r="BY1" s="173"/>
      <c r="BZ1" s="173"/>
      <c r="CA1" s="174"/>
      <c r="CB1" s="172" t="s">
        <v>83</v>
      </c>
      <c r="CC1" s="173"/>
      <c r="CD1" s="173"/>
      <c r="CE1" s="174"/>
      <c r="CF1" s="172" t="s">
        <v>84</v>
      </c>
      <c r="CG1" s="173"/>
      <c r="CH1" s="173"/>
      <c r="CI1" s="174"/>
      <c r="CJ1" s="172" t="s">
        <v>85</v>
      </c>
      <c r="CK1" s="173"/>
      <c r="CL1" s="173"/>
      <c r="CM1" s="174"/>
      <c r="CN1" s="172" t="s">
        <v>93</v>
      </c>
      <c r="CO1" s="173"/>
      <c r="CP1" s="173"/>
      <c r="CQ1" s="174"/>
      <c r="CR1" s="172" t="s">
        <v>94</v>
      </c>
      <c r="CS1" s="173"/>
      <c r="CT1" s="173"/>
      <c r="CU1" s="174"/>
      <c r="CV1" s="172" t="s">
        <v>95</v>
      </c>
      <c r="CW1" s="173"/>
      <c r="CX1" s="173"/>
      <c r="CY1" s="174"/>
      <c r="CZ1" s="172" t="s">
        <v>96</v>
      </c>
      <c r="DA1" s="173"/>
      <c r="DB1" s="173"/>
      <c r="DC1" s="174"/>
    </row>
    <row r="2" spans="1:107" ht="13.9" customHeight="1" x14ac:dyDescent="0.25">
      <c r="A2" s="192"/>
      <c r="B2" s="192"/>
      <c r="C2" s="192"/>
      <c r="D2" s="143" t="s">
        <v>272</v>
      </c>
      <c r="E2" s="143"/>
      <c r="F2" s="143"/>
      <c r="G2" s="144"/>
      <c r="H2" s="140" t="str">
        <f>+_xlfn.XLOOKUP($A$1,Fixture!$D$2:$D$9,Fixture!$F$2:$F$9,_xlfn.XLOOKUP($A$1,Fixture!$F$2:$F$9,Fixture!$D$2:$D$9,"Descansa",FALSE))</f>
        <v>Amenadim</v>
      </c>
      <c r="I2" s="141"/>
      <c r="J2" s="141"/>
      <c r="K2" s="142"/>
      <c r="L2" s="140" t="str">
        <f>+_xlfn.XLOOKUP($A$1,Fixture!$D$10:$D$17,Fixture!$F$10:$F$17,_xlfn.XLOOKUP($A$1,Fixture!$F$10:$F$17,Fixture!$D$10:$D$17,"Descansa",FALSE))</f>
        <v>Hojas Anchas</v>
      </c>
      <c r="M2" s="141"/>
      <c r="N2" s="141"/>
      <c r="O2" s="142"/>
      <c r="P2" s="175" t="str">
        <f>+_xlfn.XLOOKUP($A$1,Fixture!$D$18:$D$25,Fixture!$F$18:$F$25,_xlfn.XLOOKUP($A$1,Fixture!$F$18:$F$25,Fixture!$D$18:$D$25,"Descansa",FALSE))</f>
        <v>Villanueva</v>
      </c>
      <c r="Q2" s="176"/>
      <c r="R2" s="176"/>
      <c r="S2" s="177"/>
      <c r="T2" s="140" t="str">
        <f>+_xlfn.XLOOKUP($A$1,Fixture!$D$26:$D$33,Fixture!$F$26:$F$33,_xlfn.XLOOKUP($A$1,Fixture!$F$26:$F$33,Fixture!$D$26:$D$33,"Descansa",FALSE))</f>
        <v>Boca Juniors</v>
      </c>
      <c r="U2" s="141"/>
      <c r="V2" s="141"/>
      <c r="W2" s="142"/>
      <c r="X2" s="140" t="str">
        <f>+_xlfn.XLOOKUP($A$1,Fixture!$D$34:$D$41,Fixture!$F$34:$F$41,_xlfn.XLOOKUP($A$1,Fixture!$F$34:$F$41,Fixture!$D$34:$D$41,"Descansa",FALSE))</f>
        <v>Valentín FC</v>
      </c>
      <c r="Y2" s="141"/>
      <c r="Z2" s="141"/>
      <c r="AA2" s="142"/>
      <c r="AB2" s="140" t="str">
        <f>+_xlfn.XLOOKUP($A$1,Fixture!$D$42:$D$49,Fixture!$F$42:$F$49,_xlfn.XLOOKUP($A$1,Fixture!$F$42:$F$49,Fixture!$D$42:$D$49,"Descansa",FALSE))</f>
        <v>Rayos FC</v>
      </c>
      <c r="AC2" s="141"/>
      <c r="AD2" s="141"/>
      <c r="AE2" s="142"/>
      <c r="AF2" s="140" t="str">
        <f>+_xlfn.XLOOKUP($A$1,Fixture!$D$50:$D$57,Fixture!$F$50:$F$57,_xlfn.XLOOKUP($A$1,Fixture!$F$50:$F$57,Fixture!$D$50:$D$57,"Descansa",FALSE))</f>
        <v>La Unión FC</v>
      </c>
      <c r="AG2" s="141"/>
      <c r="AH2" s="141"/>
      <c r="AI2" s="142"/>
      <c r="AJ2" s="140" t="str">
        <f>+_xlfn.XLOOKUP($A$1,Fixture!$D$58:$D$65,Fixture!$F$58:$F$65,_xlfn.XLOOKUP($A$1,Fixture!$F$58:$F$65,Fixture!$D$58:$D$65,"Descansa",FALSE))</f>
        <v>CD El Corozo</v>
      </c>
      <c r="AK2" s="141"/>
      <c r="AL2" s="141"/>
      <c r="AM2" s="142"/>
      <c r="AN2" s="140" t="str">
        <f>+_xlfn.XLOOKUP($A$1,Fixture!$D$66:$D$73,Fixture!$F$66:$F$73,_xlfn.XLOOKUP($A$1,Fixture!$F$66:$F$73,Fixture!$D$66:$D$73,"Descansa",FALSE))</f>
        <v>Atalanta</v>
      </c>
      <c r="AO2" s="141"/>
      <c r="AP2" s="141"/>
      <c r="AQ2" s="142"/>
      <c r="AR2" s="140" t="str">
        <f>+_xlfn.XLOOKUP($A$1,Fixture!$D$74:$D$81,Fixture!$F$74:$F$81,_xlfn.XLOOKUP($A$1,Fixture!$F$74:$F$81,Fixture!$D$74:$D$81,"Descansa",FALSE))</f>
        <v>Los Amigos</v>
      </c>
      <c r="AS2" s="141"/>
      <c r="AT2" s="141"/>
      <c r="AU2" s="142"/>
      <c r="AV2" s="140" t="str">
        <f>+_xlfn.XLOOKUP($A$1,Fixture!$D$82:$D$89,Fixture!$F$82:$F$89,_xlfn.XLOOKUP($A$1,Fixture!$F$82:$F$89,Fixture!$D$82:$D$89,"Descansa",FALSE))</f>
        <v>La Nueva Era</v>
      </c>
      <c r="AW2" s="141"/>
      <c r="AX2" s="141"/>
      <c r="AY2" s="142"/>
      <c r="AZ2" s="140" t="str">
        <f>+_xlfn.XLOOKUP($A$1,Fixture!$D$90:$D$97,Fixture!$F$90:$F$97,_xlfn.XLOOKUP($A$1,Fixture!$F$90:$F$97,Fixture!$D$90:$D$97,"Descansa",FALSE))</f>
        <v>La Amistad</v>
      </c>
      <c r="BA2" s="141"/>
      <c r="BB2" s="141"/>
      <c r="BC2" s="142"/>
      <c r="BD2" s="140" t="str">
        <f>+_xlfn.XLOOKUP($A$1,Fixture!$D$98:$D$105,Fixture!$F$98:$F$105,_xlfn.XLOOKUP($A$1,Fixture!$F$98:$F$105,Fixture!$D$98:$D$105,"Descansa",FALSE))</f>
        <v>Konami</v>
      </c>
      <c r="BE2" s="141"/>
      <c r="BF2" s="141"/>
      <c r="BG2" s="142"/>
      <c r="BH2" s="140" t="str">
        <f>+_xlfn.XLOOKUP($A$1,Fixture!$D$106:$D$113,Fixture!$F$106:$F$113,_xlfn.XLOOKUP($A$1,Fixture!$F$106:$F$113,Fixture!$D$106:$D$113,"Descansa",FALSE))</f>
        <v>Los Aliados</v>
      </c>
      <c r="BI2" s="141"/>
      <c r="BJ2" s="141"/>
      <c r="BK2" s="142"/>
      <c r="BL2" s="140" t="str">
        <f>+_xlfn.XLOOKUP($A$1,Fixture!$D$114:$D$121,Fixture!$F$114:$F$121,_xlfn.XLOOKUP($A$1,Fixture!$F$114:$F$121,Fixture!$D$114:$D$121,"Descansa",FALSE))</f>
        <v>Ron Star</v>
      </c>
      <c r="BM2" s="141"/>
      <c r="BN2" s="141"/>
      <c r="BO2" s="142"/>
      <c r="BP2" s="140" t="str">
        <f>+_xlfn.XLOOKUP($A$1,Fixture!$D$122:$D$128,Fixture!$F$122:$F$128,_xlfn.XLOOKUP($A$1,Fixture!$F$122:$F$128,Fixture!$D$122:$D$128,"Descansa",FALSE))</f>
        <v>Amenadim</v>
      </c>
      <c r="BQ2" s="141"/>
      <c r="BR2" s="141"/>
      <c r="BS2" s="142"/>
      <c r="BT2" s="140" t="str">
        <f>+_xlfn.XLOOKUP($A$1,Fixture!$D$129:$D$135,Fixture!$F$129:$F$135,_xlfn.XLOOKUP($A$1,Fixture!$F$129:$F$135,Fixture!$D$129:$D$135,"Descansa",FALSE))</f>
        <v>La Nueva Era</v>
      </c>
      <c r="BU2" s="141"/>
      <c r="BV2" s="141"/>
      <c r="BW2" s="142"/>
      <c r="BX2" s="140" t="str">
        <f>+_xlfn.XLOOKUP($A$1,Fixture!$D$136:$D$141,Fixture!$F$136:$F$141,_xlfn.XLOOKUP($A$1,Fixture!$F$136:$F$141,Fixture!$D$136:$D$141,"Descansa",FALSE))</f>
        <v>La Amistad</v>
      </c>
      <c r="BY2" s="141"/>
      <c r="BZ2" s="141"/>
      <c r="CA2" s="142"/>
      <c r="CB2" s="140" t="str">
        <f>+_xlfn.XLOOKUP($A$1,Fixture!$D$142:$D$149,Fixture!$F$142:$F$149,_xlfn.XLOOKUP($A$1,Fixture!$F$142:$F$149,Fixture!$D$142:$D$149,"Descansa",FALSE))</f>
        <v>CD El Corozo</v>
      </c>
      <c r="CC2" s="141"/>
      <c r="CD2" s="141"/>
      <c r="CE2" s="142"/>
      <c r="CF2" s="140" t="str">
        <f>+_xlfn.XLOOKUP($A$1,Fixture!$D$150:$D$155,Fixture!$F$150:$F$155,_xlfn.XLOOKUP($A$1,Fixture!$F$150:$F$155,Fixture!$D$150:$D$155,"Descansa",FALSE))</f>
        <v>Konami</v>
      </c>
      <c r="CG2" s="141"/>
      <c r="CH2" s="141"/>
      <c r="CI2" s="142"/>
      <c r="CJ2" s="140" t="str">
        <f>+_xlfn.XLOOKUP($A$1,Fixture!$D$156:$D$161,Fixture!$F$156:$F$161,_xlfn.XLOOKUP($A$1,Fixture!$F$156:$F$161,Fixture!$D$156:$D$161,"Descansa",FALSE))</f>
        <v>Descansa</v>
      </c>
      <c r="CK2" s="141"/>
      <c r="CL2" s="141"/>
      <c r="CM2" s="142"/>
      <c r="CN2" s="140" t="str">
        <f>+_xlfn.XLOOKUP($A$1,Fixture!$D$162:$D$167,Fixture!$F$162:$F$167,_xlfn.XLOOKUP($A$1,Fixture!$F$162:$F$167,Fixture!$D$162:$D$167,"Descansa",FALSE))</f>
        <v>Descansa</v>
      </c>
      <c r="CO2" s="141"/>
      <c r="CP2" s="141"/>
      <c r="CQ2" s="142"/>
      <c r="CR2" s="140" t="str">
        <f>+_xlfn.XLOOKUP($A$1,Fixture!$D$168:$D$169,Fixture!$F$168:$F$169,_xlfn.XLOOKUP($A$1,Fixture!$F$168:$F$169,Fixture!$D$168:$D$169,"Descanssa",FALSE))</f>
        <v>Villanueva</v>
      </c>
      <c r="CS2" s="141"/>
      <c r="CT2" s="141"/>
      <c r="CU2" s="142"/>
      <c r="CV2" s="140" t="str">
        <f>+_xlfn.XLOOKUP($A$1,Fixture!$D$170:$D$171,Fixture!$F$170:$F$171,_xlfn.XLOOKUP($A$1,Fixture!$F$170:$F$171,Fixture!$D$170:$D$171,"Descansa",FALSE))</f>
        <v>Descansa</v>
      </c>
      <c r="CW2" s="141"/>
      <c r="CX2" s="141"/>
      <c r="CY2" s="142"/>
      <c r="CZ2" s="72"/>
      <c r="DA2" s="73"/>
      <c r="DB2" s="73"/>
      <c r="DC2" s="74"/>
    </row>
    <row r="3" spans="1:107" ht="14.45" customHeight="1" x14ac:dyDescent="0.25">
      <c r="A3" s="192"/>
      <c r="B3" s="192"/>
      <c r="C3" s="192"/>
      <c r="D3" s="22" t="s">
        <v>89</v>
      </c>
      <c r="E3" s="22" t="s">
        <v>90</v>
      </c>
      <c r="F3" s="22" t="s">
        <v>91</v>
      </c>
      <c r="G3" s="24" t="s">
        <v>92</v>
      </c>
      <c r="H3" s="163">
        <f>+VLOOKUP(H1,Resultados!$A$3:$B$71,2,FALSE)</f>
        <v>45676</v>
      </c>
      <c r="I3" s="164"/>
      <c r="J3" s="164"/>
      <c r="K3" s="165"/>
      <c r="L3" s="163">
        <f>+VLOOKUP(L1,Resultados!$A$3:$B$71,2,FALSE)</f>
        <v>45683</v>
      </c>
      <c r="M3" s="164"/>
      <c r="N3" s="164"/>
      <c r="O3" s="165"/>
      <c r="P3" s="163">
        <f>+VLOOKUP(P1,Resultados!$A$3:$B$71,2,FALSE)</f>
        <v>45690</v>
      </c>
      <c r="Q3" s="164"/>
      <c r="R3" s="164"/>
      <c r="S3" s="165"/>
      <c r="T3" s="163">
        <f>+VLOOKUP(T1,Resultados!$A$3:$B$71,2,FALSE)</f>
        <v>45697</v>
      </c>
      <c r="U3" s="164"/>
      <c r="V3" s="164"/>
      <c r="W3" s="165"/>
      <c r="X3" s="163">
        <f>+VLOOKUP(X1,Resultados!$A$3:$B$71,2,FALSE)</f>
        <v>45704</v>
      </c>
      <c r="Y3" s="164"/>
      <c r="Z3" s="164"/>
      <c r="AA3" s="165"/>
      <c r="AB3" s="163">
        <f>+VLOOKUP(AB1,Resultados!$A$3:$B$71,2,FALSE)</f>
        <v>45711</v>
      </c>
      <c r="AC3" s="164"/>
      <c r="AD3" s="164"/>
      <c r="AE3" s="165"/>
      <c r="AF3" s="163">
        <f>+VLOOKUP(AF1,Resultados!$A$3:$B$71,2,FALSE)</f>
        <v>45718</v>
      </c>
      <c r="AG3" s="164"/>
      <c r="AH3" s="164"/>
      <c r="AI3" s="165"/>
      <c r="AJ3" s="163">
        <f>+VLOOKUP(AJ1,Resultados!$A$3:$B$71,2,FALSE)</f>
        <v>45725</v>
      </c>
      <c r="AK3" s="164"/>
      <c r="AL3" s="164"/>
      <c r="AM3" s="165"/>
      <c r="AN3" s="163">
        <f>+VLOOKUP(AN1,Resultados!$A$3:$B$71,2,FALSE)</f>
        <v>45704</v>
      </c>
      <c r="AO3" s="164"/>
      <c r="AP3" s="164"/>
      <c r="AQ3" s="165"/>
      <c r="AR3" s="163" t="e">
        <f>+VLOOKUP(AR1,Resultados!$A$3:$B$71,2,FALSE)</f>
        <v>#N/A</v>
      </c>
      <c r="AS3" s="164"/>
      <c r="AT3" s="164"/>
      <c r="AU3" s="165"/>
      <c r="AV3" s="163" t="e">
        <f>+VLOOKUP(AV1,Resultados!$A$3:$B$71,2,FALSE)</f>
        <v>#N/A</v>
      </c>
      <c r="AW3" s="164"/>
      <c r="AX3" s="164"/>
      <c r="AY3" s="165"/>
      <c r="AZ3" s="163" t="e">
        <f>+VLOOKUP(AZ1,Resultados!$A$3:$B$71,2,FALSE)</f>
        <v>#N/A</v>
      </c>
      <c r="BA3" s="164"/>
      <c r="BB3" s="164"/>
      <c r="BC3" s="165"/>
      <c r="BD3" s="163" t="e">
        <f>+VLOOKUP(BD1,Resultados!$A$3:$B$71,2,FALSE)</f>
        <v>#N/A</v>
      </c>
      <c r="BE3" s="164"/>
      <c r="BF3" s="164"/>
      <c r="BG3" s="165"/>
      <c r="BH3" s="163" t="e">
        <f>+VLOOKUP(BH1,Resultados!$A$3:$B$71,2,FALSE)</f>
        <v>#N/A</v>
      </c>
      <c r="BI3" s="164"/>
      <c r="BJ3" s="164"/>
      <c r="BK3" s="165"/>
      <c r="BL3" s="163" t="e">
        <f>+VLOOKUP(BL1,Resultados!$A$3:$B$71,2,FALSE)</f>
        <v>#N/A</v>
      </c>
      <c r="BM3" s="164"/>
      <c r="BN3" s="164"/>
      <c r="BO3" s="165"/>
      <c r="BP3" s="163" t="e">
        <f>+VLOOKUP(BP1,Resultados!$A$3:$B$71,2,FALSE)</f>
        <v>#N/A</v>
      </c>
      <c r="BQ3" s="164"/>
      <c r="BR3" s="164"/>
      <c r="BS3" s="165"/>
      <c r="BT3" s="163" t="e">
        <f>+VLOOKUP(BT1,Resultados!$A$3:$B$71,2,FALSE)</f>
        <v>#N/A</v>
      </c>
      <c r="BU3" s="164"/>
      <c r="BV3" s="164"/>
      <c r="BW3" s="165"/>
      <c r="BX3" s="163" t="e">
        <f>+VLOOKUP(BX1,Resultados!$A$3:$B$71,2,FALSE)</f>
        <v>#N/A</v>
      </c>
      <c r="BY3" s="164"/>
      <c r="BZ3" s="164"/>
      <c r="CA3" s="165"/>
      <c r="CB3" s="163" t="e">
        <f>+VLOOKUP(CB1,Resultados!$A$3:$B$71,2,FALSE)</f>
        <v>#N/A</v>
      </c>
      <c r="CC3" s="164"/>
      <c r="CD3" s="164"/>
      <c r="CE3" s="165"/>
      <c r="CF3" s="163" t="e">
        <f>+VLOOKUP(CF1,Resultados!$A$3:$B$71,2,FALSE)</f>
        <v>#N/A</v>
      </c>
      <c r="CG3" s="164"/>
      <c r="CH3" s="164"/>
      <c r="CI3" s="165"/>
      <c r="CJ3" s="163" t="e">
        <f>+VLOOKUP(CJ1,Resultados!$A$3:$B$71,2,FALSE)</f>
        <v>#N/A</v>
      </c>
      <c r="CK3" s="164"/>
      <c r="CL3" s="164"/>
      <c r="CM3" s="165"/>
      <c r="CN3" s="163" t="e">
        <f>+VLOOKUP(CN1,Resultados!$A$3:$B$71,2,FALSE)</f>
        <v>#N/A</v>
      </c>
      <c r="CO3" s="164"/>
      <c r="CP3" s="164"/>
      <c r="CQ3" s="165"/>
      <c r="CR3" s="163" t="e">
        <f>+VLOOKUP(CR1,Resultados!$A$3:$B$71,2,FALSE)</f>
        <v>#N/A</v>
      </c>
      <c r="CS3" s="164"/>
      <c r="CT3" s="164"/>
      <c r="CU3" s="165"/>
      <c r="CV3" s="163" t="e">
        <f>+VLOOKUP(CV1,Resultados!$A$3:$B$71,2,FALSE)</f>
        <v>#N/A</v>
      </c>
      <c r="CW3" s="164"/>
      <c r="CX3" s="164"/>
      <c r="CY3" s="165"/>
      <c r="CZ3" s="163" t="e">
        <f>+VLOOKUP(CZ1,Resultados!$A$3:$B$71,2,FALSE)</f>
        <v>#N/A</v>
      </c>
      <c r="DA3" s="164"/>
      <c r="DB3" s="164"/>
      <c r="DC3" s="165"/>
    </row>
    <row r="4" spans="1:107" ht="19.899999999999999" customHeight="1" x14ac:dyDescent="0.25">
      <c r="A4" s="178" t="s">
        <v>3</v>
      </c>
      <c r="B4" s="154" t="str">
        <f>Jugadores!K3</f>
        <v xml:space="preserve">Raudi Villa </v>
      </c>
      <c r="C4" s="155"/>
      <c r="D4" s="24">
        <f>H4+L4+P4+T4+X4+AB4+AF4+AJ4+AN4+AR4+AV4+AZ4+BD4+BH4+BL4+BP4+BT4+BX4+CB4+CF4+CJ4+CN4+CR4+CV4+CZ4</f>
        <v>2</v>
      </c>
      <c r="E4" s="24">
        <f>I4+M4+Q4+U4+Y4+AC4+AG4+AK4+AO4+AS4+AW4+BA4+BE4+BI4+BM4+BQ4+BV4+BY4+CD4+CG4+CL4+CO4+CT4+CW4+DB4</f>
        <v>1</v>
      </c>
      <c r="F4" s="115">
        <f>J4+N4+R4+V4+Z4+AD4+AH4+AL4+AP4+AT4+AX4+BB4+BF4+BJ4+BN4+BT4+BX4+CB4+CF4+CJ4+CN4+CR4+CV4+CZ4</f>
        <v>0</v>
      </c>
      <c r="G4" s="115">
        <f>K4+O4+S4+W4+AA4+AE4+AI4+AM4+AQ4+AU4+AY4+BC4+BG4+BK4+BO4+BV4+BY4+CD4+CG4+CL4+CO4+CT4+CW4+DB4</f>
        <v>0</v>
      </c>
      <c r="H4" s="28">
        <v>1</v>
      </c>
      <c r="I4" s="26"/>
      <c r="J4" s="105"/>
      <c r="K4" s="106"/>
      <c r="L4" s="28"/>
      <c r="M4" s="26"/>
      <c r="N4" s="105"/>
      <c r="O4" s="106"/>
      <c r="P4" s="28"/>
      <c r="Q4" s="26"/>
      <c r="R4" s="26"/>
      <c r="S4" s="29"/>
      <c r="T4" s="28"/>
      <c r="U4" s="26"/>
      <c r="V4" s="105"/>
      <c r="W4" s="106"/>
      <c r="X4" s="28"/>
      <c r="Y4" s="26"/>
      <c r="Z4" s="26"/>
      <c r="AA4" s="29"/>
      <c r="AB4" s="28"/>
      <c r="AC4" s="26"/>
      <c r="AD4" s="26"/>
      <c r="AE4" s="29"/>
      <c r="AF4" s="28"/>
      <c r="AG4" s="26"/>
      <c r="AH4" s="26"/>
      <c r="AI4" s="29"/>
      <c r="AJ4" s="28"/>
      <c r="AK4" s="26"/>
      <c r="AL4" s="26"/>
      <c r="AM4" s="29"/>
      <c r="AN4" s="28">
        <v>1</v>
      </c>
      <c r="AO4" s="26">
        <v>1</v>
      </c>
      <c r="AP4" s="26"/>
      <c r="AQ4" s="29"/>
      <c r="AR4" s="28"/>
      <c r="AS4" s="26"/>
      <c r="AT4" s="26"/>
      <c r="AU4" s="29"/>
      <c r="AV4" s="28"/>
      <c r="AW4" s="26"/>
      <c r="AX4" s="26"/>
      <c r="AY4" s="29"/>
      <c r="AZ4" s="28"/>
      <c r="BA4" s="26"/>
      <c r="BB4" s="26"/>
      <c r="BC4" s="29"/>
      <c r="BD4" s="28"/>
      <c r="BE4" s="26"/>
      <c r="BF4" s="26"/>
      <c r="BG4" s="29"/>
      <c r="BH4" s="28"/>
      <c r="BI4" s="26"/>
      <c r="BJ4" s="26"/>
      <c r="BK4" s="29"/>
      <c r="BL4" s="28"/>
      <c r="BM4" s="26"/>
      <c r="BN4" s="26"/>
      <c r="BO4" s="29"/>
      <c r="BP4" s="28"/>
      <c r="BQ4" s="26"/>
      <c r="BR4" s="26"/>
      <c r="BS4" s="29"/>
      <c r="BT4" s="28"/>
      <c r="BU4" s="26"/>
      <c r="BV4" s="26"/>
      <c r="BW4" s="29"/>
      <c r="BX4" s="28"/>
      <c r="BY4" s="26"/>
      <c r="BZ4" s="26"/>
      <c r="CA4" s="29"/>
      <c r="CB4" s="28"/>
      <c r="CC4" s="26"/>
      <c r="CD4" s="26"/>
      <c r="CE4" s="29"/>
      <c r="CF4" s="28"/>
      <c r="CG4" s="26"/>
      <c r="CH4" s="26"/>
      <c r="CI4" s="29"/>
      <c r="CJ4" s="28"/>
      <c r="CK4" s="26"/>
      <c r="CL4" s="26"/>
      <c r="CM4" s="29"/>
      <c r="CN4" s="28"/>
      <c r="CO4" s="26"/>
      <c r="CP4" s="26"/>
      <c r="CQ4" s="29"/>
      <c r="CR4" s="28"/>
      <c r="CS4" s="26"/>
      <c r="CT4" s="26"/>
      <c r="CU4" s="29"/>
      <c r="CV4" s="28"/>
      <c r="CW4" s="26"/>
      <c r="CX4" s="26"/>
      <c r="CY4" s="29"/>
      <c r="CZ4" s="28"/>
      <c r="DA4" s="26"/>
      <c r="DB4" s="26"/>
      <c r="DC4" s="29"/>
    </row>
    <row r="5" spans="1:107" ht="19.899999999999999" customHeight="1" x14ac:dyDescent="0.25">
      <c r="A5" s="178"/>
      <c r="B5" s="154" t="str">
        <f>Jugadores!K4</f>
        <v>Jorge Mayo</v>
      </c>
      <c r="C5" s="155"/>
      <c r="D5" s="24">
        <f t="shared" ref="D5:D18" si="0">H5+L5+P5+T5+X5+AB5+AF5+AJ5+AN5+AR5+AV5+AZ5+BD5+BH5+BL5+BP5+BT5+BX5+CB5+CF5+CJ5+CN5+CR5+CV5+CZ5</f>
        <v>1</v>
      </c>
      <c r="E5" s="24">
        <f t="shared" ref="E5:E18" si="1">I5+M5+Q5+U5+Y5+AC5+AG5+AK5+AO5+AS5+AW5+BA5+BE5+BI5+BM5+BQ5+BV5+BY5+CD5+CG5+CL5+CO5+CT5+CW5+DB5</f>
        <v>2</v>
      </c>
      <c r="F5" s="115">
        <f t="shared" ref="F5:F18" si="2">J5+N5+R5+V5+Z5+AD5+AH5+AL5+AP5+AT5+AX5+BB5+BF5+BJ5+BN5+BT5+BX5+CB5+CF5+CJ5+CN5+CR5+CV5+CZ5</f>
        <v>1</v>
      </c>
      <c r="G5" s="115">
        <f t="shared" ref="G5:G18" si="3">K5+O5+S5+W5+AA5+AE5+AI5+AM5+AQ5+AU5+AY5+BC5+BG5+BK5+BO5+BV5+BY5+CD5+CG5+CL5+CO5+CT5+CW5+DB5</f>
        <v>1</v>
      </c>
      <c r="H5" s="28"/>
      <c r="I5" s="26"/>
      <c r="J5" s="105"/>
      <c r="K5" s="106"/>
      <c r="L5" s="28"/>
      <c r="M5" s="26"/>
      <c r="N5" s="105">
        <v>1</v>
      </c>
      <c r="O5" s="106"/>
      <c r="P5" s="28"/>
      <c r="Q5" s="26"/>
      <c r="R5" s="26"/>
      <c r="S5" s="29"/>
      <c r="T5" s="28"/>
      <c r="U5" s="26"/>
      <c r="V5" s="105"/>
      <c r="W5" s="106">
        <v>1</v>
      </c>
      <c r="X5" s="28"/>
      <c r="Y5" s="26"/>
      <c r="Z5" s="26"/>
      <c r="AA5" s="29"/>
      <c r="AB5" s="28"/>
      <c r="AC5" s="26"/>
      <c r="AD5" s="26"/>
      <c r="AE5" s="29"/>
      <c r="AF5" s="28"/>
      <c r="AG5" s="26"/>
      <c r="AH5" s="26"/>
      <c r="AI5" s="29"/>
      <c r="AJ5" s="28"/>
      <c r="AK5" s="26"/>
      <c r="AL5" s="26"/>
      <c r="AM5" s="29"/>
      <c r="AN5" s="28"/>
      <c r="AO5" s="26"/>
      <c r="AP5" s="26"/>
      <c r="AQ5" s="29"/>
      <c r="AR5" s="28"/>
      <c r="AS5" s="26">
        <v>1</v>
      </c>
      <c r="AT5" s="26"/>
      <c r="AU5" s="29"/>
      <c r="AV5" s="28"/>
      <c r="AW5" s="26">
        <v>1</v>
      </c>
      <c r="AX5" s="26"/>
      <c r="AY5" s="29"/>
      <c r="AZ5" s="28"/>
      <c r="BA5" s="26"/>
      <c r="BB5" s="26"/>
      <c r="BC5" s="29"/>
      <c r="BD5" s="28"/>
      <c r="BE5" s="26"/>
      <c r="BF5" s="26"/>
      <c r="BG5" s="29"/>
      <c r="BH5" s="28">
        <v>1</v>
      </c>
      <c r="BI5" s="26"/>
      <c r="BJ5" s="26"/>
      <c r="BK5" s="29"/>
      <c r="BL5" s="28"/>
      <c r="BM5" s="26"/>
      <c r="BN5" s="26"/>
      <c r="BO5" s="29"/>
      <c r="BP5" s="28"/>
      <c r="BQ5" s="26"/>
      <c r="BR5" s="26"/>
      <c r="BS5" s="29"/>
      <c r="BT5" s="28"/>
      <c r="BU5" s="26"/>
      <c r="BV5" s="26"/>
      <c r="BW5" s="29"/>
      <c r="BX5" s="28"/>
      <c r="BY5" s="26"/>
      <c r="BZ5" s="26"/>
      <c r="CA5" s="29"/>
      <c r="CB5" s="28"/>
      <c r="CC5" s="26"/>
      <c r="CD5" s="26"/>
      <c r="CE5" s="29"/>
      <c r="CF5" s="28"/>
      <c r="CG5" s="26"/>
      <c r="CH5" s="26"/>
      <c r="CI5" s="29"/>
      <c r="CJ5" s="28"/>
      <c r="CK5" s="26"/>
      <c r="CL5" s="26"/>
      <c r="CM5" s="29"/>
      <c r="CN5" s="28"/>
      <c r="CO5" s="26"/>
      <c r="CP5" s="26"/>
      <c r="CQ5" s="29"/>
      <c r="CR5" s="28"/>
      <c r="CS5" s="26"/>
      <c r="CT5" s="26"/>
      <c r="CU5" s="29"/>
      <c r="CV5" s="28"/>
      <c r="CW5" s="26"/>
      <c r="CX5" s="26"/>
      <c r="CY5" s="29"/>
      <c r="CZ5" s="28"/>
      <c r="DA5" s="26"/>
      <c r="DB5" s="26"/>
      <c r="DC5" s="29"/>
    </row>
    <row r="6" spans="1:107" ht="19.899999999999999" customHeight="1" x14ac:dyDescent="0.25">
      <c r="A6" s="178"/>
      <c r="B6" s="154" t="str">
        <f>Jugadores!K5</f>
        <v>Carlos Villa</v>
      </c>
      <c r="C6" s="155"/>
      <c r="D6" s="24">
        <f t="shared" si="0"/>
        <v>7</v>
      </c>
      <c r="E6" s="24">
        <f t="shared" si="1"/>
        <v>0</v>
      </c>
      <c r="F6" s="115">
        <f t="shared" si="2"/>
        <v>1</v>
      </c>
      <c r="G6" s="115">
        <f t="shared" si="3"/>
        <v>0</v>
      </c>
      <c r="H6" s="28"/>
      <c r="I6" s="26"/>
      <c r="J6" s="105"/>
      <c r="K6" s="106"/>
      <c r="L6" s="28">
        <v>1</v>
      </c>
      <c r="M6" s="26"/>
      <c r="N6" s="105"/>
      <c r="O6" s="106"/>
      <c r="P6" s="28"/>
      <c r="Q6" s="26"/>
      <c r="R6" s="26"/>
      <c r="S6" s="29"/>
      <c r="T6" s="28"/>
      <c r="U6" s="26"/>
      <c r="V6" s="105"/>
      <c r="W6" s="106"/>
      <c r="X6" s="28"/>
      <c r="Y6" s="26"/>
      <c r="Z6" s="26"/>
      <c r="AA6" s="29"/>
      <c r="AB6" s="28"/>
      <c r="AC6" s="26"/>
      <c r="AD6" s="26"/>
      <c r="AE6" s="29"/>
      <c r="AF6" s="28">
        <v>1</v>
      </c>
      <c r="AG6" s="26"/>
      <c r="AH6" s="26"/>
      <c r="AI6" s="29"/>
      <c r="AJ6" s="28">
        <v>3</v>
      </c>
      <c r="AK6" s="26"/>
      <c r="AL6" s="26"/>
      <c r="AM6" s="29"/>
      <c r="AN6" s="28">
        <v>1</v>
      </c>
      <c r="AO6" s="26"/>
      <c r="AP6" s="26"/>
      <c r="AQ6" s="29"/>
      <c r="AR6" s="28"/>
      <c r="AS6" s="26"/>
      <c r="AT6" s="26">
        <v>1</v>
      </c>
      <c r="AU6" s="29"/>
      <c r="AV6" s="28"/>
      <c r="AW6" s="26"/>
      <c r="AX6" s="26"/>
      <c r="AY6" s="29"/>
      <c r="AZ6" s="28"/>
      <c r="BA6" s="26"/>
      <c r="BB6" s="26"/>
      <c r="BC6" s="29"/>
      <c r="BD6" s="28"/>
      <c r="BE6" s="26"/>
      <c r="BF6" s="26"/>
      <c r="BG6" s="29"/>
      <c r="BH6" s="28"/>
      <c r="BI6" s="26"/>
      <c r="BJ6" s="26"/>
      <c r="BK6" s="29"/>
      <c r="BL6" s="28"/>
      <c r="BM6" s="26"/>
      <c r="BN6" s="26"/>
      <c r="BO6" s="29"/>
      <c r="BP6" s="28">
        <v>1</v>
      </c>
      <c r="BQ6" s="26"/>
      <c r="BR6" s="26"/>
      <c r="BS6" s="29"/>
      <c r="BT6" s="28"/>
      <c r="BU6" s="26"/>
      <c r="BV6" s="26"/>
      <c r="BW6" s="29"/>
      <c r="BX6" s="28"/>
      <c r="BY6" s="26"/>
      <c r="BZ6" s="26"/>
      <c r="CA6" s="29"/>
      <c r="CB6" s="28"/>
      <c r="CC6" s="26"/>
      <c r="CD6" s="26"/>
      <c r="CE6" s="29"/>
      <c r="CF6" s="28"/>
      <c r="CG6" s="26"/>
      <c r="CH6" s="26"/>
      <c r="CI6" s="29"/>
      <c r="CJ6" s="28"/>
      <c r="CK6" s="26"/>
      <c r="CL6" s="26"/>
      <c r="CM6" s="29"/>
      <c r="CN6" s="28"/>
      <c r="CO6" s="26"/>
      <c r="CP6" s="26"/>
      <c r="CQ6" s="29"/>
      <c r="CR6" s="28"/>
      <c r="CS6" s="26"/>
      <c r="CT6" s="26"/>
      <c r="CU6" s="29"/>
      <c r="CV6" s="28"/>
      <c r="CW6" s="26"/>
      <c r="CX6" s="26"/>
      <c r="CY6" s="29"/>
      <c r="CZ6" s="28"/>
      <c r="DA6" s="26"/>
      <c r="DB6" s="26"/>
      <c r="DC6" s="29"/>
    </row>
    <row r="7" spans="1:107" ht="19.899999999999999" customHeight="1" x14ac:dyDescent="0.25">
      <c r="A7" s="178"/>
      <c r="B7" s="154" t="str">
        <f>Jugadores!K6</f>
        <v>Francisco Hiturriaga Gutiérrez</v>
      </c>
      <c r="C7" s="155"/>
      <c r="D7" s="24">
        <f t="shared" si="0"/>
        <v>4</v>
      </c>
      <c r="E7" s="24">
        <f t="shared" si="1"/>
        <v>1</v>
      </c>
      <c r="F7" s="115">
        <f t="shared" si="2"/>
        <v>0</v>
      </c>
      <c r="G7" s="115">
        <f t="shared" si="3"/>
        <v>0</v>
      </c>
      <c r="H7" s="28"/>
      <c r="I7" s="26"/>
      <c r="J7" s="105"/>
      <c r="K7" s="106"/>
      <c r="L7" s="28">
        <v>1</v>
      </c>
      <c r="M7" s="26"/>
      <c r="N7" s="105"/>
      <c r="O7" s="106"/>
      <c r="P7" s="28"/>
      <c r="Q7" s="26"/>
      <c r="R7" s="26"/>
      <c r="S7" s="29"/>
      <c r="T7" s="28"/>
      <c r="U7" s="26"/>
      <c r="V7" s="105"/>
      <c r="W7" s="106"/>
      <c r="X7" s="28"/>
      <c r="Y7" s="26">
        <v>1</v>
      </c>
      <c r="Z7" s="26"/>
      <c r="AA7" s="29"/>
      <c r="AB7" s="28"/>
      <c r="AC7" s="26"/>
      <c r="AD7" s="26"/>
      <c r="AE7" s="29"/>
      <c r="AF7" s="28"/>
      <c r="AG7" s="26"/>
      <c r="AH7" s="26"/>
      <c r="AI7" s="29"/>
      <c r="AJ7" s="28"/>
      <c r="AK7" s="26"/>
      <c r="AL7" s="26"/>
      <c r="AM7" s="29"/>
      <c r="AN7" s="28"/>
      <c r="AO7" s="26"/>
      <c r="AP7" s="26"/>
      <c r="AQ7" s="29"/>
      <c r="AR7" s="28">
        <v>1</v>
      </c>
      <c r="AS7" s="26"/>
      <c r="AT7" s="26"/>
      <c r="AU7" s="29"/>
      <c r="AV7" s="28">
        <v>2</v>
      </c>
      <c r="AW7" s="26"/>
      <c r="AX7" s="26"/>
      <c r="AY7" s="29"/>
      <c r="AZ7" s="28"/>
      <c r="BA7" s="26"/>
      <c r="BB7" s="26"/>
      <c r="BC7" s="29"/>
      <c r="BD7" s="28"/>
      <c r="BE7" s="26"/>
      <c r="BF7" s="26"/>
      <c r="BG7" s="29"/>
      <c r="BH7" s="28"/>
      <c r="BI7" s="26"/>
      <c r="BJ7" s="26"/>
      <c r="BK7" s="29"/>
      <c r="BL7" s="28"/>
      <c r="BM7" s="26"/>
      <c r="BN7" s="26"/>
      <c r="BO7" s="29"/>
      <c r="BP7" s="28"/>
      <c r="BQ7" s="26"/>
      <c r="BR7" s="26"/>
      <c r="BS7" s="29"/>
      <c r="BT7" s="28"/>
      <c r="BU7" s="26"/>
      <c r="BV7" s="26"/>
      <c r="BW7" s="29"/>
      <c r="BX7" s="28"/>
      <c r="BY7" s="26"/>
      <c r="BZ7" s="26"/>
      <c r="CA7" s="29"/>
      <c r="CB7" s="28"/>
      <c r="CC7" s="26"/>
      <c r="CD7" s="26"/>
      <c r="CE7" s="29"/>
      <c r="CF7" s="28"/>
      <c r="CG7" s="26"/>
      <c r="CH7" s="26"/>
      <c r="CI7" s="29"/>
      <c r="CJ7" s="28"/>
      <c r="CK7" s="26"/>
      <c r="CL7" s="26"/>
      <c r="CM7" s="29"/>
      <c r="CN7" s="28"/>
      <c r="CO7" s="26"/>
      <c r="CP7" s="26"/>
      <c r="CQ7" s="29"/>
      <c r="CR7" s="28"/>
      <c r="CS7" s="26"/>
      <c r="CT7" s="26"/>
      <c r="CU7" s="29"/>
      <c r="CV7" s="28"/>
      <c r="CW7" s="26"/>
      <c r="CX7" s="26"/>
      <c r="CY7" s="29"/>
      <c r="CZ7" s="28"/>
      <c r="DA7" s="26"/>
      <c r="DB7" s="26"/>
      <c r="DC7" s="29"/>
    </row>
    <row r="8" spans="1:107" ht="19.899999999999999" customHeight="1" x14ac:dyDescent="0.25">
      <c r="A8" s="178"/>
      <c r="B8" s="154" t="str">
        <f>Jugadores!K7</f>
        <v xml:space="preserve">José Mendoza </v>
      </c>
      <c r="C8" s="155"/>
      <c r="D8" s="24">
        <f t="shared" si="0"/>
        <v>4</v>
      </c>
      <c r="E8" s="24">
        <f t="shared" si="1"/>
        <v>4</v>
      </c>
      <c r="F8" s="115">
        <f t="shared" si="2"/>
        <v>0</v>
      </c>
      <c r="G8" s="115">
        <f t="shared" si="3"/>
        <v>2</v>
      </c>
      <c r="H8" s="28">
        <v>2</v>
      </c>
      <c r="I8" s="26"/>
      <c r="J8" s="105"/>
      <c r="K8" s="106"/>
      <c r="L8" s="28"/>
      <c r="M8" s="26"/>
      <c r="N8" s="105"/>
      <c r="O8" s="106"/>
      <c r="P8" s="28"/>
      <c r="Q8" s="26"/>
      <c r="R8" s="26"/>
      <c r="S8" s="29"/>
      <c r="T8" s="28"/>
      <c r="U8" s="26"/>
      <c r="V8" s="105"/>
      <c r="W8" s="106"/>
      <c r="X8" s="28"/>
      <c r="Y8" s="26"/>
      <c r="Z8" s="26"/>
      <c r="AA8" s="29"/>
      <c r="AB8" s="28"/>
      <c r="AC8" s="26"/>
      <c r="AD8" s="26"/>
      <c r="AE8" s="29"/>
      <c r="AF8" s="28"/>
      <c r="AG8" s="26"/>
      <c r="AH8" s="26"/>
      <c r="AI8" s="29"/>
      <c r="AJ8" s="28"/>
      <c r="AK8" s="26">
        <v>1</v>
      </c>
      <c r="AL8" s="26"/>
      <c r="AM8" s="29"/>
      <c r="AN8" s="28"/>
      <c r="AO8" s="26"/>
      <c r="AP8" s="26"/>
      <c r="AQ8" s="29"/>
      <c r="AR8" s="28"/>
      <c r="AS8" s="26">
        <v>1</v>
      </c>
      <c r="AT8" s="26"/>
      <c r="AU8" s="29"/>
      <c r="AV8" s="28"/>
      <c r="AW8" s="26"/>
      <c r="AX8" s="26"/>
      <c r="AY8" s="29"/>
      <c r="AZ8" s="28"/>
      <c r="BA8" s="26"/>
      <c r="BB8" s="26"/>
      <c r="BC8" s="29"/>
      <c r="BD8" s="28"/>
      <c r="BE8" s="26"/>
      <c r="BF8" s="26"/>
      <c r="BG8" s="29"/>
      <c r="BH8" s="28">
        <v>1</v>
      </c>
      <c r="BI8" s="26"/>
      <c r="BJ8" s="26"/>
      <c r="BK8" s="29"/>
      <c r="BL8" s="28">
        <v>1</v>
      </c>
      <c r="BM8" s="26"/>
      <c r="BN8" s="26"/>
      <c r="BO8" s="29"/>
      <c r="BP8" s="28"/>
      <c r="BQ8" s="26"/>
      <c r="BR8" s="26"/>
      <c r="BS8" s="29"/>
      <c r="BT8" s="28"/>
      <c r="BU8" s="26"/>
      <c r="BV8" s="26"/>
      <c r="BW8" s="29"/>
      <c r="BX8" s="28"/>
      <c r="BY8" s="26">
        <v>1</v>
      </c>
      <c r="BZ8" s="26"/>
      <c r="CA8" s="29"/>
      <c r="CB8" s="28"/>
      <c r="CC8" s="26"/>
      <c r="CD8" s="26"/>
      <c r="CE8" s="29"/>
      <c r="CF8" s="28"/>
      <c r="CG8" s="26"/>
      <c r="CH8" s="26"/>
      <c r="CI8" s="29"/>
      <c r="CJ8" s="28"/>
      <c r="CK8" s="26"/>
      <c r="CL8" s="26"/>
      <c r="CM8" s="29"/>
      <c r="CN8" s="28"/>
      <c r="CO8" s="26">
        <v>1</v>
      </c>
      <c r="CP8" s="26"/>
      <c r="CQ8" s="29"/>
      <c r="CR8" s="28"/>
      <c r="CS8" s="26"/>
      <c r="CT8" s="26"/>
      <c r="CU8" s="29"/>
      <c r="CV8" s="28"/>
      <c r="CW8" s="26"/>
      <c r="CX8" s="26"/>
      <c r="CY8" s="29"/>
      <c r="CZ8" s="28"/>
      <c r="DA8" s="26"/>
      <c r="DB8" s="26"/>
      <c r="DC8" s="29"/>
    </row>
    <row r="9" spans="1:107" ht="19.899999999999999" customHeight="1" x14ac:dyDescent="0.25">
      <c r="A9" s="178"/>
      <c r="B9" s="154" t="str">
        <f>Jugadores!K8</f>
        <v xml:space="preserve">José Cantero </v>
      </c>
      <c r="C9" s="155"/>
      <c r="D9" s="24">
        <f t="shared" si="0"/>
        <v>1</v>
      </c>
      <c r="E9" s="24">
        <f t="shared" si="1"/>
        <v>0</v>
      </c>
      <c r="F9" s="115">
        <f t="shared" si="2"/>
        <v>0</v>
      </c>
      <c r="G9" s="115">
        <f t="shared" si="3"/>
        <v>0</v>
      </c>
      <c r="H9" s="28">
        <v>1</v>
      </c>
      <c r="I9" s="26"/>
      <c r="J9" s="105"/>
      <c r="K9" s="106"/>
      <c r="L9" s="28"/>
      <c r="M9" s="26"/>
      <c r="N9" s="105"/>
      <c r="O9" s="106"/>
      <c r="P9" s="28"/>
      <c r="Q9" s="26"/>
      <c r="R9" s="26"/>
      <c r="S9" s="29"/>
      <c r="T9" s="28"/>
      <c r="U9" s="26"/>
      <c r="V9" s="105"/>
      <c r="W9" s="106"/>
      <c r="X9" s="28"/>
      <c r="Y9" s="26"/>
      <c r="Z9" s="26"/>
      <c r="AA9" s="29"/>
      <c r="AB9" s="28"/>
      <c r="AC9" s="26"/>
      <c r="AD9" s="26"/>
      <c r="AE9" s="29"/>
      <c r="AF9" s="28"/>
      <c r="AG9" s="26"/>
      <c r="AH9" s="26"/>
      <c r="AI9" s="29"/>
      <c r="AJ9" s="28"/>
      <c r="AK9" s="26"/>
      <c r="AL9" s="26"/>
      <c r="AM9" s="29"/>
      <c r="AN9" s="28"/>
      <c r="AO9" s="26"/>
      <c r="AP9" s="26"/>
      <c r="AQ9" s="29"/>
      <c r="AR9" s="28"/>
      <c r="AS9" s="26"/>
      <c r="AT9" s="26"/>
      <c r="AU9" s="29"/>
      <c r="AV9" s="28"/>
      <c r="AW9" s="26"/>
      <c r="AX9" s="26"/>
      <c r="AY9" s="29"/>
      <c r="AZ9" s="28"/>
      <c r="BA9" s="26"/>
      <c r="BB9" s="26"/>
      <c r="BC9" s="29"/>
      <c r="BD9" s="28"/>
      <c r="BE9" s="26"/>
      <c r="BF9" s="26"/>
      <c r="BG9" s="29"/>
      <c r="BH9" s="28"/>
      <c r="BI9" s="26"/>
      <c r="BJ9" s="26"/>
      <c r="BK9" s="29"/>
      <c r="BL9" s="28"/>
      <c r="BM9" s="26"/>
      <c r="BN9" s="26"/>
      <c r="BO9" s="29"/>
      <c r="BP9" s="28"/>
      <c r="BQ9" s="26"/>
      <c r="BR9" s="26"/>
      <c r="BS9" s="29"/>
      <c r="BT9" s="28"/>
      <c r="BU9" s="26"/>
      <c r="BV9" s="26"/>
      <c r="BW9" s="29"/>
      <c r="BX9" s="28"/>
      <c r="BY9" s="26"/>
      <c r="BZ9" s="26"/>
      <c r="CA9" s="29"/>
      <c r="CB9" s="28"/>
      <c r="CC9" s="26"/>
      <c r="CD9" s="26"/>
      <c r="CE9" s="29"/>
      <c r="CF9" s="28"/>
      <c r="CG9" s="26"/>
      <c r="CH9" s="26"/>
      <c r="CI9" s="29"/>
      <c r="CJ9" s="28"/>
      <c r="CK9" s="26"/>
      <c r="CL9" s="26"/>
      <c r="CM9" s="29"/>
      <c r="CN9" s="28"/>
      <c r="CO9" s="26"/>
      <c r="CP9" s="26"/>
      <c r="CQ9" s="29"/>
      <c r="CR9" s="28"/>
      <c r="CS9" s="26"/>
      <c r="CT9" s="26"/>
      <c r="CU9" s="29"/>
      <c r="CV9" s="28"/>
      <c r="CW9" s="26"/>
      <c r="CX9" s="26"/>
      <c r="CY9" s="29"/>
      <c r="CZ9" s="28"/>
      <c r="DA9" s="26"/>
      <c r="DB9" s="26"/>
      <c r="DC9" s="29"/>
    </row>
    <row r="10" spans="1:107" ht="19.899999999999999" customHeight="1" x14ac:dyDescent="0.25">
      <c r="A10" s="178"/>
      <c r="B10" s="154" t="str">
        <f>Jugadores!K9</f>
        <v xml:space="preserve">Amín Ortega </v>
      </c>
      <c r="C10" s="155"/>
      <c r="D10" s="24">
        <f t="shared" si="0"/>
        <v>2</v>
      </c>
      <c r="E10" s="24">
        <f t="shared" si="1"/>
        <v>0</v>
      </c>
      <c r="F10" s="115">
        <f t="shared" si="2"/>
        <v>0</v>
      </c>
      <c r="G10" s="115">
        <f t="shared" si="3"/>
        <v>0</v>
      </c>
      <c r="H10" s="28"/>
      <c r="I10" s="26"/>
      <c r="J10" s="105"/>
      <c r="K10" s="106"/>
      <c r="L10" s="28">
        <v>2</v>
      </c>
      <c r="M10" s="26"/>
      <c r="N10" s="26"/>
      <c r="O10" s="29"/>
      <c r="P10" s="28"/>
      <c r="Q10" s="26"/>
      <c r="R10" s="26"/>
      <c r="S10" s="29"/>
      <c r="T10" s="28"/>
      <c r="U10" s="26"/>
      <c r="V10" s="26"/>
      <c r="W10" s="29"/>
      <c r="X10" s="28"/>
      <c r="Y10" s="26"/>
      <c r="Z10" s="26"/>
      <c r="AA10" s="29"/>
      <c r="AB10" s="28"/>
      <c r="AC10" s="26"/>
      <c r="AD10" s="26"/>
      <c r="AE10" s="29"/>
      <c r="AF10" s="28"/>
      <c r="AG10" s="26"/>
      <c r="AH10" s="26"/>
      <c r="AI10" s="29"/>
      <c r="AJ10" s="28"/>
      <c r="AK10" s="26"/>
      <c r="AL10" s="26"/>
      <c r="AM10" s="29"/>
      <c r="AN10" s="28"/>
      <c r="AO10" s="26"/>
      <c r="AP10" s="26"/>
      <c r="AQ10" s="29"/>
      <c r="AR10" s="28"/>
      <c r="AS10" s="26"/>
      <c r="AT10" s="26"/>
      <c r="AU10" s="29"/>
      <c r="AV10" s="28"/>
      <c r="AW10" s="26"/>
      <c r="AX10" s="26"/>
      <c r="AY10" s="29"/>
      <c r="AZ10" s="28"/>
      <c r="BA10" s="26"/>
      <c r="BB10" s="26"/>
      <c r="BC10" s="29"/>
      <c r="BD10" s="28"/>
      <c r="BE10" s="26"/>
      <c r="BF10" s="26"/>
      <c r="BG10" s="29"/>
      <c r="BH10" s="28"/>
      <c r="BI10" s="26"/>
      <c r="BJ10" s="26"/>
      <c r="BK10" s="29"/>
      <c r="BL10" s="28"/>
      <c r="BM10" s="26"/>
      <c r="BN10" s="26"/>
      <c r="BO10" s="29"/>
      <c r="BP10" s="28"/>
      <c r="BQ10" s="26"/>
      <c r="BR10" s="26"/>
      <c r="BS10" s="29"/>
      <c r="BT10" s="28"/>
      <c r="BU10" s="26"/>
      <c r="BV10" s="26"/>
      <c r="BW10" s="29"/>
      <c r="BX10" s="28"/>
      <c r="BY10" s="26"/>
      <c r="BZ10" s="26"/>
      <c r="CA10" s="29"/>
      <c r="CB10" s="28"/>
      <c r="CC10" s="26"/>
      <c r="CD10" s="26"/>
      <c r="CE10" s="29"/>
      <c r="CF10" s="28"/>
      <c r="CG10" s="26"/>
      <c r="CH10" s="26"/>
      <c r="CI10" s="29"/>
      <c r="CJ10" s="28"/>
      <c r="CK10" s="26"/>
      <c r="CL10" s="26"/>
      <c r="CM10" s="29"/>
      <c r="CN10" s="28"/>
      <c r="CO10" s="26"/>
      <c r="CP10" s="26"/>
      <c r="CQ10" s="29"/>
      <c r="CR10" s="28"/>
      <c r="CS10" s="26"/>
      <c r="CT10" s="26"/>
      <c r="CU10" s="29"/>
      <c r="CV10" s="28"/>
      <c r="CW10" s="26"/>
      <c r="CX10" s="26"/>
      <c r="CY10" s="29"/>
      <c r="CZ10" s="28"/>
      <c r="DA10" s="26"/>
      <c r="DB10" s="26"/>
      <c r="DC10" s="29"/>
    </row>
    <row r="11" spans="1:107" ht="19.899999999999999" customHeight="1" x14ac:dyDescent="0.25">
      <c r="A11" s="178"/>
      <c r="B11" s="154" t="str">
        <f>Jugadores!K10</f>
        <v>Sebastián Zapata</v>
      </c>
      <c r="C11" s="155"/>
      <c r="D11" s="24">
        <f t="shared" si="0"/>
        <v>4</v>
      </c>
      <c r="E11" s="24">
        <f t="shared" si="1"/>
        <v>1</v>
      </c>
      <c r="F11" s="115">
        <f t="shared" si="2"/>
        <v>0</v>
      </c>
      <c r="G11" s="115">
        <f t="shared" si="3"/>
        <v>0</v>
      </c>
      <c r="H11" s="28"/>
      <c r="I11" s="26"/>
      <c r="J11" s="105"/>
      <c r="K11" s="106"/>
      <c r="L11" s="28"/>
      <c r="M11" s="26"/>
      <c r="N11" s="26"/>
      <c r="O11" s="29"/>
      <c r="P11" s="28">
        <v>1</v>
      </c>
      <c r="Q11" s="26"/>
      <c r="R11" s="26"/>
      <c r="S11" s="29"/>
      <c r="T11" s="28"/>
      <c r="U11" s="26"/>
      <c r="V11" s="26"/>
      <c r="W11" s="29"/>
      <c r="X11" s="28"/>
      <c r="Y11" s="26"/>
      <c r="Z11" s="26"/>
      <c r="AA11" s="29"/>
      <c r="AB11" s="28"/>
      <c r="AC11" s="26"/>
      <c r="AD11" s="26"/>
      <c r="AE11" s="29"/>
      <c r="AF11" s="28"/>
      <c r="AG11" s="26"/>
      <c r="AH11" s="26"/>
      <c r="AI11" s="29"/>
      <c r="AJ11" s="28"/>
      <c r="AK11" s="26"/>
      <c r="AL11" s="26"/>
      <c r="AM11" s="29"/>
      <c r="AN11" s="28"/>
      <c r="AO11" s="26"/>
      <c r="AP11" s="26"/>
      <c r="AQ11" s="29"/>
      <c r="AR11" s="28"/>
      <c r="AS11" s="26"/>
      <c r="AT11" s="26"/>
      <c r="AU11" s="29"/>
      <c r="AV11" s="28"/>
      <c r="AW11" s="26"/>
      <c r="AX11" s="26"/>
      <c r="AY11" s="29"/>
      <c r="AZ11" s="28"/>
      <c r="BA11" s="26"/>
      <c r="BB11" s="26"/>
      <c r="BC11" s="29"/>
      <c r="BD11" s="28"/>
      <c r="BE11" s="26"/>
      <c r="BF11" s="26"/>
      <c r="BG11" s="29"/>
      <c r="BH11" s="28">
        <v>2</v>
      </c>
      <c r="BI11" s="26"/>
      <c r="BJ11" s="26"/>
      <c r="BK11" s="29"/>
      <c r="BL11" s="28">
        <v>1</v>
      </c>
      <c r="BM11" s="26">
        <v>1</v>
      </c>
      <c r="BN11" s="26"/>
      <c r="BO11" s="29"/>
      <c r="BP11" s="28"/>
      <c r="BQ11" s="26"/>
      <c r="BR11" s="26"/>
      <c r="BS11" s="29"/>
      <c r="BT11" s="28"/>
      <c r="BU11" s="26"/>
      <c r="BV11" s="26"/>
      <c r="BW11" s="29"/>
      <c r="BX11" s="28"/>
      <c r="BY11" s="26"/>
      <c r="BZ11" s="26"/>
      <c r="CA11" s="29"/>
      <c r="CB11" s="28"/>
      <c r="CC11" s="26"/>
      <c r="CD11" s="26"/>
      <c r="CE11" s="29"/>
      <c r="CF11" s="28"/>
      <c r="CG11" s="26"/>
      <c r="CH11" s="26"/>
      <c r="CI11" s="29"/>
      <c r="CJ11" s="28"/>
      <c r="CK11" s="26"/>
      <c r="CL11" s="26"/>
      <c r="CM11" s="29"/>
      <c r="CN11" s="28"/>
      <c r="CO11" s="26"/>
      <c r="CP11" s="26"/>
      <c r="CQ11" s="29"/>
      <c r="CR11" s="28"/>
      <c r="CS11" s="26"/>
      <c r="CT11" s="26"/>
      <c r="CU11" s="29"/>
      <c r="CV11" s="28"/>
      <c r="CW11" s="26"/>
      <c r="CX11" s="26"/>
      <c r="CY11" s="29"/>
      <c r="CZ11" s="28"/>
      <c r="DA11" s="26"/>
      <c r="DB11" s="26"/>
      <c r="DC11" s="29"/>
    </row>
    <row r="12" spans="1:107" ht="19.899999999999999" customHeight="1" x14ac:dyDescent="0.25">
      <c r="A12" s="178"/>
      <c r="B12" s="154" t="str">
        <f>Jugadores!K11</f>
        <v xml:space="preserve">Joaquín Marín </v>
      </c>
      <c r="C12" s="155"/>
      <c r="D12" s="24">
        <f t="shared" si="0"/>
        <v>1</v>
      </c>
      <c r="E12" s="24">
        <f t="shared" si="1"/>
        <v>0</v>
      </c>
      <c r="F12" s="115">
        <f t="shared" si="2"/>
        <v>0</v>
      </c>
      <c r="G12" s="115">
        <f t="shared" si="3"/>
        <v>0</v>
      </c>
      <c r="H12" s="28"/>
      <c r="I12" s="26"/>
      <c r="J12" s="105"/>
      <c r="K12" s="106"/>
      <c r="L12" s="28"/>
      <c r="M12" s="26"/>
      <c r="N12" s="26"/>
      <c r="O12" s="29"/>
      <c r="P12" s="28"/>
      <c r="Q12" s="26"/>
      <c r="R12" s="26"/>
      <c r="S12" s="29"/>
      <c r="T12" s="28">
        <v>1</v>
      </c>
      <c r="U12" s="26"/>
      <c r="V12" s="26"/>
      <c r="W12" s="29"/>
      <c r="X12" s="28"/>
      <c r="Y12" s="26"/>
      <c r="Z12" s="26"/>
      <c r="AA12" s="29"/>
      <c r="AB12" s="28"/>
      <c r="AC12" s="26"/>
      <c r="AD12" s="26"/>
      <c r="AE12" s="29"/>
      <c r="AF12" s="28"/>
      <c r="AG12" s="26"/>
      <c r="AH12" s="26"/>
      <c r="AI12" s="29"/>
      <c r="AJ12" s="28"/>
      <c r="AK12" s="26"/>
      <c r="AL12" s="26"/>
      <c r="AM12" s="29"/>
      <c r="AN12" s="28"/>
      <c r="AO12" s="26"/>
      <c r="AP12" s="26"/>
      <c r="AQ12" s="29"/>
      <c r="AR12" s="28"/>
      <c r="AS12" s="26"/>
      <c r="AT12" s="26"/>
      <c r="AU12" s="29"/>
      <c r="AV12" s="28"/>
      <c r="AW12" s="26"/>
      <c r="AX12" s="26"/>
      <c r="AY12" s="29"/>
      <c r="AZ12" s="28"/>
      <c r="BA12" s="26"/>
      <c r="BB12" s="26"/>
      <c r="BC12" s="29"/>
      <c r="BD12" s="28"/>
      <c r="BE12" s="26"/>
      <c r="BF12" s="26"/>
      <c r="BG12" s="29"/>
      <c r="BH12" s="28"/>
      <c r="BI12" s="26"/>
      <c r="BJ12" s="26"/>
      <c r="BK12" s="29"/>
      <c r="BL12" s="28"/>
      <c r="BM12" s="26"/>
      <c r="BN12" s="26"/>
      <c r="BO12" s="29"/>
      <c r="BP12" s="28"/>
      <c r="BQ12" s="26"/>
      <c r="BR12" s="26"/>
      <c r="BS12" s="29"/>
      <c r="BT12" s="28"/>
      <c r="BU12" s="26"/>
      <c r="BV12" s="26"/>
      <c r="BW12" s="29"/>
      <c r="BX12" s="28"/>
      <c r="BY12" s="26"/>
      <c r="BZ12" s="26"/>
      <c r="CA12" s="29"/>
      <c r="CB12" s="28"/>
      <c r="CC12" s="26"/>
      <c r="CD12" s="26"/>
      <c r="CE12" s="29"/>
      <c r="CF12" s="28"/>
      <c r="CG12" s="26"/>
      <c r="CH12" s="26"/>
      <c r="CI12" s="29"/>
      <c r="CJ12" s="28"/>
      <c r="CK12" s="26"/>
      <c r="CL12" s="26"/>
      <c r="CM12" s="29"/>
      <c r="CN12" s="28"/>
      <c r="CO12" s="26"/>
      <c r="CP12" s="26"/>
      <c r="CQ12" s="29"/>
      <c r="CR12" s="28"/>
      <c r="CS12" s="26"/>
      <c r="CT12" s="26"/>
      <c r="CU12" s="29"/>
      <c r="CV12" s="28"/>
      <c r="CW12" s="26"/>
      <c r="CX12" s="26"/>
      <c r="CY12" s="29"/>
      <c r="CZ12" s="28"/>
      <c r="DA12" s="26"/>
      <c r="DB12" s="26"/>
      <c r="DC12" s="29"/>
    </row>
    <row r="13" spans="1:107" ht="19.899999999999999" customHeight="1" x14ac:dyDescent="0.25">
      <c r="A13" s="178"/>
      <c r="B13" s="154" t="str">
        <f>Jugadores!K12</f>
        <v xml:space="preserve">Héctor Gallego </v>
      </c>
      <c r="C13" s="155"/>
      <c r="D13" s="24">
        <f t="shared" si="0"/>
        <v>1</v>
      </c>
      <c r="E13" s="24">
        <f t="shared" si="1"/>
        <v>0</v>
      </c>
      <c r="F13" s="115">
        <f t="shared" si="2"/>
        <v>0</v>
      </c>
      <c r="G13" s="115">
        <f t="shared" si="3"/>
        <v>0</v>
      </c>
      <c r="H13" s="28"/>
      <c r="I13" s="26"/>
      <c r="J13" s="105"/>
      <c r="K13" s="106"/>
      <c r="L13" s="28"/>
      <c r="M13" s="26"/>
      <c r="N13" s="26"/>
      <c r="O13" s="29"/>
      <c r="P13" s="28"/>
      <c r="Q13" s="26"/>
      <c r="R13" s="26"/>
      <c r="S13" s="29"/>
      <c r="T13" s="28"/>
      <c r="U13" s="26"/>
      <c r="V13" s="26"/>
      <c r="W13" s="29"/>
      <c r="X13" s="28">
        <v>1</v>
      </c>
      <c r="Y13" s="26"/>
      <c r="Z13" s="26"/>
      <c r="AA13" s="29"/>
      <c r="AB13" s="28"/>
      <c r="AC13" s="26"/>
      <c r="AD13" s="26"/>
      <c r="AE13" s="29"/>
      <c r="AF13" s="28"/>
      <c r="AG13" s="26"/>
      <c r="AH13" s="26"/>
      <c r="AI13" s="29"/>
      <c r="AJ13" s="28"/>
      <c r="AK13" s="26"/>
      <c r="AL13" s="26"/>
      <c r="AM13" s="29"/>
      <c r="AN13" s="28"/>
      <c r="AO13" s="26"/>
      <c r="AP13" s="26"/>
      <c r="AQ13" s="29"/>
      <c r="AR13" s="28"/>
      <c r="AS13" s="26"/>
      <c r="AT13" s="26"/>
      <c r="AU13" s="29"/>
      <c r="AV13" s="28"/>
      <c r="AW13" s="26"/>
      <c r="AX13" s="26"/>
      <c r="AY13" s="29"/>
      <c r="AZ13" s="28"/>
      <c r="BA13" s="26"/>
      <c r="BB13" s="26"/>
      <c r="BC13" s="29"/>
      <c r="BD13" s="28"/>
      <c r="BE13" s="26"/>
      <c r="BF13" s="26"/>
      <c r="BG13" s="29"/>
      <c r="BH13" s="28"/>
      <c r="BI13" s="26"/>
      <c r="BJ13" s="26"/>
      <c r="BK13" s="29"/>
      <c r="BL13" s="28"/>
      <c r="BM13" s="26"/>
      <c r="BN13" s="26"/>
      <c r="BO13" s="29"/>
      <c r="BP13" s="28"/>
      <c r="BQ13" s="26"/>
      <c r="BR13" s="26"/>
      <c r="BS13" s="29"/>
      <c r="BT13" s="28"/>
      <c r="BU13" s="26"/>
      <c r="BV13" s="26"/>
      <c r="BW13" s="29"/>
      <c r="BX13" s="28"/>
      <c r="BY13" s="26"/>
      <c r="BZ13" s="26"/>
      <c r="CA13" s="29"/>
      <c r="CB13" s="28"/>
      <c r="CC13" s="26"/>
      <c r="CD13" s="26"/>
      <c r="CE13" s="29"/>
      <c r="CF13" s="28"/>
      <c r="CG13" s="26"/>
      <c r="CH13" s="26"/>
      <c r="CI13" s="29"/>
      <c r="CJ13" s="28"/>
      <c r="CK13" s="26"/>
      <c r="CL13" s="26"/>
      <c r="CM13" s="29"/>
      <c r="CN13" s="28"/>
      <c r="CO13" s="26"/>
      <c r="CP13" s="26"/>
      <c r="CQ13" s="29"/>
      <c r="CR13" s="28"/>
      <c r="CS13" s="26"/>
      <c r="CT13" s="26"/>
      <c r="CU13" s="29"/>
      <c r="CV13" s="28"/>
      <c r="CW13" s="26"/>
      <c r="CX13" s="26"/>
      <c r="CY13" s="29"/>
      <c r="CZ13" s="28"/>
      <c r="DA13" s="26"/>
      <c r="DB13" s="26"/>
      <c r="DC13" s="29"/>
    </row>
    <row r="14" spans="1:107" ht="19.899999999999999" customHeight="1" x14ac:dyDescent="0.25">
      <c r="A14" s="178"/>
      <c r="B14" s="154" t="str">
        <f>Jugadores!K13</f>
        <v>Eduardo Miche</v>
      </c>
      <c r="C14" s="155"/>
      <c r="D14" s="24">
        <f t="shared" si="0"/>
        <v>2</v>
      </c>
      <c r="E14" s="24">
        <f t="shared" si="1"/>
        <v>0</v>
      </c>
      <c r="F14" s="115">
        <f t="shared" si="2"/>
        <v>2</v>
      </c>
      <c r="G14" s="115">
        <f t="shared" si="3"/>
        <v>0</v>
      </c>
      <c r="H14" s="28"/>
      <c r="I14" s="26"/>
      <c r="J14" s="105"/>
      <c r="K14" s="106"/>
      <c r="L14" s="28"/>
      <c r="M14" s="26"/>
      <c r="N14" s="26"/>
      <c r="O14" s="29"/>
      <c r="P14" s="28"/>
      <c r="Q14" s="26"/>
      <c r="R14" s="26"/>
      <c r="S14" s="29"/>
      <c r="T14" s="28"/>
      <c r="U14" s="26"/>
      <c r="V14" s="26"/>
      <c r="W14" s="29"/>
      <c r="X14" s="28"/>
      <c r="Y14" s="26"/>
      <c r="Z14" s="26"/>
      <c r="AA14" s="29"/>
      <c r="AB14" s="28"/>
      <c r="AC14" s="26"/>
      <c r="AD14" s="26"/>
      <c r="AE14" s="29"/>
      <c r="AF14" s="28"/>
      <c r="AG14" s="26"/>
      <c r="AH14" s="26"/>
      <c r="AI14" s="29"/>
      <c r="AJ14" s="28"/>
      <c r="AK14" s="26"/>
      <c r="AL14" s="26"/>
      <c r="AM14" s="29"/>
      <c r="AN14" s="28"/>
      <c r="AO14" s="26"/>
      <c r="AP14" s="26"/>
      <c r="AQ14" s="29"/>
      <c r="AR14" s="28"/>
      <c r="AS14" s="26"/>
      <c r="AT14" s="26"/>
      <c r="AU14" s="29"/>
      <c r="AV14" s="28"/>
      <c r="AW14" s="26"/>
      <c r="AX14" s="26"/>
      <c r="AY14" s="29"/>
      <c r="AZ14" s="28"/>
      <c r="BA14" s="26"/>
      <c r="BB14" s="26"/>
      <c r="BC14" s="29"/>
      <c r="BD14" s="28"/>
      <c r="BE14" s="26"/>
      <c r="BF14" s="26"/>
      <c r="BG14" s="29"/>
      <c r="BH14" s="28"/>
      <c r="BI14" s="26"/>
      <c r="BJ14" s="26"/>
      <c r="BK14" s="29"/>
      <c r="BL14" s="28"/>
      <c r="BM14" s="26"/>
      <c r="BN14" s="26"/>
      <c r="BO14" s="29"/>
      <c r="BP14" s="28"/>
      <c r="BQ14" s="26"/>
      <c r="BR14" s="26"/>
      <c r="BS14" s="29"/>
      <c r="BT14" s="28">
        <v>1</v>
      </c>
      <c r="BU14" s="26"/>
      <c r="BV14" s="26"/>
      <c r="BW14" s="29"/>
      <c r="BX14" s="28">
        <v>1</v>
      </c>
      <c r="BY14" s="26"/>
      <c r="BZ14" s="26"/>
      <c r="CA14" s="29"/>
      <c r="CB14" s="28"/>
      <c r="CC14" s="26"/>
      <c r="CD14" s="26"/>
      <c r="CE14" s="29"/>
      <c r="CF14" s="28"/>
      <c r="CG14" s="26"/>
      <c r="CH14" s="26"/>
      <c r="CI14" s="29"/>
      <c r="CJ14" s="28"/>
      <c r="CK14" s="26"/>
      <c r="CL14" s="26"/>
      <c r="CM14" s="29"/>
      <c r="CN14" s="28"/>
      <c r="CO14" s="26"/>
      <c r="CP14" s="26"/>
      <c r="CQ14" s="29"/>
      <c r="CR14" s="28"/>
      <c r="CS14" s="26"/>
      <c r="CT14" s="26"/>
      <c r="CU14" s="29"/>
      <c r="CV14" s="28"/>
      <c r="CW14" s="26"/>
      <c r="CX14" s="26"/>
      <c r="CY14" s="29"/>
      <c r="CZ14" s="28"/>
      <c r="DA14" s="26"/>
      <c r="DB14" s="26"/>
      <c r="DC14" s="29"/>
    </row>
    <row r="15" spans="1:107" ht="19.899999999999999" customHeight="1" x14ac:dyDescent="0.25">
      <c r="A15" s="178"/>
      <c r="B15" s="154" t="str">
        <f>Jugadores!K14</f>
        <v xml:space="preserve">Dorlys Torres </v>
      </c>
      <c r="C15" s="155"/>
      <c r="D15" s="24">
        <f t="shared" si="0"/>
        <v>2</v>
      </c>
      <c r="E15" s="24">
        <f t="shared" si="1"/>
        <v>0</v>
      </c>
      <c r="F15" s="115">
        <f t="shared" si="2"/>
        <v>1</v>
      </c>
      <c r="G15" s="115">
        <f t="shared" si="3"/>
        <v>0</v>
      </c>
      <c r="H15" s="28"/>
      <c r="I15" s="26"/>
      <c r="J15" s="105"/>
      <c r="K15" s="106"/>
      <c r="L15" s="28"/>
      <c r="M15" s="26"/>
      <c r="N15" s="26"/>
      <c r="O15" s="29"/>
      <c r="P15" s="28"/>
      <c r="Q15" s="26"/>
      <c r="R15" s="26"/>
      <c r="S15" s="29"/>
      <c r="T15" s="28"/>
      <c r="U15" s="26"/>
      <c r="V15" s="26"/>
      <c r="W15" s="29"/>
      <c r="X15" s="28"/>
      <c r="Y15" s="26"/>
      <c r="Z15" s="26"/>
      <c r="AA15" s="29"/>
      <c r="AB15" s="28"/>
      <c r="AC15" s="26"/>
      <c r="AD15" s="26"/>
      <c r="AE15" s="29"/>
      <c r="AF15" s="28"/>
      <c r="AG15" s="26"/>
      <c r="AH15" s="26"/>
      <c r="AI15" s="29"/>
      <c r="AJ15" s="28"/>
      <c r="AK15" s="26"/>
      <c r="AL15" s="26"/>
      <c r="AM15" s="29"/>
      <c r="AN15" s="28"/>
      <c r="AO15" s="26"/>
      <c r="AP15" s="26"/>
      <c r="AQ15" s="29"/>
      <c r="AR15" s="28"/>
      <c r="AS15" s="26"/>
      <c r="AT15" s="26"/>
      <c r="AU15" s="29"/>
      <c r="AV15" s="28"/>
      <c r="AW15" s="26"/>
      <c r="AX15" s="26"/>
      <c r="AY15" s="29"/>
      <c r="AZ15" s="28"/>
      <c r="BA15" s="26"/>
      <c r="BB15" s="26"/>
      <c r="BC15" s="29"/>
      <c r="BD15" s="28">
        <v>1</v>
      </c>
      <c r="BE15" s="26"/>
      <c r="BF15" s="26"/>
      <c r="BG15" s="29"/>
      <c r="BH15" s="28"/>
      <c r="BI15" s="26"/>
      <c r="BJ15" s="26"/>
      <c r="BK15" s="29"/>
      <c r="BL15" s="28"/>
      <c r="BM15" s="26"/>
      <c r="BN15" s="26"/>
      <c r="BO15" s="29"/>
      <c r="BP15" s="28"/>
      <c r="BQ15" s="26"/>
      <c r="BR15" s="26"/>
      <c r="BS15" s="29"/>
      <c r="BT15" s="28">
        <v>1</v>
      </c>
      <c r="BU15" s="26"/>
      <c r="BV15" s="26"/>
      <c r="BW15" s="29"/>
      <c r="BX15" s="28"/>
      <c r="BY15" s="26"/>
      <c r="BZ15" s="26"/>
      <c r="CA15" s="29"/>
      <c r="CB15" s="28"/>
      <c r="CC15" s="26"/>
      <c r="CD15" s="26"/>
      <c r="CE15" s="29"/>
      <c r="CF15" s="28"/>
      <c r="CG15" s="26"/>
      <c r="CH15" s="26"/>
      <c r="CI15" s="29"/>
      <c r="CJ15" s="28"/>
      <c r="CK15" s="26"/>
      <c r="CL15" s="26"/>
      <c r="CM15" s="29"/>
      <c r="CN15" s="28"/>
      <c r="CO15" s="26"/>
      <c r="CP15" s="26"/>
      <c r="CQ15" s="29"/>
      <c r="CR15" s="28"/>
      <c r="CS15" s="26"/>
      <c r="CT15" s="26"/>
      <c r="CU15" s="29"/>
      <c r="CV15" s="28"/>
      <c r="CW15" s="26"/>
      <c r="CX15" s="26"/>
      <c r="CY15" s="29"/>
      <c r="CZ15" s="28"/>
      <c r="DA15" s="26"/>
      <c r="DB15" s="26"/>
      <c r="DC15" s="29"/>
    </row>
    <row r="16" spans="1:107" ht="19.899999999999999" customHeight="1" x14ac:dyDescent="0.25">
      <c r="A16" s="178"/>
      <c r="B16" s="154" t="str">
        <f>Jugadores!K15</f>
        <v>Leider Padilla</v>
      </c>
      <c r="C16" s="155"/>
      <c r="D16" s="24">
        <f t="shared" si="0"/>
        <v>2</v>
      </c>
      <c r="E16" s="24">
        <f t="shared" si="1"/>
        <v>0</v>
      </c>
      <c r="F16" s="115">
        <f t="shared" si="2"/>
        <v>0</v>
      </c>
      <c r="G16" s="115">
        <f t="shared" si="3"/>
        <v>0</v>
      </c>
      <c r="H16" s="28"/>
      <c r="I16" s="26"/>
      <c r="J16" s="105"/>
      <c r="K16" s="106"/>
      <c r="L16" s="28"/>
      <c r="M16" s="26"/>
      <c r="N16" s="26"/>
      <c r="O16" s="29"/>
      <c r="P16" s="28"/>
      <c r="Q16" s="26"/>
      <c r="R16" s="26"/>
      <c r="S16" s="29"/>
      <c r="T16" s="28"/>
      <c r="U16" s="26"/>
      <c r="V16" s="26"/>
      <c r="W16" s="29"/>
      <c r="X16" s="28"/>
      <c r="Y16" s="26"/>
      <c r="Z16" s="26"/>
      <c r="AA16" s="29"/>
      <c r="AB16" s="28"/>
      <c r="AC16" s="26"/>
      <c r="AD16" s="26"/>
      <c r="AE16" s="29"/>
      <c r="AF16" s="28"/>
      <c r="AG16" s="26"/>
      <c r="AH16" s="26"/>
      <c r="AI16" s="29"/>
      <c r="AJ16" s="28"/>
      <c r="AK16" s="26"/>
      <c r="AL16" s="26"/>
      <c r="AM16" s="29"/>
      <c r="AN16" s="28">
        <v>1</v>
      </c>
      <c r="AO16" s="26"/>
      <c r="AP16" s="26"/>
      <c r="AQ16" s="29"/>
      <c r="AR16" s="28"/>
      <c r="AS16" s="26"/>
      <c r="AT16" s="26"/>
      <c r="AU16" s="29"/>
      <c r="AV16" s="28"/>
      <c r="AW16" s="26"/>
      <c r="AX16" s="26"/>
      <c r="AY16" s="29"/>
      <c r="AZ16" s="28">
        <v>1</v>
      </c>
      <c r="BA16" s="26"/>
      <c r="BB16" s="26"/>
      <c r="BC16" s="29"/>
      <c r="BD16" s="28"/>
      <c r="BE16" s="26"/>
      <c r="BF16" s="26"/>
      <c r="BG16" s="29"/>
      <c r="BH16" s="28"/>
      <c r="BI16" s="26"/>
      <c r="BJ16" s="26"/>
      <c r="BK16" s="29"/>
      <c r="BL16" s="28"/>
      <c r="BM16" s="26"/>
      <c r="BN16" s="26"/>
      <c r="BO16" s="29"/>
      <c r="BP16" s="28"/>
      <c r="BQ16" s="26"/>
      <c r="BR16" s="26"/>
      <c r="BS16" s="29"/>
      <c r="BT16" s="28"/>
      <c r="BU16" s="26"/>
      <c r="BV16" s="26"/>
      <c r="BW16" s="29"/>
      <c r="BX16" s="28"/>
      <c r="BY16" s="26"/>
      <c r="BZ16" s="26"/>
      <c r="CA16" s="29"/>
      <c r="CB16" s="28"/>
      <c r="CC16" s="26"/>
      <c r="CD16" s="26"/>
      <c r="CE16" s="29"/>
      <c r="CF16" s="28"/>
      <c r="CG16" s="26"/>
      <c r="CH16" s="26"/>
      <c r="CI16" s="29"/>
      <c r="CJ16" s="28"/>
      <c r="CK16" s="26"/>
      <c r="CL16" s="26"/>
      <c r="CM16" s="29"/>
      <c r="CN16" s="28"/>
      <c r="CO16" s="26"/>
      <c r="CP16" s="26"/>
      <c r="CQ16" s="29"/>
      <c r="CR16" s="28"/>
      <c r="CS16" s="26"/>
      <c r="CT16" s="26"/>
      <c r="CU16" s="29"/>
      <c r="CV16" s="28"/>
      <c r="CW16" s="26"/>
      <c r="CX16" s="26"/>
      <c r="CY16" s="29"/>
      <c r="CZ16" s="28"/>
      <c r="DA16" s="26"/>
      <c r="DB16" s="26"/>
      <c r="DC16" s="29"/>
    </row>
    <row r="17" spans="1:107" ht="19.899999999999999" customHeight="1" x14ac:dyDescent="0.25">
      <c r="A17" s="178"/>
      <c r="B17" s="154" t="str">
        <f>Jugadores!K16</f>
        <v>Jhonatan Zuleta</v>
      </c>
      <c r="C17" s="155"/>
      <c r="D17" s="24">
        <f t="shared" si="0"/>
        <v>13</v>
      </c>
      <c r="E17" s="24">
        <f t="shared" si="1"/>
        <v>0</v>
      </c>
      <c r="F17" s="115">
        <f t="shared" si="2"/>
        <v>5</v>
      </c>
      <c r="G17" s="115">
        <f t="shared" si="3"/>
        <v>0</v>
      </c>
      <c r="H17" s="28"/>
      <c r="I17" s="26"/>
      <c r="J17" s="105"/>
      <c r="K17" s="106"/>
      <c r="L17" s="28"/>
      <c r="M17" s="26"/>
      <c r="N17" s="26"/>
      <c r="O17" s="29"/>
      <c r="P17" s="28"/>
      <c r="Q17" s="26"/>
      <c r="R17" s="26"/>
      <c r="S17" s="29"/>
      <c r="T17" s="28"/>
      <c r="U17" s="26"/>
      <c r="V17" s="26"/>
      <c r="W17" s="29"/>
      <c r="X17" s="28"/>
      <c r="Y17" s="26"/>
      <c r="Z17" s="26"/>
      <c r="AA17" s="29"/>
      <c r="AB17" s="28"/>
      <c r="AC17" s="26"/>
      <c r="AD17" s="26"/>
      <c r="AE17" s="29"/>
      <c r="AF17" s="28"/>
      <c r="AG17" s="26"/>
      <c r="AH17" s="26"/>
      <c r="AI17" s="29"/>
      <c r="AJ17" s="28"/>
      <c r="AK17" s="26"/>
      <c r="AL17" s="26"/>
      <c r="AM17" s="29"/>
      <c r="AN17" s="28"/>
      <c r="AO17" s="26"/>
      <c r="AP17" s="26"/>
      <c r="AQ17" s="29"/>
      <c r="AR17" s="28"/>
      <c r="AS17" s="26"/>
      <c r="AT17" s="26"/>
      <c r="AU17" s="29"/>
      <c r="AV17" s="28">
        <v>4</v>
      </c>
      <c r="AW17" s="26"/>
      <c r="AX17" s="26"/>
      <c r="AY17" s="29"/>
      <c r="AZ17" s="28">
        <v>1</v>
      </c>
      <c r="BA17" s="26"/>
      <c r="BB17" s="26"/>
      <c r="BC17" s="29"/>
      <c r="BD17" s="28"/>
      <c r="BE17" s="26"/>
      <c r="BF17" s="26"/>
      <c r="BG17" s="29"/>
      <c r="BH17" s="28">
        <v>1</v>
      </c>
      <c r="BI17" s="26"/>
      <c r="BJ17" s="26"/>
      <c r="BK17" s="29"/>
      <c r="BL17" s="28"/>
      <c r="BM17" s="26"/>
      <c r="BN17" s="26"/>
      <c r="BO17" s="29"/>
      <c r="BP17" s="28">
        <v>2</v>
      </c>
      <c r="BQ17" s="26"/>
      <c r="BR17" s="26"/>
      <c r="BS17" s="29"/>
      <c r="BT17" s="28">
        <v>1</v>
      </c>
      <c r="BU17" s="26"/>
      <c r="BV17" s="26"/>
      <c r="BW17" s="29"/>
      <c r="BX17" s="28">
        <v>2</v>
      </c>
      <c r="BY17" s="26"/>
      <c r="BZ17" s="26"/>
      <c r="CA17" s="29"/>
      <c r="CB17" s="28"/>
      <c r="CC17" s="26"/>
      <c r="CD17" s="26"/>
      <c r="CE17" s="29"/>
      <c r="CF17" s="28"/>
      <c r="CG17" s="26"/>
      <c r="CH17" s="26"/>
      <c r="CI17" s="29"/>
      <c r="CJ17" s="28"/>
      <c r="CK17" s="26"/>
      <c r="CL17" s="26"/>
      <c r="CM17" s="29"/>
      <c r="CN17" s="28">
        <v>2</v>
      </c>
      <c r="CO17" s="26"/>
      <c r="CP17" s="26"/>
      <c r="CQ17" s="29"/>
      <c r="CR17" s="28"/>
      <c r="CS17" s="26"/>
      <c r="CT17" s="26"/>
      <c r="CU17" s="29"/>
      <c r="CV17" s="28"/>
      <c r="CW17" s="26"/>
      <c r="CX17" s="26"/>
      <c r="CY17" s="29"/>
      <c r="CZ17" s="28"/>
      <c r="DA17" s="26"/>
      <c r="DB17" s="26"/>
      <c r="DC17" s="29"/>
    </row>
    <row r="18" spans="1:107" ht="19.899999999999999" customHeight="1" x14ac:dyDescent="0.25">
      <c r="A18" s="179"/>
      <c r="B18" s="154" t="str">
        <f>Jugadores!K17</f>
        <v>Aldo Rangel</v>
      </c>
      <c r="C18" s="155"/>
      <c r="D18" s="24">
        <f t="shared" si="0"/>
        <v>1</v>
      </c>
      <c r="E18" s="24">
        <f t="shared" si="1"/>
        <v>3</v>
      </c>
      <c r="F18" s="115">
        <f t="shared" si="2"/>
        <v>0</v>
      </c>
      <c r="G18" s="115">
        <f t="shared" si="3"/>
        <v>1</v>
      </c>
      <c r="H18" s="28"/>
      <c r="I18" s="26"/>
      <c r="J18" s="105"/>
      <c r="K18" s="106"/>
      <c r="L18" s="28">
        <v>1</v>
      </c>
      <c r="M18" s="26">
        <v>1</v>
      </c>
      <c r="N18" s="26"/>
      <c r="O18" s="29"/>
      <c r="P18" s="28"/>
      <c r="Q18" s="26"/>
      <c r="R18" s="26"/>
      <c r="S18" s="29"/>
      <c r="T18" s="28"/>
      <c r="U18" s="26"/>
      <c r="V18" s="26"/>
      <c r="W18" s="29"/>
      <c r="X18" s="28"/>
      <c r="Y18" s="26"/>
      <c r="Z18" s="26"/>
      <c r="AA18" s="29"/>
      <c r="AB18" s="28"/>
      <c r="AC18" s="26"/>
      <c r="AD18" s="26"/>
      <c r="AE18" s="29"/>
      <c r="AF18" s="28"/>
      <c r="AG18" s="26"/>
      <c r="AH18" s="26"/>
      <c r="AI18" s="29"/>
      <c r="AJ18" s="28"/>
      <c r="AK18" s="26">
        <v>1</v>
      </c>
      <c r="AL18" s="26"/>
      <c r="AM18" s="29"/>
      <c r="AN18" s="28"/>
      <c r="AO18" s="26"/>
      <c r="AP18" s="26"/>
      <c r="AQ18" s="29"/>
      <c r="AR18" s="28"/>
      <c r="AS18" s="26"/>
      <c r="AT18" s="26"/>
      <c r="AU18" s="29"/>
      <c r="AV18" s="28"/>
      <c r="AW18" s="26"/>
      <c r="AX18" s="26"/>
      <c r="AY18" s="29"/>
      <c r="AZ18" s="28"/>
      <c r="BA18" s="26"/>
      <c r="BB18" s="26"/>
      <c r="BC18" s="29"/>
      <c r="BD18" s="28"/>
      <c r="BE18" s="26"/>
      <c r="BF18" s="26"/>
      <c r="BG18" s="29"/>
      <c r="BH18" s="28"/>
      <c r="BI18" s="26"/>
      <c r="BJ18" s="26"/>
      <c r="BK18" s="29"/>
      <c r="BL18" s="28"/>
      <c r="BM18" s="26"/>
      <c r="BN18" s="26"/>
      <c r="BO18" s="29"/>
      <c r="BP18" s="28"/>
      <c r="BQ18" s="26"/>
      <c r="BR18" s="26"/>
      <c r="BS18" s="29"/>
      <c r="BT18" s="28"/>
      <c r="BU18" s="26"/>
      <c r="BV18" s="26"/>
      <c r="BW18" s="29"/>
      <c r="BX18" s="28"/>
      <c r="BY18" s="26">
        <v>1</v>
      </c>
      <c r="BZ18" s="26"/>
      <c r="CA18" s="29"/>
      <c r="CB18" s="28"/>
      <c r="CC18" s="26"/>
      <c r="CD18" s="26"/>
      <c r="CE18" s="29"/>
      <c r="CF18" s="28"/>
      <c r="CG18" s="26"/>
      <c r="CH18" s="26"/>
      <c r="CI18" s="29"/>
      <c r="CJ18" s="28"/>
      <c r="CK18" s="26"/>
      <c r="CL18" s="26"/>
      <c r="CM18" s="29"/>
      <c r="CN18" s="28"/>
      <c r="CO18" s="26"/>
      <c r="CP18" s="26"/>
      <c r="CQ18" s="29"/>
      <c r="CR18" s="28"/>
      <c r="CS18" s="26"/>
      <c r="CT18" s="26"/>
      <c r="CU18" s="29"/>
      <c r="CV18" s="28"/>
      <c r="CW18" s="26"/>
      <c r="CX18" s="26"/>
      <c r="CY18" s="29"/>
      <c r="CZ18" s="28"/>
      <c r="DA18" s="26"/>
      <c r="DB18" s="26"/>
      <c r="DC18" s="29"/>
    </row>
    <row r="19" spans="1:107" ht="14.45" customHeight="1" x14ac:dyDescent="0.25">
      <c r="B19" s="158" t="s">
        <v>105</v>
      </c>
      <c r="C19" s="159"/>
      <c r="D19" s="160"/>
      <c r="E19" s="160"/>
      <c r="F19" s="160"/>
      <c r="G19" s="160"/>
      <c r="H19" s="28"/>
      <c r="I19" s="26"/>
      <c r="J19" s="26"/>
      <c r="K19" s="29"/>
      <c r="L19" s="28"/>
      <c r="M19" s="26"/>
      <c r="N19" s="26"/>
      <c r="O19" s="29"/>
      <c r="P19" s="28"/>
      <c r="Q19" s="26"/>
      <c r="R19" s="26"/>
      <c r="S19" s="29"/>
      <c r="T19" s="28"/>
      <c r="U19" s="26"/>
      <c r="V19" s="26"/>
      <c r="W19" s="29"/>
      <c r="X19" s="28"/>
      <c r="Y19" s="26"/>
      <c r="Z19" s="26"/>
      <c r="AA19" s="29"/>
      <c r="AB19" s="28"/>
      <c r="AC19" s="26"/>
      <c r="AD19" s="26"/>
      <c r="AE19" s="29"/>
      <c r="AF19" s="28"/>
      <c r="AG19" s="26"/>
      <c r="AH19" s="26"/>
      <c r="AI19" s="29"/>
      <c r="AJ19" s="28"/>
      <c r="AK19" s="26"/>
      <c r="AL19" s="26"/>
      <c r="AM19" s="29"/>
      <c r="AN19" s="28"/>
      <c r="AO19" s="26"/>
      <c r="AP19" s="26"/>
      <c r="AQ19" s="29"/>
      <c r="AR19" s="28"/>
      <c r="AS19" s="26"/>
      <c r="AT19" s="26"/>
      <c r="AU19" s="29"/>
      <c r="AV19" s="28"/>
      <c r="AW19" s="26"/>
      <c r="AX19" s="26"/>
      <c r="AY19" s="29"/>
      <c r="AZ19" s="28"/>
      <c r="BA19" s="26"/>
      <c r="BB19" s="26"/>
      <c r="BC19" s="29"/>
      <c r="BD19" s="28"/>
      <c r="BE19" s="26"/>
      <c r="BF19" s="26"/>
      <c r="BG19" s="29"/>
      <c r="BH19" s="28"/>
      <c r="BI19" s="26"/>
      <c r="BJ19" s="26"/>
      <c r="BK19" s="29"/>
      <c r="BL19" s="28"/>
      <c r="BM19" s="26"/>
      <c r="BN19" s="26"/>
      <c r="BO19" s="29"/>
      <c r="BP19" s="28"/>
      <c r="BQ19" s="26"/>
      <c r="BR19" s="26"/>
      <c r="BS19" s="29"/>
      <c r="BT19" s="28"/>
      <c r="BU19" s="26"/>
      <c r="BV19" s="26"/>
      <c r="BW19" s="29"/>
      <c r="BX19" s="28"/>
      <c r="BY19" s="26"/>
      <c r="BZ19" s="26"/>
      <c r="CA19" s="29"/>
      <c r="CB19" s="28"/>
      <c r="CC19" s="26"/>
      <c r="CD19" s="26"/>
      <c r="CE19" s="29"/>
      <c r="CF19" s="28"/>
      <c r="CG19" s="26"/>
      <c r="CH19" s="26"/>
      <c r="CI19" s="29"/>
      <c r="CJ19" s="28"/>
      <c r="CK19" s="26"/>
      <c r="CL19" s="26"/>
      <c r="CM19" s="29"/>
      <c r="CN19" s="28">
        <v>1</v>
      </c>
      <c r="CO19" s="26"/>
      <c r="CP19" s="26"/>
      <c r="CQ19" s="29"/>
      <c r="CR19" s="28"/>
      <c r="CS19" s="26"/>
      <c r="CT19" s="26"/>
      <c r="CU19" s="29"/>
      <c r="CV19" s="28"/>
      <c r="CW19" s="26"/>
      <c r="CX19" s="26"/>
      <c r="CY19" s="29"/>
      <c r="CZ19" s="28"/>
      <c r="DA19" s="26"/>
      <c r="DB19" s="26"/>
      <c r="DC19" s="29"/>
    </row>
    <row r="20" spans="1:107" x14ac:dyDescent="0.25">
      <c r="B20" s="158" t="s">
        <v>104</v>
      </c>
      <c r="C20" s="159"/>
      <c r="D20" s="159"/>
      <c r="E20" s="159"/>
      <c r="F20" s="159"/>
      <c r="G20" s="159"/>
      <c r="H20" s="28"/>
      <c r="I20" s="26"/>
      <c r="J20" s="26"/>
      <c r="K20" s="29"/>
      <c r="L20" s="28"/>
      <c r="M20" s="26"/>
      <c r="N20" s="26"/>
      <c r="O20" s="29"/>
      <c r="P20" s="28"/>
      <c r="Q20" s="26"/>
      <c r="R20" s="26"/>
      <c r="S20" s="29"/>
      <c r="T20" s="28"/>
      <c r="U20" s="26"/>
      <c r="V20" s="26"/>
      <c r="W20" s="29"/>
      <c r="X20" s="28"/>
      <c r="Y20" s="26"/>
      <c r="Z20" s="26"/>
      <c r="AA20" s="29"/>
      <c r="AB20" s="28">
        <v>3</v>
      </c>
      <c r="AC20" s="26"/>
      <c r="AD20" s="26"/>
      <c r="AE20" s="29"/>
      <c r="AF20" s="28"/>
      <c r="AG20" s="26"/>
      <c r="AH20" s="26"/>
      <c r="AI20" s="29"/>
      <c r="AJ20" s="28"/>
      <c r="AK20" s="26"/>
      <c r="AL20" s="26"/>
      <c r="AM20" s="29"/>
      <c r="AN20" s="28"/>
      <c r="AO20" s="26"/>
      <c r="AP20" s="26"/>
      <c r="AQ20" s="29"/>
      <c r="AR20" s="28"/>
      <c r="AS20" s="26"/>
      <c r="AT20" s="26"/>
      <c r="AU20" s="29"/>
      <c r="AV20" s="28"/>
      <c r="AW20" s="26"/>
      <c r="AX20" s="26"/>
      <c r="AY20" s="29"/>
      <c r="AZ20" s="28"/>
      <c r="BA20" s="26"/>
      <c r="BB20" s="26"/>
      <c r="BC20" s="29"/>
      <c r="BD20" s="28"/>
      <c r="BE20" s="26"/>
      <c r="BF20" s="26"/>
      <c r="BG20" s="29"/>
      <c r="BH20" s="28"/>
      <c r="BI20" s="26"/>
      <c r="BJ20" s="26"/>
      <c r="BK20" s="29"/>
      <c r="BL20" s="28"/>
      <c r="BM20" s="26"/>
      <c r="BN20" s="26"/>
      <c r="BO20" s="29"/>
      <c r="BP20" s="28"/>
      <c r="BQ20" s="26"/>
      <c r="BR20" s="26"/>
      <c r="BS20" s="29"/>
      <c r="BT20" s="28"/>
      <c r="BU20" s="26"/>
      <c r="BV20" s="26"/>
      <c r="BW20" s="29"/>
      <c r="BX20" s="28"/>
      <c r="BY20" s="26"/>
      <c r="BZ20" s="26"/>
      <c r="CA20" s="29"/>
      <c r="CB20" s="28">
        <v>3</v>
      </c>
      <c r="CC20" s="26"/>
      <c r="CD20" s="26"/>
      <c r="CE20" s="29"/>
      <c r="CF20" s="28"/>
      <c r="CG20" s="26"/>
      <c r="CH20" s="26"/>
      <c r="CI20" s="29"/>
      <c r="CJ20" s="28"/>
      <c r="CK20" s="26"/>
      <c r="CL20" s="26"/>
      <c r="CM20" s="29"/>
      <c r="CN20" s="28"/>
      <c r="CO20" s="26"/>
      <c r="CP20" s="26"/>
      <c r="CQ20" s="29"/>
      <c r="CR20" s="28"/>
      <c r="CS20" s="26"/>
      <c r="CT20" s="26"/>
      <c r="CU20" s="29"/>
      <c r="CV20" s="28"/>
      <c r="CW20" s="26"/>
      <c r="CX20" s="26"/>
      <c r="CY20" s="29"/>
      <c r="CZ20" s="28"/>
      <c r="DA20" s="26"/>
      <c r="DB20" s="26"/>
      <c r="DC20" s="29"/>
    </row>
    <row r="21" spans="1:107" ht="15.75" thickBot="1" x14ac:dyDescent="0.3">
      <c r="B21" s="161" t="s">
        <v>106</v>
      </c>
      <c r="C21" s="162"/>
      <c r="D21" s="162"/>
      <c r="E21" s="162"/>
      <c r="F21" s="162"/>
      <c r="G21" s="162"/>
      <c r="H21" s="30"/>
      <c r="I21" s="31"/>
      <c r="J21" s="31"/>
      <c r="K21" s="32"/>
      <c r="L21" s="30"/>
      <c r="M21" s="31"/>
      <c r="N21" s="31"/>
      <c r="O21" s="32"/>
      <c r="P21" s="30"/>
      <c r="Q21" s="31"/>
      <c r="R21" s="31"/>
      <c r="S21" s="32"/>
      <c r="T21" s="30"/>
      <c r="U21" s="31"/>
      <c r="V21" s="31"/>
      <c r="W21" s="32"/>
      <c r="X21" s="30"/>
      <c r="Y21" s="31"/>
      <c r="Z21" s="31"/>
      <c r="AA21" s="32"/>
      <c r="AB21" s="30"/>
      <c r="AC21" s="31"/>
      <c r="AD21" s="31"/>
      <c r="AE21" s="32"/>
      <c r="AF21" s="30"/>
      <c r="AG21" s="31"/>
      <c r="AH21" s="31"/>
      <c r="AI21" s="32"/>
      <c r="AJ21" s="30"/>
      <c r="AK21" s="31"/>
      <c r="AL21" s="31"/>
      <c r="AM21" s="32"/>
      <c r="AN21" s="30"/>
      <c r="AO21" s="31"/>
      <c r="AP21" s="31"/>
      <c r="AQ21" s="32"/>
      <c r="AR21" s="30"/>
      <c r="AS21" s="31"/>
      <c r="AT21" s="31"/>
      <c r="AU21" s="32"/>
      <c r="AV21" s="30"/>
      <c r="AW21" s="31"/>
      <c r="AX21" s="31"/>
      <c r="AY21" s="32"/>
      <c r="AZ21" s="30"/>
      <c r="BA21" s="31"/>
      <c r="BB21" s="31"/>
      <c r="BC21" s="32"/>
      <c r="BD21" s="30"/>
      <c r="BE21" s="31"/>
      <c r="BF21" s="31"/>
      <c r="BG21" s="32"/>
      <c r="BH21" s="30"/>
      <c r="BI21" s="31"/>
      <c r="BJ21" s="31"/>
      <c r="BK21" s="32"/>
      <c r="BL21" s="30"/>
      <c r="BM21" s="31"/>
      <c r="BN21" s="31"/>
      <c r="BO21" s="32"/>
      <c r="BP21" s="30"/>
      <c r="BQ21" s="31"/>
      <c r="BR21" s="31"/>
      <c r="BS21" s="32"/>
      <c r="BT21" s="30"/>
      <c r="BU21" s="31"/>
      <c r="BV21" s="31"/>
      <c r="BW21" s="32"/>
      <c r="BX21" s="30"/>
      <c r="BY21" s="31"/>
      <c r="BZ21" s="31"/>
      <c r="CA21" s="32"/>
      <c r="CB21" s="30"/>
      <c r="CC21" s="31"/>
      <c r="CD21" s="31"/>
      <c r="CE21" s="32"/>
      <c r="CF21" s="30"/>
      <c r="CG21" s="31"/>
      <c r="CH21" s="31"/>
      <c r="CI21" s="32"/>
      <c r="CJ21" s="30"/>
      <c r="CK21" s="31"/>
      <c r="CL21" s="31"/>
      <c r="CM21" s="32"/>
      <c r="CN21" s="30"/>
      <c r="CO21" s="31"/>
      <c r="CP21" s="31"/>
      <c r="CQ21" s="32"/>
      <c r="CR21" s="30"/>
      <c r="CS21" s="31"/>
      <c r="CT21" s="31"/>
      <c r="CU21" s="32"/>
      <c r="CV21" s="30"/>
      <c r="CW21" s="31"/>
      <c r="CX21" s="31"/>
      <c r="CY21" s="32"/>
      <c r="CZ21" s="30"/>
      <c r="DA21" s="31"/>
      <c r="DB21" s="31"/>
      <c r="DC21" s="32"/>
    </row>
    <row r="22" spans="1:107" x14ac:dyDescent="0.25">
      <c r="B22" s="3"/>
      <c r="C22" s="27"/>
      <c r="D22" s="23">
        <f>H22+L22+P22+T22+X22+AB22+AF22+AJ22+AN22+AR22+AV22+AZ22+BD22+BH22+BL22+BP22+BT22+BX22+CB22+CF22+CJ22+CN22+CR22+CV22+CZ22</f>
        <v>54</v>
      </c>
      <c r="E22" s="23">
        <f>I22+M22+Q22+U22+Y22+AC22+AG22+AK22+AO22+AS22+AW22+BA22+BE22+BI22+BM22+BQ22+BV22+BY22+CD22+CG22+CL22+CO22+CT22+CW22+DB22</f>
        <v>12</v>
      </c>
      <c r="F22" s="23">
        <f>J22+N22+R22+V22+Z22+AD22+AH22+AL22+AP22+AT22+AX22+BB22+BF22+BJ22+BN22+BT22+BX22+CB22+CF22+CJ22+CN22+CR22+CV22+CZ22</f>
        <v>14</v>
      </c>
      <c r="G22" s="23">
        <f>K22+O22+S22+W22+AA22+AE22+AI22+AM22+AQ22+AU22+AY22+BC22+BG22+BK22+BO22+BV22+BY22+CD22+CG22+CL22+CO22+CT22+CW22+DB22</f>
        <v>4</v>
      </c>
      <c r="H22" s="33">
        <f t="shared" ref="H22:AM22" si="4">SUM(H4:H21)</f>
        <v>4</v>
      </c>
      <c r="I22" s="34">
        <f t="shared" si="4"/>
        <v>0</v>
      </c>
      <c r="J22" s="107">
        <f t="shared" si="4"/>
        <v>0</v>
      </c>
      <c r="K22" s="108">
        <f t="shared" si="4"/>
        <v>0</v>
      </c>
      <c r="L22" s="33">
        <f t="shared" si="4"/>
        <v>5</v>
      </c>
      <c r="M22" s="34">
        <f t="shared" si="4"/>
        <v>1</v>
      </c>
      <c r="N22" s="34">
        <f t="shared" si="4"/>
        <v>1</v>
      </c>
      <c r="O22" s="35">
        <f t="shared" si="4"/>
        <v>0</v>
      </c>
      <c r="P22" s="33">
        <f t="shared" si="4"/>
        <v>1</v>
      </c>
      <c r="Q22" s="34">
        <f t="shared" si="4"/>
        <v>0</v>
      </c>
      <c r="R22" s="34">
        <f t="shared" si="4"/>
        <v>0</v>
      </c>
      <c r="S22" s="35">
        <f t="shared" si="4"/>
        <v>0</v>
      </c>
      <c r="T22" s="33">
        <f t="shared" si="4"/>
        <v>1</v>
      </c>
      <c r="U22" s="34">
        <f t="shared" si="4"/>
        <v>0</v>
      </c>
      <c r="V22" s="34">
        <f t="shared" si="4"/>
        <v>0</v>
      </c>
      <c r="W22" s="35">
        <f t="shared" si="4"/>
        <v>1</v>
      </c>
      <c r="X22" s="33">
        <f t="shared" si="4"/>
        <v>1</v>
      </c>
      <c r="Y22" s="34">
        <f t="shared" si="4"/>
        <v>1</v>
      </c>
      <c r="Z22" s="34">
        <f t="shared" si="4"/>
        <v>0</v>
      </c>
      <c r="AA22" s="35">
        <f t="shared" si="4"/>
        <v>0</v>
      </c>
      <c r="AB22" s="33">
        <f t="shared" si="4"/>
        <v>3</v>
      </c>
      <c r="AC22" s="34">
        <f t="shared" si="4"/>
        <v>0</v>
      </c>
      <c r="AD22" s="34">
        <f t="shared" si="4"/>
        <v>0</v>
      </c>
      <c r="AE22" s="35">
        <f t="shared" si="4"/>
        <v>0</v>
      </c>
      <c r="AF22" s="33">
        <f t="shared" si="4"/>
        <v>1</v>
      </c>
      <c r="AG22" s="34">
        <f t="shared" si="4"/>
        <v>0</v>
      </c>
      <c r="AH22" s="34">
        <f t="shared" si="4"/>
        <v>0</v>
      </c>
      <c r="AI22" s="35">
        <f t="shared" si="4"/>
        <v>0</v>
      </c>
      <c r="AJ22" s="33">
        <f t="shared" si="4"/>
        <v>3</v>
      </c>
      <c r="AK22" s="34">
        <f t="shared" si="4"/>
        <v>2</v>
      </c>
      <c r="AL22" s="34">
        <f t="shared" si="4"/>
        <v>0</v>
      </c>
      <c r="AM22" s="35">
        <f t="shared" si="4"/>
        <v>0</v>
      </c>
      <c r="AN22" s="33">
        <f t="shared" ref="AN22:BS22" si="5">SUM(AN4:AN21)</f>
        <v>3</v>
      </c>
      <c r="AO22" s="34">
        <f t="shared" si="5"/>
        <v>1</v>
      </c>
      <c r="AP22" s="34">
        <f t="shared" si="5"/>
        <v>0</v>
      </c>
      <c r="AQ22" s="35">
        <f t="shared" si="5"/>
        <v>0</v>
      </c>
      <c r="AR22" s="33">
        <f t="shared" si="5"/>
        <v>1</v>
      </c>
      <c r="AS22" s="34">
        <f t="shared" si="5"/>
        <v>2</v>
      </c>
      <c r="AT22" s="34">
        <f t="shared" si="5"/>
        <v>1</v>
      </c>
      <c r="AU22" s="35">
        <f t="shared" si="5"/>
        <v>0</v>
      </c>
      <c r="AV22" s="33">
        <f t="shared" si="5"/>
        <v>6</v>
      </c>
      <c r="AW22" s="34">
        <f t="shared" si="5"/>
        <v>1</v>
      </c>
      <c r="AX22" s="34">
        <f t="shared" si="5"/>
        <v>0</v>
      </c>
      <c r="AY22" s="35">
        <f t="shared" si="5"/>
        <v>0</v>
      </c>
      <c r="AZ22" s="33">
        <f t="shared" si="5"/>
        <v>2</v>
      </c>
      <c r="BA22" s="34">
        <f t="shared" si="5"/>
        <v>0</v>
      </c>
      <c r="BB22" s="34">
        <f t="shared" si="5"/>
        <v>0</v>
      </c>
      <c r="BC22" s="35">
        <f t="shared" si="5"/>
        <v>0</v>
      </c>
      <c r="BD22" s="33">
        <f t="shared" si="5"/>
        <v>1</v>
      </c>
      <c r="BE22" s="34">
        <f t="shared" si="5"/>
        <v>0</v>
      </c>
      <c r="BF22" s="34">
        <f t="shared" si="5"/>
        <v>0</v>
      </c>
      <c r="BG22" s="35">
        <f t="shared" si="5"/>
        <v>0</v>
      </c>
      <c r="BH22" s="33">
        <f t="shared" si="5"/>
        <v>5</v>
      </c>
      <c r="BI22" s="34">
        <f t="shared" si="5"/>
        <v>0</v>
      </c>
      <c r="BJ22" s="34">
        <f t="shared" si="5"/>
        <v>0</v>
      </c>
      <c r="BK22" s="35">
        <f t="shared" si="5"/>
        <v>0</v>
      </c>
      <c r="BL22" s="33">
        <f t="shared" si="5"/>
        <v>2</v>
      </c>
      <c r="BM22" s="34">
        <f t="shared" si="5"/>
        <v>1</v>
      </c>
      <c r="BN22" s="34">
        <f t="shared" si="5"/>
        <v>0</v>
      </c>
      <c r="BO22" s="35">
        <f t="shared" si="5"/>
        <v>0</v>
      </c>
      <c r="BP22" s="33">
        <f t="shared" si="5"/>
        <v>3</v>
      </c>
      <c r="BQ22" s="34">
        <f t="shared" si="5"/>
        <v>0</v>
      </c>
      <c r="BR22" s="34">
        <f t="shared" si="5"/>
        <v>0</v>
      </c>
      <c r="BS22" s="35">
        <f t="shared" si="5"/>
        <v>0</v>
      </c>
      <c r="BT22" s="33">
        <f t="shared" ref="BT22:BW22" si="6">SUM(BT4:BT21)</f>
        <v>3</v>
      </c>
      <c r="BU22" s="34">
        <f t="shared" si="6"/>
        <v>0</v>
      </c>
      <c r="BV22" s="34">
        <f t="shared" si="6"/>
        <v>0</v>
      </c>
      <c r="BW22" s="35">
        <f t="shared" si="6"/>
        <v>0</v>
      </c>
      <c r="BX22" s="33">
        <f t="shared" ref="BX22:DC22" si="7">SUM(BX4:BX21)</f>
        <v>3</v>
      </c>
      <c r="BY22" s="34">
        <f t="shared" si="7"/>
        <v>2</v>
      </c>
      <c r="BZ22" s="34">
        <f t="shared" si="7"/>
        <v>0</v>
      </c>
      <c r="CA22" s="35">
        <f t="shared" si="7"/>
        <v>0</v>
      </c>
      <c r="CB22" s="33">
        <f t="shared" si="7"/>
        <v>3</v>
      </c>
      <c r="CC22" s="34">
        <f t="shared" si="7"/>
        <v>0</v>
      </c>
      <c r="CD22" s="34">
        <f t="shared" si="7"/>
        <v>0</v>
      </c>
      <c r="CE22" s="35">
        <f t="shared" si="7"/>
        <v>0</v>
      </c>
      <c r="CF22" s="33">
        <f t="shared" si="7"/>
        <v>0</v>
      </c>
      <c r="CG22" s="34">
        <f t="shared" si="7"/>
        <v>0</v>
      </c>
      <c r="CH22" s="34">
        <f t="shared" si="7"/>
        <v>0</v>
      </c>
      <c r="CI22" s="35">
        <f t="shared" si="7"/>
        <v>0</v>
      </c>
      <c r="CJ22" s="33">
        <f t="shared" si="7"/>
        <v>0</v>
      </c>
      <c r="CK22" s="34">
        <f t="shared" si="7"/>
        <v>0</v>
      </c>
      <c r="CL22" s="34">
        <f t="shared" si="7"/>
        <v>0</v>
      </c>
      <c r="CM22" s="35">
        <f t="shared" si="7"/>
        <v>0</v>
      </c>
      <c r="CN22" s="33">
        <f t="shared" si="7"/>
        <v>3</v>
      </c>
      <c r="CO22" s="34">
        <f t="shared" si="7"/>
        <v>1</v>
      </c>
      <c r="CP22" s="34">
        <f t="shared" si="7"/>
        <v>0</v>
      </c>
      <c r="CQ22" s="35">
        <f t="shared" si="7"/>
        <v>0</v>
      </c>
      <c r="CR22" s="33">
        <f t="shared" si="7"/>
        <v>0</v>
      </c>
      <c r="CS22" s="34">
        <f t="shared" si="7"/>
        <v>0</v>
      </c>
      <c r="CT22" s="34">
        <f t="shared" si="7"/>
        <v>0</v>
      </c>
      <c r="CU22" s="35">
        <f t="shared" si="7"/>
        <v>0</v>
      </c>
      <c r="CV22" s="33">
        <f t="shared" si="7"/>
        <v>0</v>
      </c>
      <c r="CW22" s="34">
        <f t="shared" si="7"/>
        <v>0</v>
      </c>
      <c r="CX22" s="34">
        <f t="shared" si="7"/>
        <v>0</v>
      </c>
      <c r="CY22" s="35">
        <f t="shared" si="7"/>
        <v>0</v>
      </c>
      <c r="CZ22" s="33">
        <f t="shared" si="7"/>
        <v>0</v>
      </c>
      <c r="DA22" s="34">
        <f t="shared" si="7"/>
        <v>0</v>
      </c>
      <c r="DB22" s="34">
        <f t="shared" si="7"/>
        <v>0</v>
      </c>
      <c r="DC22" s="35">
        <f t="shared" si="7"/>
        <v>0</v>
      </c>
    </row>
    <row r="23" spans="1:107" ht="14.45" customHeight="1" x14ac:dyDescent="0.25">
      <c r="B23" s="3"/>
      <c r="C23" s="27"/>
      <c r="D23" s="148" t="s">
        <v>86</v>
      </c>
      <c r="E23" s="148" t="s">
        <v>97</v>
      </c>
      <c r="F23" s="148" t="s">
        <v>99</v>
      </c>
      <c r="G23" s="148" t="s">
        <v>98</v>
      </c>
      <c r="H23" s="145" t="s">
        <v>86</v>
      </c>
      <c r="I23" s="148" t="s">
        <v>97</v>
      </c>
      <c r="J23" s="148" t="s">
        <v>99</v>
      </c>
      <c r="K23" s="151" t="s">
        <v>98</v>
      </c>
      <c r="L23" s="145" t="s">
        <v>86</v>
      </c>
      <c r="M23" s="148" t="s">
        <v>97</v>
      </c>
      <c r="N23" s="148" t="s">
        <v>99</v>
      </c>
      <c r="O23" s="151" t="s">
        <v>98</v>
      </c>
      <c r="P23" s="145" t="s">
        <v>86</v>
      </c>
      <c r="Q23" s="148" t="s">
        <v>97</v>
      </c>
      <c r="R23" s="148" t="s">
        <v>99</v>
      </c>
      <c r="S23" s="151" t="s">
        <v>98</v>
      </c>
      <c r="T23" s="145" t="s">
        <v>86</v>
      </c>
      <c r="U23" s="148" t="s">
        <v>97</v>
      </c>
      <c r="V23" s="148" t="s">
        <v>99</v>
      </c>
      <c r="W23" s="151" t="s">
        <v>98</v>
      </c>
      <c r="X23" s="145" t="s">
        <v>86</v>
      </c>
      <c r="Y23" s="148" t="s">
        <v>97</v>
      </c>
      <c r="Z23" s="148" t="s">
        <v>99</v>
      </c>
      <c r="AA23" s="151" t="s">
        <v>98</v>
      </c>
      <c r="AB23" s="145" t="s">
        <v>86</v>
      </c>
      <c r="AC23" s="148" t="s">
        <v>97</v>
      </c>
      <c r="AD23" s="148" t="s">
        <v>99</v>
      </c>
      <c r="AE23" s="151" t="s">
        <v>98</v>
      </c>
      <c r="AF23" s="145" t="s">
        <v>86</v>
      </c>
      <c r="AG23" s="148" t="s">
        <v>97</v>
      </c>
      <c r="AH23" s="148" t="s">
        <v>99</v>
      </c>
      <c r="AI23" s="151" t="s">
        <v>98</v>
      </c>
      <c r="AJ23" s="145" t="s">
        <v>86</v>
      </c>
      <c r="AK23" s="148" t="s">
        <v>97</v>
      </c>
      <c r="AL23" s="148" t="s">
        <v>99</v>
      </c>
      <c r="AM23" s="151" t="s">
        <v>98</v>
      </c>
      <c r="AN23" s="145" t="s">
        <v>86</v>
      </c>
      <c r="AO23" s="148" t="s">
        <v>97</v>
      </c>
      <c r="AP23" s="148" t="s">
        <v>99</v>
      </c>
      <c r="AQ23" s="151" t="s">
        <v>98</v>
      </c>
      <c r="AR23" s="145" t="s">
        <v>86</v>
      </c>
      <c r="AS23" s="148" t="s">
        <v>97</v>
      </c>
      <c r="AT23" s="148" t="s">
        <v>99</v>
      </c>
      <c r="AU23" s="151" t="s">
        <v>98</v>
      </c>
      <c r="AV23" s="145" t="s">
        <v>86</v>
      </c>
      <c r="AW23" s="148" t="s">
        <v>97</v>
      </c>
      <c r="AX23" s="148" t="s">
        <v>99</v>
      </c>
      <c r="AY23" s="151" t="s">
        <v>98</v>
      </c>
      <c r="AZ23" s="145" t="s">
        <v>86</v>
      </c>
      <c r="BA23" s="148" t="s">
        <v>97</v>
      </c>
      <c r="BB23" s="148" t="s">
        <v>99</v>
      </c>
      <c r="BC23" s="151" t="s">
        <v>98</v>
      </c>
      <c r="BD23" s="145" t="s">
        <v>86</v>
      </c>
      <c r="BE23" s="148" t="s">
        <v>97</v>
      </c>
      <c r="BF23" s="148" t="s">
        <v>99</v>
      </c>
      <c r="BG23" s="151" t="s">
        <v>98</v>
      </c>
      <c r="BH23" s="145" t="s">
        <v>86</v>
      </c>
      <c r="BI23" s="148" t="s">
        <v>97</v>
      </c>
      <c r="BJ23" s="148" t="s">
        <v>99</v>
      </c>
      <c r="BK23" s="151" t="s">
        <v>98</v>
      </c>
      <c r="BL23" s="145" t="s">
        <v>86</v>
      </c>
      <c r="BM23" s="148" t="s">
        <v>97</v>
      </c>
      <c r="BN23" s="148" t="s">
        <v>99</v>
      </c>
      <c r="BO23" s="151" t="s">
        <v>98</v>
      </c>
      <c r="BP23" s="145" t="s">
        <v>86</v>
      </c>
      <c r="BQ23" s="148" t="s">
        <v>97</v>
      </c>
      <c r="BR23" s="148" t="s">
        <v>99</v>
      </c>
      <c r="BS23" s="151" t="s">
        <v>98</v>
      </c>
      <c r="BT23" s="145" t="s">
        <v>86</v>
      </c>
      <c r="BU23" s="148" t="s">
        <v>97</v>
      </c>
      <c r="BV23" s="148" t="s">
        <v>99</v>
      </c>
      <c r="BW23" s="151" t="s">
        <v>98</v>
      </c>
      <c r="BX23" s="145" t="s">
        <v>86</v>
      </c>
      <c r="BY23" s="148" t="s">
        <v>97</v>
      </c>
      <c r="BZ23" s="148" t="s">
        <v>99</v>
      </c>
      <c r="CA23" s="151" t="s">
        <v>98</v>
      </c>
      <c r="CB23" s="145" t="s">
        <v>86</v>
      </c>
      <c r="CC23" s="148" t="s">
        <v>97</v>
      </c>
      <c r="CD23" s="148" t="s">
        <v>99</v>
      </c>
      <c r="CE23" s="151" t="s">
        <v>98</v>
      </c>
      <c r="CF23" s="145" t="s">
        <v>86</v>
      </c>
      <c r="CG23" s="148" t="s">
        <v>97</v>
      </c>
      <c r="CH23" s="148" t="s">
        <v>99</v>
      </c>
      <c r="CI23" s="151" t="s">
        <v>98</v>
      </c>
      <c r="CJ23" s="145" t="s">
        <v>86</v>
      </c>
      <c r="CK23" s="148" t="s">
        <v>97</v>
      </c>
      <c r="CL23" s="148" t="s">
        <v>99</v>
      </c>
      <c r="CM23" s="151" t="s">
        <v>98</v>
      </c>
      <c r="CN23" s="145" t="s">
        <v>86</v>
      </c>
      <c r="CO23" s="148" t="s">
        <v>97</v>
      </c>
      <c r="CP23" s="148" t="s">
        <v>99</v>
      </c>
      <c r="CQ23" s="151" t="s">
        <v>98</v>
      </c>
      <c r="CR23" s="145" t="s">
        <v>86</v>
      </c>
      <c r="CS23" s="148" t="s">
        <v>97</v>
      </c>
      <c r="CT23" s="148" t="s">
        <v>99</v>
      </c>
      <c r="CU23" s="151" t="s">
        <v>98</v>
      </c>
      <c r="CV23" s="145" t="s">
        <v>86</v>
      </c>
      <c r="CW23" s="148" t="s">
        <v>97</v>
      </c>
      <c r="CX23" s="148" t="s">
        <v>99</v>
      </c>
      <c r="CY23" s="151" t="s">
        <v>98</v>
      </c>
      <c r="CZ23" s="145" t="s">
        <v>86</v>
      </c>
      <c r="DA23" s="148" t="s">
        <v>97</v>
      </c>
      <c r="DB23" s="148" t="s">
        <v>99</v>
      </c>
      <c r="DC23" s="151" t="s">
        <v>98</v>
      </c>
    </row>
    <row r="24" spans="1:107" x14ac:dyDescent="0.25">
      <c r="B24" s="3"/>
      <c r="C24" s="27"/>
      <c r="D24" s="149"/>
      <c r="E24" s="149"/>
      <c r="F24" s="149"/>
      <c r="G24" s="149"/>
      <c r="H24" s="146"/>
      <c r="I24" s="149"/>
      <c r="J24" s="149"/>
      <c r="K24" s="152"/>
      <c r="L24" s="146"/>
      <c r="M24" s="149"/>
      <c r="N24" s="149"/>
      <c r="O24" s="152"/>
      <c r="P24" s="146"/>
      <c r="Q24" s="149"/>
      <c r="R24" s="149"/>
      <c r="S24" s="152"/>
      <c r="T24" s="146"/>
      <c r="U24" s="149"/>
      <c r="V24" s="149"/>
      <c r="W24" s="152"/>
      <c r="X24" s="146"/>
      <c r="Y24" s="149"/>
      <c r="Z24" s="149"/>
      <c r="AA24" s="152"/>
      <c r="AB24" s="146"/>
      <c r="AC24" s="149"/>
      <c r="AD24" s="149"/>
      <c r="AE24" s="152"/>
      <c r="AF24" s="146"/>
      <c r="AG24" s="149"/>
      <c r="AH24" s="149"/>
      <c r="AI24" s="152"/>
      <c r="AJ24" s="146"/>
      <c r="AK24" s="149"/>
      <c r="AL24" s="149"/>
      <c r="AM24" s="152"/>
      <c r="AN24" s="146"/>
      <c r="AO24" s="149"/>
      <c r="AP24" s="149"/>
      <c r="AQ24" s="152"/>
      <c r="AR24" s="146"/>
      <c r="AS24" s="149"/>
      <c r="AT24" s="149"/>
      <c r="AU24" s="152"/>
      <c r="AV24" s="146"/>
      <c r="AW24" s="149"/>
      <c r="AX24" s="149"/>
      <c r="AY24" s="152"/>
      <c r="AZ24" s="146"/>
      <c r="BA24" s="149"/>
      <c r="BB24" s="149"/>
      <c r="BC24" s="152"/>
      <c r="BD24" s="146"/>
      <c r="BE24" s="149"/>
      <c r="BF24" s="149"/>
      <c r="BG24" s="152"/>
      <c r="BH24" s="146"/>
      <c r="BI24" s="149"/>
      <c r="BJ24" s="149"/>
      <c r="BK24" s="152"/>
      <c r="BL24" s="146"/>
      <c r="BM24" s="149"/>
      <c r="BN24" s="149"/>
      <c r="BO24" s="152"/>
      <c r="BP24" s="146"/>
      <c r="BQ24" s="149"/>
      <c r="BR24" s="149"/>
      <c r="BS24" s="152"/>
      <c r="BT24" s="146"/>
      <c r="BU24" s="149"/>
      <c r="BV24" s="149"/>
      <c r="BW24" s="152"/>
      <c r="BX24" s="146"/>
      <c r="BY24" s="149"/>
      <c r="BZ24" s="149"/>
      <c r="CA24" s="152"/>
      <c r="CB24" s="146"/>
      <c r="CC24" s="149"/>
      <c r="CD24" s="149"/>
      <c r="CE24" s="152"/>
      <c r="CF24" s="146"/>
      <c r="CG24" s="149"/>
      <c r="CH24" s="149"/>
      <c r="CI24" s="152"/>
      <c r="CJ24" s="146"/>
      <c r="CK24" s="149"/>
      <c r="CL24" s="149"/>
      <c r="CM24" s="152"/>
      <c r="CN24" s="146"/>
      <c r="CO24" s="149"/>
      <c r="CP24" s="149"/>
      <c r="CQ24" s="152"/>
      <c r="CR24" s="146"/>
      <c r="CS24" s="149"/>
      <c r="CT24" s="149"/>
      <c r="CU24" s="152"/>
      <c r="CV24" s="146"/>
      <c r="CW24" s="149"/>
      <c r="CX24" s="149"/>
      <c r="CY24" s="152"/>
      <c r="CZ24" s="146"/>
      <c r="DA24" s="149"/>
      <c r="DB24" s="149"/>
      <c r="DC24" s="152"/>
    </row>
    <row r="25" spans="1:107" x14ac:dyDescent="0.25">
      <c r="D25" s="149"/>
      <c r="E25" s="149"/>
      <c r="F25" s="149"/>
      <c r="G25" s="149"/>
      <c r="H25" s="146"/>
      <c r="I25" s="149"/>
      <c r="J25" s="149"/>
      <c r="K25" s="152"/>
      <c r="L25" s="146"/>
      <c r="M25" s="149"/>
      <c r="N25" s="149"/>
      <c r="O25" s="152"/>
      <c r="P25" s="146"/>
      <c r="Q25" s="149"/>
      <c r="R25" s="149"/>
      <c r="S25" s="152"/>
      <c r="T25" s="146"/>
      <c r="U25" s="149"/>
      <c r="V25" s="149"/>
      <c r="W25" s="152"/>
      <c r="X25" s="146"/>
      <c r="Y25" s="149"/>
      <c r="Z25" s="149"/>
      <c r="AA25" s="152"/>
      <c r="AB25" s="146"/>
      <c r="AC25" s="149"/>
      <c r="AD25" s="149"/>
      <c r="AE25" s="152"/>
      <c r="AF25" s="146"/>
      <c r="AG25" s="149"/>
      <c r="AH25" s="149"/>
      <c r="AI25" s="152"/>
      <c r="AJ25" s="146"/>
      <c r="AK25" s="149"/>
      <c r="AL25" s="149"/>
      <c r="AM25" s="152"/>
      <c r="AN25" s="146"/>
      <c r="AO25" s="149"/>
      <c r="AP25" s="149"/>
      <c r="AQ25" s="152"/>
      <c r="AR25" s="146"/>
      <c r="AS25" s="149"/>
      <c r="AT25" s="149"/>
      <c r="AU25" s="152"/>
      <c r="AV25" s="146"/>
      <c r="AW25" s="149"/>
      <c r="AX25" s="149"/>
      <c r="AY25" s="152"/>
      <c r="AZ25" s="146"/>
      <c r="BA25" s="149"/>
      <c r="BB25" s="149"/>
      <c r="BC25" s="152"/>
      <c r="BD25" s="146"/>
      <c r="BE25" s="149"/>
      <c r="BF25" s="149"/>
      <c r="BG25" s="152"/>
      <c r="BH25" s="146"/>
      <c r="BI25" s="149"/>
      <c r="BJ25" s="149"/>
      <c r="BK25" s="152"/>
      <c r="BL25" s="146"/>
      <c r="BM25" s="149"/>
      <c r="BN25" s="149"/>
      <c r="BO25" s="152"/>
      <c r="BP25" s="146"/>
      <c r="BQ25" s="149"/>
      <c r="BR25" s="149"/>
      <c r="BS25" s="152"/>
      <c r="BT25" s="146"/>
      <c r="BU25" s="149"/>
      <c r="BV25" s="149"/>
      <c r="BW25" s="152"/>
      <c r="BX25" s="146"/>
      <c r="BY25" s="149"/>
      <c r="BZ25" s="149"/>
      <c r="CA25" s="152"/>
      <c r="CB25" s="146"/>
      <c r="CC25" s="149"/>
      <c r="CD25" s="149"/>
      <c r="CE25" s="152"/>
      <c r="CF25" s="146"/>
      <c r="CG25" s="149"/>
      <c r="CH25" s="149"/>
      <c r="CI25" s="152"/>
      <c r="CJ25" s="146"/>
      <c r="CK25" s="149"/>
      <c r="CL25" s="149"/>
      <c r="CM25" s="152"/>
      <c r="CN25" s="146"/>
      <c r="CO25" s="149"/>
      <c r="CP25" s="149"/>
      <c r="CQ25" s="152"/>
      <c r="CR25" s="146"/>
      <c r="CS25" s="149"/>
      <c r="CT25" s="149"/>
      <c r="CU25" s="152"/>
      <c r="CV25" s="146"/>
      <c r="CW25" s="149"/>
      <c r="CX25" s="149"/>
      <c r="CY25" s="152"/>
      <c r="CZ25" s="146"/>
      <c r="DA25" s="149"/>
      <c r="DB25" s="149"/>
      <c r="DC25" s="152"/>
    </row>
    <row r="26" spans="1:107" ht="15.75" thickBot="1" x14ac:dyDescent="0.3">
      <c r="D26" s="149"/>
      <c r="E26" s="149"/>
      <c r="F26" s="149"/>
      <c r="G26" s="149"/>
      <c r="H26" s="147"/>
      <c r="I26" s="150"/>
      <c r="J26" s="150"/>
      <c r="K26" s="153"/>
      <c r="L26" s="147"/>
      <c r="M26" s="150"/>
      <c r="N26" s="150"/>
      <c r="O26" s="153"/>
      <c r="P26" s="147"/>
      <c r="Q26" s="150"/>
      <c r="R26" s="150"/>
      <c r="S26" s="153"/>
      <c r="T26" s="147"/>
      <c r="U26" s="150"/>
      <c r="V26" s="150"/>
      <c r="W26" s="153"/>
      <c r="X26" s="147"/>
      <c r="Y26" s="150"/>
      <c r="Z26" s="150"/>
      <c r="AA26" s="153"/>
      <c r="AB26" s="147"/>
      <c r="AC26" s="150"/>
      <c r="AD26" s="150"/>
      <c r="AE26" s="153"/>
      <c r="AF26" s="147"/>
      <c r="AG26" s="150"/>
      <c r="AH26" s="150"/>
      <c r="AI26" s="153"/>
      <c r="AJ26" s="147"/>
      <c r="AK26" s="150"/>
      <c r="AL26" s="150"/>
      <c r="AM26" s="153"/>
      <c r="AN26" s="147"/>
      <c r="AO26" s="150"/>
      <c r="AP26" s="150"/>
      <c r="AQ26" s="153"/>
      <c r="AR26" s="147"/>
      <c r="AS26" s="150"/>
      <c r="AT26" s="150"/>
      <c r="AU26" s="153"/>
      <c r="AV26" s="147"/>
      <c r="AW26" s="150"/>
      <c r="AX26" s="150"/>
      <c r="AY26" s="153"/>
      <c r="AZ26" s="147"/>
      <c r="BA26" s="150"/>
      <c r="BB26" s="150"/>
      <c r="BC26" s="153"/>
      <c r="BD26" s="147"/>
      <c r="BE26" s="150"/>
      <c r="BF26" s="150"/>
      <c r="BG26" s="153"/>
      <c r="BH26" s="147"/>
      <c r="BI26" s="150"/>
      <c r="BJ26" s="150"/>
      <c r="BK26" s="153"/>
      <c r="BL26" s="147"/>
      <c r="BM26" s="150"/>
      <c r="BN26" s="150"/>
      <c r="BO26" s="153"/>
      <c r="BP26" s="147"/>
      <c r="BQ26" s="150"/>
      <c r="BR26" s="150"/>
      <c r="BS26" s="153"/>
      <c r="BT26" s="147"/>
      <c r="BU26" s="150"/>
      <c r="BV26" s="150"/>
      <c r="BW26" s="153"/>
      <c r="BX26" s="147"/>
      <c r="BY26" s="150"/>
      <c r="BZ26" s="150"/>
      <c r="CA26" s="153"/>
      <c r="CB26" s="147"/>
      <c r="CC26" s="150"/>
      <c r="CD26" s="150"/>
      <c r="CE26" s="153"/>
      <c r="CF26" s="147"/>
      <c r="CG26" s="150"/>
      <c r="CH26" s="150"/>
      <c r="CI26" s="153"/>
      <c r="CJ26" s="147"/>
      <c r="CK26" s="150"/>
      <c r="CL26" s="150"/>
      <c r="CM26" s="153"/>
      <c r="CN26" s="147"/>
      <c r="CO26" s="150"/>
      <c r="CP26" s="150"/>
      <c r="CQ26" s="153"/>
      <c r="CR26" s="147"/>
      <c r="CS26" s="150"/>
      <c r="CT26" s="150"/>
      <c r="CU26" s="153"/>
      <c r="CV26" s="147"/>
      <c r="CW26" s="150"/>
      <c r="CX26" s="150"/>
      <c r="CY26" s="153"/>
      <c r="CZ26" s="147"/>
      <c r="DA26" s="150"/>
      <c r="DB26" s="150"/>
      <c r="DC26" s="153"/>
    </row>
  </sheetData>
  <mergeCells count="199">
    <mergeCell ref="AR1:AU1"/>
    <mergeCell ref="AV1:AY1"/>
    <mergeCell ref="CV1:CY1"/>
    <mergeCell ref="CZ1:DC1"/>
    <mergeCell ref="BX1:CA1"/>
    <mergeCell ref="CB1:CE1"/>
    <mergeCell ref="CF1:CI1"/>
    <mergeCell ref="CJ1:CM1"/>
    <mergeCell ref="CN1:CQ1"/>
    <mergeCell ref="CR1:CU1"/>
    <mergeCell ref="AZ1:BC1"/>
    <mergeCell ref="BD1:BG1"/>
    <mergeCell ref="BH1:BK1"/>
    <mergeCell ref="BL1:BO1"/>
    <mergeCell ref="BP1:BS1"/>
    <mergeCell ref="BT1:BW1"/>
    <mergeCell ref="AV3:AY3"/>
    <mergeCell ref="AZ3:BC3"/>
    <mergeCell ref="BD3:BG3"/>
    <mergeCell ref="BH3:BK3"/>
    <mergeCell ref="BL3:BO3"/>
    <mergeCell ref="A1:C3"/>
    <mergeCell ref="H1:K1"/>
    <mergeCell ref="L1:O1"/>
    <mergeCell ref="H3:K3"/>
    <mergeCell ref="L3:O3"/>
    <mergeCell ref="P3:S3"/>
    <mergeCell ref="T3:W3"/>
    <mergeCell ref="X3:AA3"/>
    <mergeCell ref="AB3:AE3"/>
    <mergeCell ref="AF3:AI3"/>
    <mergeCell ref="AJ3:AM3"/>
    <mergeCell ref="AN3:AQ3"/>
    <mergeCell ref="P1:S1"/>
    <mergeCell ref="T1:W1"/>
    <mergeCell ref="X1:AA1"/>
    <mergeCell ref="AB1:AE1"/>
    <mergeCell ref="AF1:AI1"/>
    <mergeCell ref="AJ1:AM1"/>
    <mergeCell ref="AN1:AQ1"/>
    <mergeCell ref="B10:C10"/>
    <mergeCell ref="B11:C11"/>
    <mergeCell ref="B12:C12"/>
    <mergeCell ref="B13:C13"/>
    <mergeCell ref="B14:C14"/>
    <mergeCell ref="B15:C15"/>
    <mergeCell ref="CV3:CY3"/>
    <mergeCell ref="CZ3:DC3"/>
    <mergeCell ref="A4:A18"/>
    <mergeCell ref="B4:C4"/>
    <mergeCell ref="B5:C5"/>
    <mergeCell ref="B6:C6"/>
    <mergeCell ref="B7:C7"/>
    <mergeCell ref="B8:C8"/>
    <mergeCell ref="B9:C9"/>
    <mergeCell ref="CN3:CQ3"/>
    <mergeCell ref="CR3:CU3"/>
    <mergeCell ref="BP3:BS3"/>
    <mergeCell ref="BT3:BW3"/>
    <mergeCell ref="BX3:CA3"/>
    <mergeCell ref="CB3:CE3"/>
    <mergeCell ref="CF3:CI3"/>
    <mergeCell ref="CJ3:CM3"/>
    <mergeCell ref="AR3:AU3"/>
    <mergeCell ref="H23:H26"/>
    <mergeCell ref="I23:I26"/>
    <mergeCell ref="J23:J26"/>
    <mergeCell ref="K23:K26"/>
    <mergeCell ref="L23:L26"/>
    <mergeCell ref="M23:M26"/>
    <mergeCell ref="B16:C16"/>
    <mergeCell ref="B18:C18"/>
    <mergeCell ref="B19:G19"/>
    <mergeCell ref="B20:G20"/>
    <mergeCell ref="B21:G21"/>
    <mergeCell ref="D23:D26"/>
    <mergeCell ref="E23:E26"/>
    <mergeCell ref="F23:F26"/>
    <mergeCell ref="G23:G26"/>
    <mergeCell ref="B17:C17"/>
    <mergeCell ref="T23:T26"/>
    <mergeCell ref="U23:U26"/>
    <mergeCell ref="V23:V26"/>
    <mergeCell ref="W23:W26"/>
    <mergeCell ref="X23:X26"/>
    <mergeCell ref="Y23:Y26"/>
    <mergeCell ref="N23:N26"/>
    <mergeCell ref="O23:O26"/>
    <mergeCell ref="P23:P26"/>
    <mergeCell ref="Q23:Q26"/>
    <mergeCell ref="R23:R26"/>
    <mergeCell ref="S23:S26"/>
    <mergeCell ref="AF23:AF26"/>
    <mergeCell ref="AG23:AG26"/>
    <mergeCell ref="AH23:AH26"/>
    <mergeCell ref="AI23:AI26"/>
    <mergeCell ref="AJ23:AJ26"/>
    <mergeCell ref="AK23:AK26"/>
    <mergeCell ref="Z23:Z26"/>
    <mergeCell ref="AA23:AA26"/>
    <mergeCell ref="AB23:AB26"/>
    <mergeCell ref="AC23:AC26"/>
    <mergeCell ref="AD23:AD26"/>
    <mergeCell ref="AE23:AE26"/>
    <mergeCell ref="AR23:AR26"/>
    <mergeCell ref="AS23:AS26"/>
    <mergeCell ref="AT23:AT26"/>
    <mergeCell ref="AU23:AU26"/>
    <mergeCell ref="AV23:AV26"/>
    <mergeCell ref="AW23:AW26"/>
    <mergeCell ref="AL23:AL26"/>
    <mergeCell ref="AM23:AM26"/>
    <mergeCell ref="AN23:AN26"/>
    <mergeCell ref="AO23:AO26"/>
    <mergeCell ref="AP23:AP26"/>
    <mergeCell ref="AQ23:AQ26"/>
    <mergeCell ref="BD23:BD26"/>
    <mergeCell ref="BE23:BE26"/>
    <mergeCell ref="BF23:BF26"/>
    <mergeCell ref="BG23:BG26"/>
    <mergeCell ref="BH23:BH26"/>
    <mergeCell ref="BI23:BI26"/>
    <mergeCell ref="AX23:AX26"/>
    <mergeCell ref="AY23:AY26"/>
    <mergeCell ref="AZ23:AZ26"/>
    <mergeCell ref="BA23:BA26"/>
    <mergeCell ref="BB23:BB26"/>
    <mergeCell ref="BC23:BC26"/>
    <mergeCell ref="BP23:BP26"/>
    <mergeCell ref="BQ23:BQ26"/>
    <mergeCell ref="BR23:BR26"/>
    <mergeCell ref="BS23:BS26"/>
    <mergeCell ref="BT23:BT26"/>
    <mergeCell ref="BU23:BU26"/>
    <mergeCell ref="BJ23:BJ26"/>
    <mergeCell ref="BK23:BK26"/>
    <mergeCell ref="BL23:BL26"/>
    <mergeCell ref="BM23:BM26"/>
    <mergeCell ref="BN23:BN26"/>
    <mergeCell ref="BO23:BO26"/>
    <mergeCell ref="CB23:CB26"/>
    <mergeCell ref="CC23:CC26"/>
    <mergeCell ref="CD23:CD26"/>
    <mergeCell ref="CE23:CE26"/>
    <mergeCell ref="CF23:CF26"/>
    <mergeCell ref="CG23:CG26"/>
    <mergeCell ref="BV23:BV26"/>
    <mergeCell ref="BW23:BW26"/>
    <mergeCell ref="BX23:BX26"/>
    <mergeCell ref="BY23:BY26"/>
    <mergeCell ref="BZ23:BZ26"/>
    <mergeCell ref="CA23:CA26"/>
    <mergeCell ref="CN23:CN26"/>
    <mergeCell ref="CO23:CO26"/>
    <mergeCell ref="CP23:CP26"/>
    <mergeCell ref="CQ23:CQ26"/>
    <mergeCell ref="CR23:CR26"/>
    <mergeCell ref="CS23:CS26"/>
    <mergeCell ref="CH23:CH26"/>
    <mergeCell ref="CI23:CI26"/>
    <mergeCell ref="CJ23:CJ26"/>
    <mergeCell ref="CK23:CK26"/>
    <mergeCell ref="CL23:CL26"/>
    <mergeCell ref="CM23:CM26"/>
    <mergeCell ref="CZ23:CZ26"/>
    <mergeCell ref="DA23:DA26"/>
    <mergeCell ref="DB23:DB26"/>
    <mergeCell ref="DC23:DC26"/>
    <mergeCell ref="CT23:CT26"/>
    <mergeCell ref="CU23:CU26"/>
    <mergeCell ref="CV23:CV26"/>
    <mergeCell ref="CW23:CW26"/>
    <mergeCell ref="CX23:CX26"/>
    <mergeCell ref="CY23:CY26"/>
    <mergeCell ref="D2:G2"/>
    <mergeCell ref="H2:K2"/>
    <mergeCell ref="L2:O2"/>
    <mergeCell ref="P2:S2"/>
    <mergeCell ref="T2:W2"/>
    <mergeCell ref="X2:AA2"/>
    <mergeCell ref="AB2:AE2"/>
    <mergeCell ref="AF2:AI2"/>
    <mergeCell ref="AJ2:AM2"/>
    <mergeCell ref="BX2:CA2"/>
    <mergeCell ref="CB2:CE2"/>
    <mergeCell ref="CF2:CI2"/>
    <mergeCell ref="CJ2:CM2"/>
    <mergeCell ref="CN2:CQ2"/>
    <mergeCell ref="CR2:CU2"/>
    <mergeCell ref="CV2:CY2"/>
    <mergeCell ref="AN2:AQ2"/>
    <mergeCell ref="AR2:AU2"/>
    <mergeCell ref="AV2:AY2"/>
    <mergeCell ref="AZ2:BC2"/>
    <mergeCell ref="BD2:BG2"/>
    <mergeCell ref="BH2:BK2"/>
    <mergeCell ref="BL2:BO2"/>
    <mergeCell ref="BP2:BS2"/>
    <mergeCell ref="BT2:BW2"/>
  </mergeCells>
  <hyperlinks>
    <hyperlink ref="A1:C3" location="Equipos!A1" display="Equipos!A1" xr:uid="{00000000-0004-0000-1100-000000000000}"/>
    <hyperlink ref="A4:A18" location="Jugadores!A1" display="Jugador" xr:uid="{F6FFFCC6-69AE-494A-8508-2FEFE9C0060B}"/>
  </hyperlinks>
  <pageMargins left="0.7" right="0.7" top="0.75" bottom="0.75" header="0.3" footer="0.3"/>
  <pageSetup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C26"/>
  <sheetViews>
    <sheetView view="pageBreakPreview" zoomScale="90" zoomScaleNormal="90" zoomScaleSheetLayoutView="90" workbookViewId="0">
      <pane xSplit="7" ySplit="3" topLeftCell="H4" activePane="bottomRight" state="frozen"/>
      <selection pane="topRight" activeCell="H1" sqref="H1"/>
      <selection pane="bottomLeft" activeCell="A3" sqref="A3"/>
      <selection pane="bottomRight" sqref="A1:C3"/>
    </sheetView>
  </sheetViews>
  <sheetFormatPr baseColWidth="10" defaultColWidth="11.42578125" defaultRowHeight="15" x14ac:dyDescent="0.25"/>
  <cols>
    <col min="1" max="1" width="4.85546875" customWidth="1"/>
    <col min="2" max="2" width="9.42578125" customWidth="1"/>
    <col min="3" max="3" width="11.5703125" style="3" customWidth="1"/>
    <col min="4" max="7" width="4.28515625" style="3" customWidth="1"/>
    <col min="8" max="8" width="3" style="3" customWidth="1"/>
    <col min="9" max="9" width="2.85546875" style="3" customWidth="1"/>
    <col min="10" max="11" width="2.7109375" style="3" customWidth="1"/>
    <col min="12" max="12" width="3.140625" style="3" customWidth="1"/>
    <col min="13" max="15" width="2.7109375" style="3" customWidth="1"/>
    <col min="16" max="16" width="3.140625" style="3" customWidth="1"/>
    <col min="17" max="107" width="2.7109375" style="3" customWidth="1"/>
    <col min="108" max="16384" width="11.42578125" style="3"/>
  </cols>
  <sheetData>
    <row r="1" spans="1:107" ht="13.9" customHeight="1" x14ac:dyDescent="0.25">
      <c r="A1" s="195" t="str">
        <f>Equipos!B14</f>
        <v>Rayos FC</v>
      </c>
      <c r="B1" s="195"/>
      <c r="C1" s="195"/>
      <c r="H1" s="172" t="s">
        <v>5</v>
      </c>
      <c r="I1" s="173"/>
      <c r="J1" s="173"/>
      <c r="K1" s="174"/>
      <c r="L1" s="172" t="s">
        <v>6</v>
      </c>
      <c r="M1" s="173"/>
      <c r="N1" s="173"/>
      <c r="O1" s="174"/>
      <c r="P1" s="172" t="s">
        <v>7</v>
      </c>
      <c r="Q1" s="173"/>
      <c r="R1" s="173"/>
      <c r="S1" s="174"/>
      <c r="T1" s="172" t="s">
        <v>8</v>
      </c>
      <c r="U1" s="173"/>
      <c r="V1" s="173"/>
      <c r="W1" s="174"/>
      <c r="X1" s="172" t="s">
        <v>9</v>
      </c>
      <c r="Y1" s="173"/>
      <c r="Z1" s="173"/>
      <c r="AA1" s="174"/>
      <c r="AB1" s="172" t="s">
        <v>10</v>
      </c>
      <c r="AC1" s="173"/>
      <c r="AD1" s="173"/>
      <c r="AE1" s="174"/>
      <c r="AF1" s="172" t="s">
        <v>11</v>
      </c>
      <c r="AG1" s="173"/>
      <c r="AH1" s="173"/>
      <c r="AI1" s="174"/>
      <c r="AJ1" s="172" t="s">
        <v>12</v>
      </c>
      <c r="AK1" s="173"/>
      <c r="AL1" s="173"/>
      <c r="AM1" s="174"/>
      <c r="AN1" s="172" t="s">
        <v>13</v>
      </c>
      <c r="AO1" s="173"/>
      <c r="AP1" s="173"/>
      <c r="AQ1" s="174"/>
      <c r="AR1" s="172" t="s">
        <v>14</v>
      </c>
      <c r="AS1" s="173"/>
      <c r="AT1" s="173"/>
      <c r="AU1" s="174"/>
      <c r="AV1" s="172" t="s">
        <v>15</v>
      </c>
      <c r="AW1" s="173"/>
      <c r="AX1" s="173"/>
      <c r="AY1" s="174"/>
      <c r="AZ1" s="172" t="s">
        <v>16</v>
      </c>
      <c r="BA1" s="173"/>
      <c r="BB1" s="173"/>
      <c r="BC1" s="174"/>
      <c r="BD1" s="172" t="s">
        <v>17</v>
      </c>
      <c r="BE1" s="173"/>
      <c r="BF1" s="173"/>
      <c r="BG1" s="174"/>
      <c r="BH1" s="172" t="s">
        <v>18</v>
      </c>
      <c r="BI1" s="173"/>
      <c r="BJ1" s="173"/>
      <c r="BK1" s="174"/>
      <c r="BL1" s="172" t="s">
        <v>19</v>
      </c>
      <c r="BM1" s="173"/>
      <c r="BN1" s="173"/>
      <c r="BO1" s="174"/>
      <c r="BP1" s="172" t="s">
        <v>20</v>
      </c>
      <c r="BQ1" s="173"/>
      <c r="BR1" s="173"/>
      <c r="BS1" s="174"/>
      <c r="BT1" s="172" t="s">
        <v>51</v>
      </c>
      <c r="BU1" s="173"/>
      <c r="BV1" s="173"/>
      <c r="BW1" s="174"/>
      <c r="BX1" s="172" t="s">
        <v>81</v>
      </c>
      <c r="BY1" s="173"/>
      <c r="BZ1" s="173"/>
      <c r="CA1" s="174"/>
      <c r="CB1" s="172" t="s">
        <v>83</v>
      </c>
      <c r="CC1" s="173"/>
      <c r="CD1" s="173"/>
      <c r="CE1" s="174"/>
      <c r="CF1" s="172" t="s">
        <v>84</v>
      </c>
      <c r="CG1" s="173"/>
      <c r="CH1" s="173"/>
      <c r="CI1" s="174"/>
      <c r="CJ1" s="172" t="s">
        <v>85</v>
      </c>
      <c r="CK1" s="173"/>
      <c r="CL1" s="173"/>
      <c r="CM1" s="174"/>
      <c r="CN1" s="172" t="s">
        <v>93</v>
      </c>
      <c r="CO1" s="173"/>
      <c r="CP1" s="173"/>
      <c r="CQ1" s="174"/>
      <c r="CR1" s="172" t="s">
        <v>94</v>
      </c>
      <c r="CS1" s="173"/>
      <c r="CT1" s="173"/>
      <c r="CU1" s="174"/>
      <c r="CV1" s="172" t="s">
        <v>95</v>
      </c>
      <c r="CW1" s="173"/>
      <c r="CX1" s="173"/>
      <c r="CY1" s="174"/>
      <c r="CZ1" s="172" t="s">
        <v>96</v>
      </c>
      <c r="DA1" s="173"/>
      <c r="DB1" s="173"/>
      <c r="DC1" s="174"/>
    </row>
    <row r="2" spans="1:107" ht="13.9" customHeight="1" x14ac:dyDescent="0.25">
      <c r="A2" s="195"/>
      <c r="B2" s="195"/>
      <c r="C2" s="195"/>
      <c r="D2" s="143" t="s">
        <v>272</v>
      </c>
      <c r="E2" s="143"/>
      <c r="F2" s="143"/>
      <c r="G2" s="144"/>
      <c r="H2" s="140" t="str">
        <f>+_xlfn.XLOOKUP($A$1,Fixture!$D$2:$D$9,Fixture!$F$2:$F$9,_xlfn.XLOOKUP($A$1,Fixture!$F$2:$F$9,Fixture!$D$2:$D$9,"Descansa",FALSE))</f>
        <v>Ron Star</v>
      </c>
      <c r="I2" s="141"/>
      <c r="J2" s="141"/>
      <c r="K2" s="142"/>
      <c r="L2" s="140" t="str">
        <f>+_xlfn.XLOOKUP($A$1,Fixture!$D$10:$D$17,Fixture!$F$10:$F$17,_xlfn.XLOOKUP($A$1,Fixture!$F$10:$F$17,Fixture!$D$10:$D$17,"Descansa",FALSE))</f>
        <v>Amenadim</v>
      </c>
      <c r="M2" s="141"/>
      <c r="N2" s="141"/>
      <c r="O2" s="142"/>
      <c r="P2" s="175" t="str">
        <f>+_xlfn.XLOOKUP($A$1,Fixture!$D$18:$D$25,Fixture!$F$18:$F$25,_xlfn.XLOOKUP($A$1,Fixture!$F$18:$F$25,Fixture!$D$18:$D$25,"Descansa",FALSE))</f>
        <v>Konami</v>
      </c>
      <c r="Q2" s="176"/>
      <c r="R2" s="176"/>
      <c r="S2" s="177"/>
      <c r="T2" s="140" t="str">
        <f>+_xlfn.XLOOKUP($A$1,Fixture!$D$26:$D$33,Fixture!$F$26:$F$33,_xlfn.XLOOKUP($A$1,Fixture!$F$26:$F$33,Fixture!$D$26:$D$33,"Descansa",FALSE))</f>
        <v>Los Aliados</v>
      </c>
      <c r="U2" s="141"/>
      <c r="V2" s="141"/>
      <c r="W2" s="142"/>
      <c r="X2" s="140" t="str">
        <f>+_xlfn.XLOOKUP($A$1,Fixture!$D$34:$D$41,Fixture!$F$34:$F$41,_xlfn.XLOOKUP($A$1,Fixture!$F$34:$F$41,Fixture!$D$34:$D$41,"Descansa",FALSE))</f>
        <v>Boca Juniors</v>
      </c>
      <c r="Y2" s="141"/>
      <c r="Z2" s="141"/>
      <c r="AA2" s="142"/>
      <c r="AB2" s="140" t="str">
        <f>+_xlfn.XLOOKUP($A$1,Fixture!$D$42:$D$49,Fixture!$F$42:$F$49,_xlfn.XLOOKUP($A$1,Fixture!$F$42:$F$49,Fixture!$D$42:$D$49,"Descansa",FALSE))</f>
        <v>Deportivo Fénix</v>
      </c>
      <c r="AC2" s="141"/>
      <c r="AD2" s="141"/>
      <c r="AE2" s="142"/>
      <c r="AF2" s="140" t="str">
        <f>+_xlfn.XLOOKUP($A$1,Fixture!$D$50:$D$57,Fixture!$F$50:$F$57,_xlfn.XLOOKUP($A$1,Fixture!$F$50:$F$57,Fixture!$D$50:$D$57,"Descansa",FALSE))</f>
        <v>Valentín FC</v>
      </c>
      <c r="AG2" s="141"/>
      <c r="AH2" s="141"/>
      <c r="AI2" s="142"/>
      <c r="AJ2" s="140" t="str">
        <f>+_xlfn.XLOOKUP($A$1,Fixture!$D$58:$D$65,Fixture!$F$58:$F$65,_xlfn.XLOOKUP($A$1,Fixture!$F$58:$F$65,Fixture!$D$58:$D$65,"Descansa",FALSE))</f>
        <v>La Unión FC</v>
      </c>
      <c r="AK2" s="141"/>
      <c r="AL2" s="141"/>
      <c r="AM2" s="142"/>
      <c r="AN2" s="140" t="str">
        <f>+_xlfn.XLOOKUP($A$1,Fixture!$D$66:$D$73,Fixture!$F$66:$F$73,_xlfn.XLOOKUP($A$1,Fixture!$F$66:$F$73,Fixture!$D$66:$D$73,"Descansa",FALSE))</f>
        <v>CD El Corozo</v>
      </c>
      <c r="AO2" s="141"/>
      <c r="AP2" s="141"/>
      <c r="AQ2" s="142"/>
      <c r="AR2" s="140" t="str">
        <f>+_xlfn.XLOOKUP($A$1,Fixture!$D$74:$D$81,Fixture!$F$74:$F$81,_xlfn.XLOOKUP($A$1,Fixture!$F$74:$F$81,Fixture!$D$74:$D$81,"Descansa",FALSE))</f>
        <v>Atalanta</v>
      </c>
      <c r="AS2" s="141"/>
      <c r="AT2" s="141"/>
      <c r="AU2" s="142"/>
      <c r="AV2" s="140" t="str">
        <f>+_xlfn.XLOOKUP($A$1,Fixture!$D$82:$D$89,Fixture!$F$82:$F$89,_xlfn.XLOOKUP($A$1,Fixture!$F$82:$F$89,Fixture!$D$82:$D$89,"Descansa",FALSE))</f>
        <v>Los Amigos</v>
      </c>
      <c r="AW2" s="141"/>
      <c r="AX2" s="141"/>
      <c r="AY2" s="142"/>
      <c r="AZ2" s="140" t="str">
        <f>+_xlfn.XLOOKUP($A$1,Fixture!$D$90:$D$97,Fixture!$F$90:$F$97,_xlfn.XLOOKUP($A$1,Fixture!$F$90:$F$97,Fixture!$D$90:$D$97,"Descansa",FALSE))</f>
        <v>La Nueva Era</v>
      </c>
      <c r="BA2" s="141"/>
      <c r="BB2" s="141"/>
      <c r="BC2" s="142"/>
      <c r="BD2" s="140" t="str">
        <f>+_xlfn.XLOOKUP($A$1,Fixture!$D$98:$D$105,Fixture!$F$98:$F$105,_xlfn.XLOOKUP($A$1,Fixture!$F$98:$F$105,Fixture!$D$98:$D$105,"Descansa",FALSE))</f>
        <v>La Amistad</v>
      </c>
      <c r="BE2" s="141"/>
      <c r="BF2" s="141"/>
      <c r="BG2" s="142"/>
      <c r="BH2" s="140" t="str">
        <f>+_xlfn.XLOOKUP($A$1,Fixture!$D$106:$D$113,Fixture!$F$106:$F$113,_xlfn.XLOOKUP($A$1,Fixture!$F$106:$F$113,Fixture!$D$106:$D$113,"Descansa",FALSE))</f>
        <v>Hojas Anchas</v>
      </c>
      <c r="BI2" s="141"/>
      <c r="BJ2" s="141"/>
      <c r="BK2" s="142"/>
      <c r="BL2" s="140" t="str">
        <f>+_xlfn.XLOOKUP($A$1,Fixture!$D$114:$D$121,Fixture!$F$114:$F$121,_xlfn.XLOOKUP($A$1,Fixture!$F$114:$F$121,Fixture!$D$114:$D$121,"Descansa",FALSE))</f>
        <v>Villanueva</v>
      </c>
      <c r="BM2" s="141"/>
      <c r="BN2" s="141"/>
      <c r="BO2" s="142"/>
      <c r="BP2" s="140" t="str">
        <f>+_xlfn.XLOOKUP($A$1,Fixture!$D$122:$D$128,Fixture!$F$122:$F$128,_xlfn.XLOOKUP($A$1,Fixture!$F$122:$F$128,Fixture!$D$122:$D$128,"Descansa",FALSE))</f>
        <v>Descansa</v>
      </c>
      <c r="BQ2" s="141"/>
      <c r="BR2" s="141"/>
      <c r="BS2" s="142"/>
      <c r="BT2" s="140" t="str">
        <f>+_xlfn.XLOOKUP($A$1,Fixture!$D$129:$D$135,Fixture!$F$129:$F$135,_xlfn.XLOOKUP($A$1,Fixture!$F$129:$F$135,Fixture!$D$129:$D$135,"Descansa",FALSE))</f>
        <v>Descansa</v>
      </c>
      <c r="BU2" s="141"/>
      <c r="BV2" s="141"/>
      <c r="BW2" s="142"/>
      <c r="BX2" s="140" t="str">
        <f>+_xlfn.XLOOKUP($A$1,Fixture!$D$136:$D$141,Fixture!$F$136:$F$141,_xlfn.XLOOKUP($A$1,Fixture!$F$136:$F$141,Fixture!$D$136:$D$141,"Descansa",FALSE))</f>
        <v>Descansa</v>
      </c>
      <c r="BY2" s="141"/>
      <c r="BZ2" s="141"/>
      <c r="CA2" s="142"/>
      <c r="CB2" s="140" t="str">
        <f>+_xlfn.XLOOKUP($A$1,Fixture!$D$142:$D$149,Fixture!$F$142:$F$149,_xlfn.XLOOKUP($A$1,Fixture!$F$142:$F$149,Fixture!$D$142:$D$149,"Descansa",FALSE))</f>
        <v>Descansa</v>
      </c>
      <c r="CC2" s="141"/>
      <c r="CD2" s="141"/>
      <c r="CE2" s="142"/>
      <c r="CF2" s="140" t="str">
        <f>+_xlfn.XLOOKUP($A$1,Fixture!$D$150:$D$155,Fixture!$F$150:$F$155,_xlfn.XLOOKUP($A$1,Fixture!$F$150:$F$155,Fixture!$D$150:$D$155,"Descansa",FALSE))</f>
        <v>Descansa</v>
      </c>
      <c r="CG2" s="141"/>
      <c r="CH2" s="141"/>
      <c r="CI2" s="142"/>
      <c r="CJ2" s="140" t="str">
        <f>+_xlfn.XLOOKUP($A$1,Fixture!$D$156:$D$161,Fixture!$F$156:$F$161,_xlfn.XLOOKUP($A$1,Fixture!$F$156:$F$161,Fixture!$D$156:$D$161,"Descansa",FALSE))</f>
        <v>Descansa</v>
      </c>
      <c r="CK2" s="141"/>
      <c r="CL2" s="141"/>
      <c r="CM2" s="142"/>
      <c r="CN2" s="140" t="str">
        <f>+_xlfn.XLOOKUP($A$1,Fixture!$D$162:$D$167,Fixture!$F$162:$F$167,_xlfn.XLOOKUP($A$1,Fixture!$F$162:$F$167,Fixture!$D$162:$D$167,"Descansa",FALSE))</f>
        <v>Descansa</v>
      </c>
      <c r="CO2" s="141"/>
      <c r="CP2" s="141"/>
      <c r="CQ2" s="142"/>
      <c r="CR2" s="140" t="str">
        <f>+_xlfn.XLOOKUP($A$1,Fixture!$D$168:$D$169,Fixture!$F$168:$F$169,_xlfn.XLOOKUP($A$1,Fixture!$F$168:$F$169,Fixture!$D$168:$D$169,"Descanssa",FALSE))</f>
        <v>Descanssa</v>
      </c>
      <c r="CS2" s="141"/>
      <c r="CT2" s="141"/>
      <c r="CU2" s="142"/>
      <c r="CV2" s="140" t="str">
        <f>+_xlfn.XLOOKUP($A$1,Fixture!$D$170:$D$171,Fixture!$F$170:$F$171,_xlfn.XLOOKUP($A$1,Fixture!$F$170:$F$171,Fixture!$D$170:$D$171,"Descansa",FALSE))</f>
        <v>Descansa</v>
      </c>
      <c r="CW2" s="141"/>
      <c r="CX2" s="141"/>
      <c r="CY2" s="142"/>
      <c r="CZ2" s="72"/>
      <c r="DA2" s="73"/>
      <c r="DB2" s="73"/>
      <c r="DC2" s="74"/>
    </row>
    <row r="3" spans="1:107" ht="14.45" customHeight="1" x14ac:dyDescent="0.25">
      <c r="A3" s="195"/>
      <c r="B3" s="195"/>
      <c r="C3" s="195"/>
      <c r="D3" s="22" t="s">
        <v>89</v>
      </c>
      <c r="E3" s="22" t="s">
        <v>90</v>
      </c>
      <c r="F3" s="22" t="s">
        <v>91</v>
      </c>
      <c r="G3" s="24" t="s">
        <v>92</v>
      </c>
      <c r="H3" s="166">
        <f>IF(Fixture!$C3=0,"",Fixture!$C3)</f>
        <v>45676</v>
      </c>
      <c r="I3" s="167"/>
      <c r="J3" s="167"/>
      <c r="K3" s="168"/>
      <c r="L3" s="166">
        <f>IF(Fixture!$C12=0,"",Fixture!$C12)</f>
        <v>45683</v>
      </c>
      <c r="M3" s="167"/>
      <c r="N3" s="167"/>
      <c r="O3" s="168"/>
      <c r="P3" s="166">
        <f>IF(Fixture!$C22=0,"",Fixture!$C22)</f>
        <v>45690</v>
      </c>
      <c r="Q3" s="167"/>
      <c r="R3" s="167"/>
      <c r="S3" s="168"/>
      <c r="T3" s="166">
        <f>IF(Fixture!$C30=0,"",Fixture!$C30)</f>
        <v>45697</v>
      </c>
      <c r="U3" s="167"/>
      <c r="V3" s="167"/>
      <c r="W3" s="168"/>
      <c r="X3" s="166">
        <f>IF(Fixture!$C38=0,"",Fixture!$C38)</f>
        <v>45704</v>
      </c>
      <c r="Y3" s="167"/>
      <c r="Z3" s="167"/>
      <c r="AA3" s="168"/>
      <c r="AB3" s="166">
        <f>IF(Fixture!$C46=0,"",Fixture!$C46)</f>
        <v>45711</v>
      </c>
      <c r="AC3" s="167"/>
      <c r="AD3" s="167"/>
      <c r="AE3" s="168"/>
      <c r="AF3" s="166">
        <f>IF(Fixture!$C53=0,"",Fixture!$C53)</f>
        <v>45718</v>
      </c>
      <c r="AG3" s="167"/>
      <c r="AH3" s="167"/>
      <c r="AI3" s="168"/>
      <c r="AJ3" s="166">
        <f>IF(Fixture!$C62=0,"",Fixture!$C62)</f>
        <v>45725</v>
      </c>
      <c r="AK3" s="167"/>
      <c r="AL3" s="167"/>
      <c r="AM3" s="168"/>
      <c r="AN3" s="166">
        <f>IF(Fixture!$C73=0,"",Fixture!$C73)</f>
        <v>45704</v>
      </c>
      <c r="AO3" s="167"/>
      <c r="AP3" s="167"/>
      <c r="AQ3" s="168"/>
      <c r="AR3" s="166">
        <f>IF(Fixture!$C79=0,"",Fixture!$C79)</f>
        <v>45746</v>
      </c>
      <c r="AS3" s="167"/>
      <c r="AT3" s="167"/>
      <c r="AU3" s="168"/>
      <c r="AV3" s="166">
        <f>IF(Fixture!$C87=0,"",Fixture!$C87)</f>
        <v>45753</v>
      </c>
      <c r="AW3" s="167"/>
      <c r="AX3" s="167"/>
      <c r="AY3" s="168"/>
      <c r="AZ3" s="166">
        <f>IF(Fixture!$C94=0,"",Fixture!$C94)</f>
        <v>45774</v>
      </c>
      <c r="BA3" s="167"/>
      <c r="BB3" s="167"/>
      <c r="BC3" s="168"/>
      <c r="BD3" s="166">
        <f>IF(Fixture!$C102=0,"",Fixture!$C102)</f>
        <v>45809</v>
      </c>
      <c r="BE3" s="167"/>
      <c r="BF3" s="167"/>
      <c r="BG3" s="168"/>
      <c r="BH3" s="163" t="e">
        <f>+VLOOKUP(BH1,Resultados!$A$3:$B$71,2,FALSE)</f>
        <v>#N/A</v>
      </c>
      <c r="BI3" s="164"/>
      <c r="BJ3" s="164"/>
      <c r="BK3" s="165"/>
      <c r="BL3" s="163" t="e">
        <f>+VLOOKUP(BL1,Resultados!$A$3:$B$71,2,FALSE)</f>
        <v>#N/A</v>
      </c>
      <c r="BM3" s="164"/>
      <c r="BN3" s="164"/>
      <c r="BO3" s="165"/>
      <c r="BP3" s="163" t="e">
        <f>+VLOOKUP(BP1,Resultados!$A$3:$B$71,2,FALSE)</f>
        <v>#N/A</v>
      </c>
      <c r="BQ3" s="164"/>
      <c r="BR3" s="164"/>
      <c r="BS3" s="165"/>
      <c r="BT3" s="163" t="e">
        <f>+VLOOKUP(BT1,Resultados!$A$3:$B$71,2,FALSE)</f>
        <v>#N/A</v>
      </c>
      <c r="BU3" s="164"/>
      <c r="BV3" s="164"/>
      <c r="BW3" s="165"/>
      <c r="BX3" s="163" t="e">
        <f>+VLOOKUP(BX1,Resultados!$A$3:$B$71,2,FALSE)</f>
        <v>#N/A</v>
      </c>
      <c r="BY3" s="164"/>
      <c r="BZ3" s="164"/>
      <c r="CA3" s="165"/>
      <c r="CB3" s="163" t="e">
        <f>+VLOOKUP(CB1,Resultados!$A$3:$B$71,2,FALSE)</f>
        <v>#N/A</v>
      </c>
      <c r="CC3" s="164"/>
      <c r="CD3" s="164"/>
      <c r="CE3" s="165"/>
      <c r="CF3" s="163" t="e">
        <f>+VLOOKUP(CF1,Resultados!$A$3:$B$71,2,FALSE)</f>
        <v>#N/A</v>
      </c>
      <c r="CG3" s="164"/>
      <c r="CH3" s="164"/>
      <c r="CI3" s="165"/>
      <c r="CJ3" s="163" t="e">
        <f>+VLOOKUP(CJ1,Resultados!$A$3:$B$71,2,FALSE)</f>
        <v>#N/A</v>
      </c>
      <c r="CK3" s="164"/>
      <c r="CL3" s="164"/>
      <c r="CM3" s="165"/>
      <c r="CN3" s="163" t="e">
        <f>+VLOOKUP(CN1,Resultados!$A$3:$B$71,2,FALSE)</f>
        <v>#N/A</v>
      </c>
      <c r="CO3" s="164"/>
      <c r="CP3" s="164"/>
      <c r="CQ3" s="165"/>
      <c r="CR3" s="163" t="e">
        <f>+VLOOKUP(CR1,Resultados!$A$3:$B$71,2,FALSE)</f>
        <v>#N/A</v>
      </c>
      <c r="CS3" s="164"/>
      <c r="CT3" s="164"/>
      <c r="CU3" s="165"/>
      <c r="CV3" s="163" t="e">
        <f>+VLOOKUP(CV1,Resultados!$A$3:$B$71,2,FALSE)</f>
        <v>#N/A</v>
      </c>
      <c r="CW3" s="164"/>
      <c r="CX3" s="164"/>
      <c r="CY3" s="165"/>
      <c r="CZ3" s="163" t="e">
        <f>+VLOOKUP(CZ1,Resultados!$A$3:$B$71,2,FALSE)</f>
        <v>#N/A</v>
      </c>
      <c r="DA3" s="164"/>
      <c r="DB3" s="164"/>
      <c r="DC3" s="165"/>
    </row>
    <row r="4" spans="1:107" ht="19.899999999999999" customHeight="1" x14ac:dyDescent="0.25">
      <c r="A4" s="193" t="s">
        <v>3</v>
      </c>
      <c r="B4" s="154" t="str">
        <f>Jugadores!L3</f>
        <v>Dandy Diaz</v>
      </c>
      <c r="C4" s="155"/>
      <c r="D4" s="24">
        <f>H4+L4+P4+T4+X4+AB4+AF4+AJ4+AN4+AR4+AV4+AZ4+BD4+BH4+BL4+BP4+BT4+BX4+CB4+CF4+CJ4+CN4+CR4+CV4+CZ4</f>
        <v>1</v>
      </c>
      <c r="E4" s="24">
        <f>I4+M4+Q4+U4+Y4+AC4+AG4+AK4+AO4+AS4+AW4+BA4+BE4+BI4+BM4+BQ4+BV4+BY4+CD4+CG4+CL4+CO4+CT4+CW4+DB4</f>
        <v>0</v>
      </c>
      <c r="F4" s="115">
        <f>J4+N4+R4+V4+Z4+AD4+AH4+AL4+AP4+AT4+AX4+BB4+BF4+BJ4+BN4+BT4+BX4+CB4+CF4+CJ4+CN4+CR4+CV4+CZ4</f>
        <v>0</v>
      </c>
      <c r="G4" s="115">
        <f>K4+O4+S4+W4+AA4+AE4+AI4+AM4+AQ4+AU4+AY4+BC4+BG4+BK4+BO4+BV4+BY4+CD4+CG4+CL4+CO4+CT4+CW4+DB4</f>
        <v>0</v>
      </c>
      <c r="H4" s="28"/>
      <c r="I4" s="26"/>
      <c r="J4" s="26"/>
      <c r="K4" s="29"/>
      <c r="L4" s="28">
        <v>1</v>
      </c>
      <c r="M4" s="26"/>
      <c r="N4" s="26"/>
      <c r="O4" s="29"/>
      <c r="P4" s="28"/>
      <c r="Q4" s="26"/>
      <c r="R4" s="26"/>
      <c r="S4" s="29"/>
      <c r="T4" s="28"/>
      <c r="U4" s="26"/>
      <c r="V4" s="105"/>
      <c r="W4" s="106"/>
      <c r="X4" s="28"/>
      <c r="Y4" s="26"/>
      <c r="Z4" s="26"/>
      <c r="AA4" s="29"/>
      <c r="AB4" s="28"/>
      <c r="AC4" s="26"/>
      <c r="AD4" s="26"/>
      <c r="AE4" s="29"/>
      <c r="AF4" s="28"/>
      <c r="AG4" s="26"/>
      <c r="AH4" s="26"/>
      <c r="AI4" s="29"/>
      <c r="AJ4" s="28"/>
      <c r="AK4" s="26"/>
      <c r="AL4" s="26"/>
      <c r="AM4" s="29"/>
      <c r="AN4" s="28"/>
      <c r="AO4" s="26"/>
      <c r="AP4" s="26"/>
      <c r="AQ4" s="29"/>
      <c r="AR4" s="28"/>
      <c r="AS4" s="26"/>
      <c r="AT4" s="26"/>
      <c r="AU4" s="29"/>
      <c r="AV4" s="28"/>
      <c r="AW4" s="26"/>
      <c r="AX4" s="26"/>
      <c r="AY4" s="29"/>
      <c r="AZ4" s="28"/>
      <c r="BA4" s="26"/>
      <c r="BB4" s="26"/>
      <c r="BC4" s="29"/>
      <c r="BD4" s="28"/>
      <c r="BE4" s="26"/>
      <c r="BF4" s="26"/>
      <c r="BG4" s="29"/>
      <c r="BH4" s="28"/>
      <c r="BI4" s="26"/>
      <c r="BJ4" s="26"/>
      <c r="BK4" s="29"/>
      <c r="BL4" s="28"/>
      <c r="BM4" s="26"/>
      <c r="BN4" s="26"/>
      <c r="BO4" s="29"/>
      <c r="BP4" s="28"/>
      <c r="BQ4" s="26"/>
      <c r="BR4" s="26"/>
      <c r="BS4" s="29"/>
      <c r="BT4" s="28"/>
      <c r="BU4" s="26"/>
      <c r="BV4" s="26"/>
      <c r="BW4" s="29"/>
      <c r="BX4" s="28"/>
      <c r="BY4" s="26"/>
      <c r="BZ4" s="26"/>
      <c r="CA4" s="29"/>
      <c r="CB4" s="28"/>
      <c r="CC4" s="26"/>
      <c r="CD4" s="26"/>
      <c r="CE4" s="29"/>
      <c r="CF4" s="28"/>
      <c r="CG4" s="26"/>
      <c r="CH4" s="26"/>
      <c r="CI4" s="29"/>
      <c r="CJ4" s="28"/>
      <c r="CK4" s="26"/>
      <c r="CL4" s="26"/>
      <c r="CM4" s="29"/>
      <c r="CN4" s="28"/>
      <c r="CO4" s="26"/>
      <c r="CP4" s="26"/>
      <c r="CQ4" s="29"/>
      <c r="CR4" s="28"/>
      <c r="CS4" s="26"/>
      <c r="CT4" s="26"/>
      <c r="CU4" s="29"/>
      <c r="CV4" s="28"/>
      <c r="CW4" s="26"/>
      <c r="CX4" s="26"/>
      <c r="CY4" s="29"/>
      <c r="CZ4" s="28"/>
      <c r="DA4" s="26"/>
      <c r="DB4" s="26"/>
      <c r="DC4" s="29"/>
    </row>
    <row r="5" spans="1:107" ht="19.899999999999999" customHeight="1" x14ac:dyDescent="0.25">
      <c r="A5" s="193"/>
      <c r="B5" s="154" t="str">
        <f>Jugadores!L4</f>
        <v>Jesús Batista</v>
      </c>
      <c r="C5" s="155"/>
      <c r="D5" s="24">
        <f t="shared" ref="D5:D18" si="0">H5+L5+P5+T5+X5+AB5+AF5+AJ5+AN5+AR5+AV5+AZ5+BD5+BH5+BL5+BP5+BT5+BX5+CB5+CF5+CJ5+CN5+CR5+CV5+CZ5</f>
        <v>2</v>
      </c>
      <c r="E5" s="24">
        <f t="shared" ref="E5:E18" si="1">I5+M5+Q5+U5+Y5+AC5+AG5+AK5+AO5+AS5+AW5+BA5+BE5+BI5+BM5+BQ5+BV5+BY5+CD5+CG5+CL5+CO5+CT5+CW5+DB5</f>
        <v>1</v>
      </c>
      <c r="F5" s="115">
        <f t="shared" ref="F5:F18" si="2">J5+N5+R5+V5+Z5+AD5+AH5+AL5+AP5+AT5+AX5+BB5+BF5+BJ5+BN5+BT5+BX5+CB5+CF5+CJ5+CN5+CR5+CV5+CZ5</f>
        <v>0</v>
      </c>
      <c r="G5" s="115">
        <f t="shared" ref="G5:G18" si="3">K5+O5+S5+W5+AA5+AE5+AI5+AM5+AQ5+AU5+AY5+BC5+BG5+BK5+BO5+BV5+BY5+CD5+CG5+CL5+CO5+CT5+CW5+DB5</f>
        <v>0</v>
      </c>
      <c r="H5" s="28"/>
      <c r="I5" s="26"/>
      <c r="J5" s="26"/>
      <c r="K5" s="29"/>
      <c r="L5" s="28">
        <v>1</v>
      </c>
      <c r="M5" s="26">
        <v>1</v>
      </c>
      <c r="N5" s="26"/>
      <c r="O5" s="29"/>
      <c r="P5" s="28">
        <v>1</v>
      </c>
      <c r="Q5" s="26"/>
      <c r="R5" s="26"/>
      <c r="S5" s="29"/>
      <c r="T5" s="28"/>
      <c r="U5" s="26"/>
      <c r="V5" s="105"/>
      <c r="W5" s="106"/>
      <c r="X5" s="28"/>
      <c r="Y5" s="26"/>
      <c r="Z5" s="26"/>
      <c r="AA5" s="29"/>
      <c r="AB5" s="28"/>
      <c r="AC5" s="26"/>
      <c r="AD5" s="26"/>
      <c r="AE5" s="29"/>
      <c r="AF5" s="28"/>
      <c r="AG5" s="26"/>
      <c r="AH5" s="26"/>
      <c r="AI5" s="29"/>
      <c r="AJ5" s="28"/>
      <c r="AK5" s="26"/>
      <c r="AL5" s="26"/>
      <c r="AM5" s="29"/>
      <c r="AN5" s="28"/>
      <c r="AO5" s="26"/>
      <c r="AP5" s="26"/>
      <c r="AQ5" s="29"/>
      <c r="AR5" s="28"/>
      <c r="AS5" s="26"/>
      <c r="AT5" s="26"/>
      <c r="AU5" s="29"/>
      <c r="AV5" s="28"/>
      <c r="AW5" s="26"/>
      <c r="AX5" s="26"/>
      <c r="AY5" s="29"/>
      <c r="AZ5" s="28"/>
      <c r="BA5" s="26"/>
      <c r="BB5" s="26"/>
      <c r="BC5" s="29"/>
      <c r="BD5" s="28"/>
      <c r="BE5" s="26"/>
      <c r="BF5" s="26"/>
      <c r="BG5" s="29"/>
      <c r="BH5" s="28"/>
      <c r="BI5" s="26"/>
      <c r="BJ5" s="26"/>
      <c r="BK5" s="29"/>
      <c r="BL5" s="28"/>
      <c r="BM5" s="26"/>
      <c r="BN5" s="26"/>
      <c r="BO5" s="29"/>
      <c r="BP5" s="28"/>
      <c r="BQ5" s="26"/>
      <c r="BR5" s="26"/>
      <c r="BS5" s="29"/>
      <c r="BT5" s="28"/>
      <c r="BU5" s="26"/>
      <c r="BV5" s="26"/>
      <c r="BW5" s="29"/>
      <c r="BX5" s="28"/>
      <c r="BY5" s="26"/>
      <c r="BZ5" s="26"/>
      <c r="CA5" s="29"/>
      <c r="CB5" s="28"/>
      <c r="CC5" s="26"/>
      <c r="CD5" s="26"/>
      <c r="CE5" s="29"/>
      <c r="CF5" s="28"/>
      <c r="CG5" s="26"/>
      <c r="CH5" s="26"/>
      <c r="CI5" s="29"/>
      <c r="CJ5" s="28"/>
      <c r="CK5" s="26"/>
      <c r="CL5" s="26"/>
      <c r="CM5" s="29"/>
      <c r="CN5" s="28"/>
      <c r="CO5" s="26"/>
      <c r="CP5" s="26"/>
      <c r="CQ5" s="29"/>
      <c r="CR5" s="28"/>
      <c r="CS5" s="26"/>
      <c r="CT5" s="26"/>
      <c r="CU5" s="29"/>
      <c r="CV5" s="28"/>
      <c r="CW5" s="26"/>
      <c r="CX5" s="26"/>
      <c r="CY5" s="29"/>
      <c r="CZ5" s="28"/>
      <c r="DA5" s="26"/>
      <c r="DB5" s="26"/>
      <c r="DC5" s="29"/>
    </row>
    <row r="6" spans="1:107" ht="19.899999999999999" customHeight="1" x14ac:dyDescent="0.25">
      <c r="A6" s="193"/>
      <c r="B6" s="154" t="str">
        <f>Jugadores!L5</f>
        <v>Alexander Jacob</v>
      </c>
      <c r="C6" s="155"/>
      <c r="D6" s="24">
        <f t="shared" si="0"/>
        <v>1</v>
      </c>
      <c r="E6" s="24">
        <f t="shared" si="1"/>
        <v>0</v>
      </c>
      <c r="F6" s="115">
        <f t="shared" si="2"/>
        <v>0</v>
      </c>
      <c r="G6" s="115">
        <f t="shared" si="3"/>
        <v>0</v>
      </c>
      <c r="H6" s="28"/>
      <c r="I6" s="26"/>
      <c r="J6" s="26"/>
      <c r="K6" s="29"/>
      <c r="L6" s="28">
        <v>1</v>
      </c>
      <c r="M6" s="26"/>
      <c r="N6" s="26"/>
      <c r="O6" s="29"/>
      <c r="P6" s="28"/>
      <c r="Q6" s="26"/>
      <c r="R6" s="26"/>
      <c r="S6" s="29"/>
      <c r="T6" s="28"/>
      <c r="U6" s="26"/>
      <c r="V6" s="105"/>
      <c r="W6" s="106"/>
      <c r="X6" s="28"/>
      <c r="Y6" s="26"/>
      <c r="Z6" s="26"/>
      <c r="AA6" s="29"/>
      <c r="AB6" s="28"/>
      <c r="AC6" s="26"/>
      <c r="AD6" s="26"/>
      <c r="AE6" s="29"/>
      <c r="AF6" s="28"/>
      <c r="AG6" s="26"/>
      <c r="AH6" s="26"/>
      <c r="AI6" s="29"/>
      <c r="AJ6" s="28"/>
      <c r="AK6" s="26"/>
      <c r="AL6" s="26"/>
      <c r="AM6" s="29"/>
      <c r="AN6" s="28"/>
      <c r="AO6" s="26"/>
      <c r="AP6" s="26"/>
      <c r="AQ6" s="29"/>
      <c r="AR6" s="28"/>
      <c r="AS6" s="26"/>
      <c r="AT6" s="26"/>
      <c r="AU6" s="29"/>
      <c r="AV6" s="28"/>
      <c r="AW6" s="26"/>
      <c r="AX6" s="26"/>
      <c r="AY6" s="29"/>
      <c r="AZ6" s="28"/>
      <c r="BA6" s="26"/>
      <c r="BB6" s="26"/>
      <c r="BC6" s="29"/>
      <c r="BD6" s="28"/>
      <c r="BE6" s="26"/>
      <c r="BF6" s="26"/>
      <c r="BG6" s="29"/>
      <c r="BH6" s="28"/>
      <c r="BI6" s="26"/>
      <c r="BJ6" s="26"/>
      <c r="BK6" s="29"/>
      <c r="BL6" s="28"/>
      <c r="BM6" s="26"/>
      <c r="BN6" s="26"/>
      <c r="BO6" s="29"/>
      <c r="BP6" s="28"/>
      <c r="BQ6" s="26"/>
      <c r="BR6" s="26"/>
      <c r="BS6" s="29"/>
      <c r="BT6" s="28"/>
      <c r="BU6" s="26"/>
      <c r="BV6" s="26"/>
      <c r="BW6" s="29"/>
      <c r="BX6" s="28"/>
      <c r="BY6" s="26"/>
      <c r="BZ6" s="26"/>
      <c r="CA6" s="29"/>
      <c r="CB6" s="28"/>
      <c r="CC6" s="26"/>
      <c r="CD6" s="26"/>
      <c r="CE6" s="29"/>
      <c r="CF6" s="28"/>
      <c r="CG6" s="26"/>
      <c r="CH6" s="26"/>
      <c r="CI6" s="29"/>
      <c r="CJ6" s="28"/>
      <c r="CK6" s="26"/>
      <c r="CL6" s="26"/>
      <c r="CM6" s="29"/>
      <c r="CN6" s="28"/>
      <c r="CO6" s="26"/>
      <c r="CP6" s="26"/>
      <c r="CQ6" s="29"/>
      <c r="CR6" s="28"/>
      <c r="CS6" s="26"/>
      <c r="CT6" s="26"/>
      <c r="CU6" s="29"/>
      <c r="CV6" s="28"/>
      <c r="CW6" s="26"/>
      <c r="CX6" s="26"/>
      <c r="CY6" s="29"/>
      <c r="CZ6" s="28"/>
      <c r="DA6" s="26"/>
      <c r="DB6" s="26"/>
      <c r="DC6" s="29"/>
    </row>
    <row r="7" spans="1:107" ht="19.899999999999999" customHeight="1" x14ac:dyDescent="0.25">
      <c r="A7" s="193"/>
      <c r="B7" s="154" t="str">
        <f>Jugadores!L6</f>
        <v>Wilten Sira</v>
      </c>
      <c r="C7" s="155"/>
      <c r="D7" s="24">
        <f>H7+L7+P7+T7+X7+AB7+AF7+AJ7+AN7+AR7+AV7+AZ7+BD7+BH7+BL7+BP7+BT7+BX7+CB7+CF7+CJ7+CN7+CR7+CV7+CZ7</f>
        <v>1</v>
      </c>
      <c r="E7" s="24">
        <f t="shared" si="1"/>
        <v>0</v>
      </c>
      <c r="F7" s="115">
        <f t="shared" si="2"/>
        <v>0</v>
      </c>
      <c r="G7" s="115">
        <f t="shared" si="3"/>
        <v>0</v>
      </c>
      <c r="H7" s="28"/>
      <c r="I7" s="26"/>
      <c r="J7" s="26"/>
      <c r="K7" s="29"/>
      <c r="L7" s="28"/>
      <c r="M7" s="26"/>
      <c r="N7" s="26"/>
      <c r="O7" s="29"/>
      <c r="P7" s="28">
        <v>1</v>
      </c>
      <c r="Q7" s="26"/>
      <c r="R7" s="26"/>
      <c r="S7" s="29"/>
      <c r="T7" s="28"/>
      <c r="U7" s="26"/>
      <c r="V7" s="105"/>
      <c r="W7" s="106"/>
      <c r="X7" s="28"/>
      <c r="Y7" s="26"/>
      <c r="Z7" s="26"/>
      <c r="AA7" s="29"/>
      <c r="AB7" s="28"/>
      <c r="AC7" s="26"/>
      <c r="AD7" s="26"/>
      <c r="AE7" s="29"/>
      <c r="AF7" s="28"/>
      <c r="AG7" s="26"/>
      <c r="AH7" s="26"/>
      <c r="AI7" s="29"/>
      <c r="AJ7" s="28"/>
      <c r="AK7" s="26"/>
      <c r="AL7" s="26"/>
      <c r="AM7" s="29"/>
      <c r="AN7" s="28"/>
      <c r="AO7" s="26"/>
      <c r="AP7" s="26"/>
      <c r="AQ7" s="29"/>
      <c r="AR7" s="28"/>
      <c r="AS7" s="26"/>
      <c r="AT7" s="26"/>
      <c r="AU7" s="29"/>
      <c r="AV7" s="28"/>
      <c r="AW7" s="26"/>
      <c r="AX7" s="26"/>
      <c r="AY7" s="29"/>
      <c r="AZ7" s="28"/>
      <c r="BA7" s="26"/>
      <c r="BB7" s="26"/>
      <c r="BC7" s="29"/>
      <c r="BD7" s="28"/>
      <c r="BE7" s="26"/>
      <c r="BF7" s="26"/>
      <c r="BG7" s="29"/>
      <c r="BH7" s="28"/>
      <c r="BI7" s="26"/>
      <c r="BJ7" s="26"/>
      <c r="BK7" s="29"/>
      <c r="BL7" s="28"/>
      <c r="BM7" s="26"/>
      <c r="BN7" s="26"/>
      <c r="BO7" s="29"/>
      <c r="BP7" s="28"/>
      <c r="BQ7" s="26"/>
      <c r="BR7" s="26"/>
      <c r="BS7" s="29"/>
      <c r="BT7" s="28"/>
      <c r="BU7" s="26"/>
      <c r="BV7" s="26"/>
      <c r="BW7" s="29"/>
      <c r="BX7" s="28"/>
      <c r="BY7" s="26"/>
      <c r="BZ7" s="26"/>
      <c r="CA7" s="29"/>
      <c r="CB7" s="28"/>
      <c r="CC7" s="26"/>
      <c r="CD7" s="26"/>
      <c r="CE7" s="29"/>
      <c r="CF7" s="28"/>
      <c r="CG7" s="26"/>
      <c r="CH7" s="26"/>
      <c r="CI7" s="29"/>
      <c r="CJ7" s="28"/>
      <c r="CK7" s="26"/>
      <c r="CL7" s="26"/>
      <c r="CM7" s="29"/>
      <c r="CN7" s="28"/>
      <c r="CO7" s="26"/>
      <c r="CP7" s="26"/>
      <c r="CQ7" s="29"/>
      <c r="CR7" s="28"/>
      <c r="CS7" s="26"/>
      <c r="CT7" s="26"/>
      <c r="CU7" s="29"/>
      <c r="CV7" s="28"/>
      <c r="CW7" s="26"/>
      <c r="CX7" s="26"/>
      <c r="CY7" s="29"/>
      <c r="CZ7" s="28"/>
      <c r="DA7" s="26"/>
      <c r="DB7" s="26"/>
      <c r="DC7" s="29"/>
    </row>
    <row r="8" spans="1:107" ht="19.899999999999999" customHeight="1" x14ac:dyDescent="0.25">
      <c r="A8" s="193"/>
      <c r="B8" s="154" t="str">
        <f>Jugadores!L7</f>
        <v>José Hernández</v>
      </c>
      <c r="C8" s="155"/>
      <c r="D8" s="24">
        <f t="shared" si="0"/>
        <v>0</v>
      </c>
      <c r="E8" s="24">
        <f t="shared" si="1"/>
        <v>0</v>
      </c>
      <c r="F8" s="115">
        <f t="shared" si="2"/>
        <v>0</v>
      </c>
      <c r="G8" s="115">
        <f t="shared" si="3"/>
        <v>0</v>
      </c>
      <c r="H8" s="28"/>
      <c r="I8" s="26"/>
      <c r="J8" s="26"/>
      <c r="K8" s="29"/>
      <c r="L8" s="28"/>
      <c r="M8" s="26"/>
      <c r="N8" s="26"/>
      <c r="O8" s="29"/>
      <c r="P8" s="28"/>
      <c r="Q8" s="26"/>
      <c r="R8" s="26"/>
      <c r="S8" s="29"/>
      <c r="T8" s="28"/>
      <c r="U8" s="26"/>
      <c r="V8" s="105"/>
      <c r="W8" s="106"/>
      <c r="X8" s="28"/>
      <c r="Y8" s="26"/>
      <c r="Z8" s="26"/>
      <c r="AA8" s="29"/>
      <c r="AB8" s="28"/>
      <c r="AC8" s="26"/>
      <c r="AD8" s="26"/>
      <c r="AE8" s="29"/>
      <c r="AF8" s="28"/>
      <c r="AG8" s="26"/>
      <c r="AH8" s="26"/>
      <c r="AI8" s="29"/>
      <c r="AJ8" s="28"/>
      <c r="AK8" s="26"/>
      <c r="AL8" s="26"/>
      <c r="AM8" s="29"/>
      <c r="AN8" s="28"/>
      <c r="AO8" s="26"/>
      <c r="AP8" s="26"/>
      <c r="AQ8" s="29"/>
      <c r="AR8" s="28"/>
      <c r="AS8" s="26"/>
      <c r="AT8" s="26"/>
      <c r="AU8" s="29"/>
      <c r="AV8" s="28"/>
      <c r="AW8" s="26"/>
      <c r="AX8" s="26"/>
      <c r="AY8" s="29"/>
      <c r="AZ8" s="28"/>
      <c r="BA8" s="26"/>
      <c r="BB8" s="26"/>
      <c r="BC8" s="29"/>
      <c r="BD8" s="28"/>
      <c r="BE8" s="26"/>
      <c r="BF8" s="26"/>
      <c r="BG8" s="29"/>
      <c r="BH8" s="28"/>
      <c r="BI8" s="26"/>
      <c r="BJ8" s="26"/>
      <c r="BK8" s="29"/>
      <c r="BL8" s="28"/>
      <c r="BM8" s="26"/>
      <c r="BN8" s="26"/>
      <c r="BO8" s="29"/>
      <c r="BP8" s="28"/>
      <c r="BQ8" s="26"/>
      <c r="BR8" s="26"/>
      <c r="BS8" s="29"/>
      <c r="BT8" s="28"/>
      <c r="BU8" s="26"/>
      <c r="BV8" s="26"/>
      <c r="BW8" s="29"/>
      <c r="BX8" s="28"/>
      <c r="BY8" s="26"/>
      <c r="BZ8" s="26"/>
      <c r="CA8" s="29"/>
      <c r="CB8" s="28"/>
      <c r="CC8" s="26"/>
      <c r="CD8" s="26"/>
      <c r="CE8" s="29"/>
      <c r="CF8" s="28"/>
      <c r="CG8" s="26"/>
      <c r="CH8" s="26"/>
      <c r="CI8" s="29"/>
      <c r="CJ8" s="28"/>
      <c r="CK8" s="26"/>
      <c r="CL8" s="26"/>
      <c r="CM8" s="29"/>
      <c r="CN8" s="28"/>
      <c r="CO8" s="26"/>
      <c r="CP8" s="26"/>
      <c r="CQ8" s="29"/>
      <c r="CR8" s="28"/>
      <c r="CS8" s="26"/>
      <c r="CT8" s="26"/>
      <c r="CU8" s="29"/>
      <c r="CV8" s="28"/>
      <c r="CW8" s="26"/>
      <c r="CX8" s="26"/>
      <c r="CY8" s="29"/>
      <c r="CZ8" s="28"/>
      <c r="DA8" s="26"/>
      <c r="DB8" s="26"/>
      <c r="DC8" s="29"/>
    </row>
    <row r="9" spans="1:107" ht="19.899999999999999" customHeight="1" x14ac:dyDescent="0.25">
      <c r="A9" s="193"/>
      <c r="B9" s="154" t="str">
        <f>Jugadores!L8</f>
        <v>Rayos FC 2</v>
      </c>
      <c r="C9" s="155"/>
      <c r="D9" s="24">
        <f t="shared" si="0"/>
        <v>0</v>
      </c>
      <c r="E9" s="24">
        <f t="shared" si="1"/>
        <v>0</v>
      </c>
      <c r="F9" s="115">
        <f t="shared" si="2"/>
        <v>0</v>
      </c>
      <c r="G9" s="115">
        <f t="shared" si="3"/>
        <v>0</v>
      </c>
      <c r="H9" s="28"/>
      <c r="I9" s="26"/>
      <c r="J9" s="26"/>
      <c r="K9" s="29"/>
      <c r="L9" s="28"/>
      <c r="M9" s="26"/>
      <c r="N9" s="26"/>
      <c r="O9" s="29"/>
      <c r="P9" s="28"/>
      <c r="Q9" s="26"/>
      <c r="R9" s="26"/>
      <c r="S9" s="29"/>
      <c r="T9" s="28"/>
      <c r="U9" s="26"/>
      <c r="V9" s="105"/>
      <c r="W9" s="106"/>
      <c r="X9" s="28"/>
      <c r="Y9" s="26"/>
      <c r="Z9" s="26"/>
      <c r="AA9" s="29"/>
      <c r="AB9" s="28"/>
      <c r="AC9" s="26"/>
      <c r="AD9" s="26"/>
      <c r="AE9" s="29"/>
      <c r="AF9" s="28"/>
      <c r="AG9" s="26"/>
      <c r="AH9" s="26"/>
      <c r="AI9" s="29"/>
      <c r="AJ9" s="28"/>
      <c r="AK9" s="26"/>
      <c r="AL9" s="26"/>
      <c r="AM9" s="29"/>
      <c r="AN9" s="28"/>
      <c r="AO9" s="26"/>
      <c r="AP9" s="26"/>
      <c r="AQ9" s="29"/>
      <c r="AR9" s="28"/>
      <c r="AS9" s="26"/>
      <c r="AT9" s="26"/>
      <c r="AU9" s="29"/>
      <c r="AV9" s="28"/>
      <c r="AW9" s="26"/>
      <c r="AX9" s="26"/>
      <c r="AY9" s="29"/>
      <c r="AZ9" s="28"/>
      <c r="BA9" s="26"/>
      <c r="BB9" s="26"/>
      <c r="BC9" s="29"/>
      <c r="BD9" s="28"/>
      <c r="BE9" s="26"/>
      <c r="BF9" s="26"/>
      <c r="BG9" s="29"/>
      <c r="BH9" s="28"/>
      <c r="BI9" s="26"/>
      <c r="BJ9" s="26"/>
      <c r="BK9" s="29"/>
      <c r="BL9" s="28"/>
      <c r="BM9" s="26"/>
      <c r="BN9" s="26"/>
      <c r="BO9" s="29"/>
      <c r="BP9" s="28"/>
      <c r="BQ9" s="26"/>
      <c r="BR9" s="26"/>
      <c r="BS9" s="29"/>
      <c r="BT9" s="28"/>
      <c r="BU9" s="26"/>
      <c r="BV9" s="26"/>
      <c r="BW9" s="29"/>
      <c r="BX9" s="28"/>
      <c r="BY9" s="26"/>
      <c r="BZ9" s="26"/>
      <c r="CA9" s="29"/>
      <c r="CB9" s="28"/>
      <c r="CC9" s="26"/>
      <c r="CD9" s="26"/>
      <c r="CE9" s="29"/>
      <c r="CF9" s="28"/>
      <c r="CG9" s="26"/>
      <c r="CH9" s="26"/>
      <c r="CI9" s="29"/>
      <c r="CJ9" s="28"/>
      <c r="CK9" s="26"/>
      <c r="CL9" s="26"/>
      <c r="CM9" s="29"/>
      <c r="CN9" s="28"/>
      <c r="CO9" s="26"/>
      <c r="CP9" s="26"/>
      <c r="CQ9" s="29"/>
      <c r="CR9" s="28"/>
      <c r="CS9" s="26"/>
      <c r="CT9" s="26"/>
      <c r="CU9" s="29"/>
      <c r="CV9" s="28"/>
      <c r="CW9" s="26"/>
      <c r="CX9" s="26"/>
      <c r="CY9" s="29"/>
      <c r="CZ9" s="28"/>
      <c r="DA9" s="26"/>
      <c r="DB9" s="26"/>
      <c r="DC9" s="29"/>
    </row>
    <row r="10" spans="1:107" ht="19.899999999999999" customHeight="1" x14ac:dyDescent="0.25">
      <c r="A10" s="193"/>
      <c r="B10" s="154" t="str">
        <f>Jugadores!L9</f>
        <v>Carlos Rodríguez</v>
      </c>
      <c r="C10" s="155"/>
      <c r="D10" s="24">
        <f t="shared" si="0"/>
        <v>0</v>
      </c>
      <c r="E10" s="24">
        <f t="shared" si="1"/>
        <v>1</v>
      </c>
      <c r="F10" s="115">
        <f t="shared" si="2"/>
        <v>0</v>
      </c>
      <c r="G10" s="115">
        <f t="shared" si="3"/>
        <v>0</v>
      </c>
      <c r="H10" s="28"/>
      <c r="I10" s="26">
        <v>1</v>
      </c>
      <c r="J10" s="26"/>
      <c r="K10" s="29"/>
      <c r="L10" s="28"/>
      <c r="M10" s="26"/>
      <c r="N10" s="26"/>
      <c r="O10" s="29"/>
      <c r="P10" s="28"/>
      <c r="Q10" s="26"/>
      <c r="R10" s="26"/>
      <c r="S10" s="29"/>
      <c r="T10" s="28"/>
      <c r="U10" s="26"/>
      <c r="V10" s="105"/>
      <c r="W10" s="106"/>
      <c r="X10" s="28"/>
      <c r="Y10" s="26"/>
      <c r="Z10" s="26"/>
      <c r="AA10" s="29"/>
      <c r="AB10" s="28"/>
      <c r="AC10" s="26"/>
      <c r="AD10" s="26"/>
      <c r="AE10" s="29"/>
      <c r="AF10" s="28"/>
      <c r="AG10" s="26"/>
      <c r="AH10" s="26"/>
      <c r="AI10" s="29"/>
      <c r="AJ10" s="28"/>
      <c r="AK10" s="26"/>
      <c r="AL10" s="26"/>
      <c r="AM10" s="29"/>
      <c r="AN10" s="28"/>
      <c r="AO10" s="26"/>
      <c r="AP10" s="26"/>
      <c r="AQ10" s="29"/>
      <c r="AR10" s="28"/>
      <c r="AS10" s="26"/>
      <c r="AT10" s="26"/>
      <c r="AU10" s="29"/>
      <c r="AV10" s="28"/>
      <c r="AW10" s="26"/>
      <c r="AX10" s="26"/>
      <c r="AY10" s="29"/>
      <c r="AZ10" s="28"/>
      <c r="BA10" s="26"/>
      <c r="BB10" s="26"/>
      <c r="BC10" s="29"/>
      <c r="BD10" s="28"/>
      <c r="BE10" s="26"/>
      <c r="BF10" s="26"/>
      <c r="BG10" s="29"/>
      <c r="BH10" s="28"/>
      <c r="BI10" s="26"/>
      <c r="BJ10" s="26"/>
      <c r="BK10" s="29"/>
      <c r="BL10" s="28"/>
      <c r="BM10" s="26"/>
      <c r="BN10" s="26"/>
      <c r="BO10" s="29"/>
      <c r="BP10" s="28"/>
      <c r="BQ10" s="26"/>
      <c r="BR10" s="26"/>
      <c r="BS10" s="29"/>
      <c r="BT10" s="28"/>
      <c r="BU10" s="26"/>
      <c r="BV10" s="26"/>
      <c r="BW10" s="29"/>
      <c r="BX10" s="28"/>
      <c r="BY10" s="26"/>
      <c r="BZ10" s="26"/>
      <c r="CA10" s="29"/>
      <c r="CB10" s="28"/>
      <c r="CC10" s="26"/>
      <c r="CD10" s="26"/>
      <c r="CE10" s="29"/>
      <c r="CF10" s="28"/>
      <c r="CG10" s="26"/>
      <c r="CH10" s="26"/>
      <c r="CI10" s="29"/>
      <c r="CJ10" s="28"/>
      <c r="CK10" s="26"/>
      <c r="CL10" s="26"/>
      <c r="CM10" s="29"/>
      <c r="CN10" s="28"/>
      <c r="CO10" s="26"/>
      <c r="CP10" s="26"/>
      <c r="CQ10" s="29"/>
      <c r="CR10" s="28"/>
      <c r="CS10" s="26"/>
      <c r="CT10" s="26"/>
      <c r="CU10" s="29"/>
      <c r="CV10" s="28"/>
      <c r="CW10" s="26"/>
      <c r="CX10" s="26"/>
      <c r="CY10" s="29"/>
      <c r="CZ10" s="28"/>
      <c r="DA10" s="26"/>
      <c r="DB10" s="26"/>
      <c r="DC10" s="29"/>
    </row>
    <row r="11" spans="1:107" ht="19.899999999999999" customHeight="1" x14ac:dyDescent="0.25">
      <c r="A11" s="193"/>
      <c r="B11" s="154" t="str">
        <f>Jugadores!L10</f>
        <v>Rayos FC 3</v>
      </c>
      <c r="C11" s="155"/>
      <c r="D11" s="24">
        <f t="shared" si="0"/>
        <v>0</v>
      </c>
      <c r="E11" s="24">
        <f t="shared" si="1"/>
        <v>0</v>
      </c>
      <c r="F11" s="115">
        <f t="shared" si="2"/>
        <v>0</v>
      </c>
      <c r="G11" s="115">
        <f t="shared" si="3"/>
        <v>0</v>
      </c>
      <c r="H11" s="28"/>
      <c r="I11" s="26"/>
      <c r="J11" s="26"/>
      <c r="K11" s="29"/>
      <c r="L11" s="28"/>
      <c r="M11" s="26"/>
      <c r="N11" s="26"/>
      <c r="O11" s="29"/>
      <c r="P11" s="28"/>
      <c r="Q11" s="26"/>
      <c r="R11" s="26"/>
      <c r="S11" s="29"/>
      <c r="T11" s="28"/>
      <c r="U11" s="26"/>
      <c r="V11" s="105"/>
      <c r="W11" s="106"/>
      <c r="X11" s="28"/>
      <c r="Y11" s="26"/>
      <c r="Z11" s="26"/>
      <c r="AA11" s="29"/>
      <c r="AB11" s="28"/>
      <c r="AC11" s="26"/>
      <c r="AD11" s="26"/>
      <c r="AE11" s="29"/>
      <c r="AF11" s="28"/>
      <c r="AG11" s="26"/>
      <c r="AH11" s="26"/>
      <c r="AI11" s="29"/>
      <c r="AJ11" s="28"/>
      <c r="AK11" s="26"/>
      <c r="AL11" s="26"/>
      <c r="AM11" s="29"/>
      <c r="AN11" s="28"/>
      <c r="AO11" s="26"/>
      <c r="AP11" s="26"/>
      <c r="AQ11" s="29"/>
      <c r="AR11" s="28"/>
      <c r="AS11" s="26"/>
      <c r="AT11" s="26"/>
      <c r="AU11" s="29"/>
      <c r="AV11" s="28"/>
      <c r="AW11" s="26"/>
      <c r="AX11" s="26"/>
      <c r="AY11" s="29"/>
      <c r="AZ11" s="28"/>
      <c r="BA11" s="26"/>
      <c r="BB11" s="26"/>
      <c r="BC11" s="29"/>
      <c r="BD11" s="28"/>
      <c r="BE11" s="26"/>
      <c r="BF11" s="26"/>
      <c r="BG11" s="29"/>
      <c r="BH11" s="28"/>
      <c r="BI11" s="26"/>
      <c r="BJ11" s="26"/>
      <c r="BK11" s="29"/>
      <c r="BL11" s="28"/>
      <c r="BM11" s="26"/>
      <c r="BN11" s="26"/>
      <c r="BO11" s="29"/>
      <c r="BP11" s="28"/>
      <c r="BQ11" s="26"/>
      <c r="BR11" s="26"/>
      <c r="BS11" s="29"/>
      <c r="BT11" s="28"/>
      <c r="BU11" s="26"/>
      <c r="BV11" s="26"/>
      <c r="BW11" s="29"/>
      <c r="BX11" s="28"/>
      <c r="BY11" s="26"/>
      <c r="BZ11" s="26"/>
      <c r="CA11" s="29"/>
      <c r="CB11" s="28"/>
      <c r="CC11" s="26"/>
      <c r="CD11" s="26"/>
      <c r="CE11" s="29"/>
      <c r="CF11" s="28"/>
      <c r="CG11" s="26"/>
      <c r="CH11" s="26"/>
      <c r="CI11" s="29"/>
      <c r="CJ11" s="28"/>
      <c r="CK11" s="26"/>
      <c r="CL11" s="26"/>
      <c r="CM11" s="29"/>
      <c r="CN11" s="28"/>
      <c r="CO11" s="26"/>
      <c r="CP11" s="26"/>
      <c r="CQ11" s="29"/>
      <c r="CR11" s="28"/>
      <c r="CS11" s="26"/>
      <c r="CT11" s="26"/>
      <c r="CU11" s="29"/>
      <c r="CV11" s="28"/>
      <c r="CW11" s="26"/>
      <c r="CX11" s="26"/>
      <c r="CY11" s="29"/>
      <c r="CZ11" s="28"/>
      <c r="DA11" s="26"/>
      <c r="DB11" s="26"/>
      <c r="DC11" s="29"/>
    </row>
    <row r="12" spans="1:107" ht="19.899999999999999" customHeight="1" x14ac:dyDescent="0.25">
      <c r="A12" s="193"/>
      <c r="B12" s="154" t="str">
        <f>Jugadores!L11</f>
        <v>Rayos FC 4</v>
      </c>
      <c r="C12" s="155"/>
      <c r="D12" s="24">
        <f t="shared" si="0"/>
        <v>0</v>
      </c>
      <c r="E12" s="24">
        <f t="shared" si="1"/>
        <v>0</v>
      </c>
      <c r="F12" s="115">
        <f t="shared" si="2"/>
        <v>0</v>
      </c>
      <c r="G12" s="115">
        <f t="shared" si="3"/>
        <v>0</v>
      </c>
      <c r="H12" s="28"/>
      <c r="I12" s="26"/>
      <c r="J12" s="26"/>
      <c r="K12" s="29"/>
      <c r="L12" s="28"/>
      <c r="M12" s="26"/>
      <c r="N12" s="26"/>
      <c r="O12" s="29"/>
      <c r="P12" s="28"/>
      <c r="Q12" s="26"/>
      <c r="R12" s="26"/>
      <c r="S12" s="29"/>
      <c r="T12" s="28"/>
      <c r="U12" s="26"/>
      <c r="V12" s="105"/>
      <c r="W12" s="106"/>
      <c r="X12" s="28"/>
      <c r="Y12" s="26"/>
      <c r="Z12" s="26"/>
      <c r="AA12" s="29"/>
      <c r="AB12" s="28"/>
      <c r="AC12" s="26"/>
      <c r="AD12" s="26"/>
      <c r="AE12" s="29"/>
      <c r="AF12" s="28"/>
      <c r="AG12" s="26"/>
      <c r="AH12" s="26"/>
      <c r="AI12" s="29"/>
      <c r="AJ12" s="28"/>
      <c r="AK12" s="26"/>
      <c r="AL12" s="26"/>
      <c r="AM12" s="29"/>
      <c r="AN12" s="28"/>
      <c r="AO12" s="26"/>
      <c r="AP12" s="26"/>
      <c r="AQ12" s="29"/>
      <c r="AR12" s="28"/>
      <c r="AS12" s="26"/>
      <c r="AT12" s="26"/>
      <c r="AU12" s="29"/>
      <c r="AV12" s="28"/>
      <c r="AW12" s="26"/>
      <c r="AX12" s="26"/>
      <c r="AY12" s="29"/>
      <c r="AZ12" s="28"/>
      <c r="BA12" s="26"/>
      <c r="BB12" s="26"/>
      <c r="BC12" s="29"/>
      <c r="BD12" s="28"/>
      <c r="BE12" s="26"/>
      <c r="BF12" s="26"/>
      <c r="BG12" s="29"/>
      <c r="BH12" s="28"/>
      <c r="BI12" s="26"/>
      <c r="BJ12" s="26"/>
      <c r="BK12" s="29"/>
      <c r="BL12" s="28"/>
      <c r="BM12" s="26"/>
      <c r="BN12" s="26"/>
      <c r="BO12" s="29"/>
      <c r="BP12" s="28"/>
      <c r="BQ12" s="26"/>
      <c r="BR12" s="26"/>
      <c r="BS12" s="29"/>
      <c r="BT12" s="28"/>
      <c r="BU12" s="26"/>
      <c r="BV12" s="26"/>
      <c r="BW12" s="29"/>
      <c r="BX12" s="28"/>
      <c r="BY12" s="26"/>
      <c r="BZ12" s="26"/>
      <c r="CA12" s="29"/>
      <c r="CB12" s="28"/>
      <c r="CC12" s="26"/>
      <c r="CD12" s="26"/>
      <c r="CE12" s="29"/>
      <c r="CF12" s="28"/>
      <c r="CG12" s="26"/>
      <c r="CH12" s="26"/>
      <c r="CI12" s="29"/>
      <c r="CJ12" s="28"/>
      <c r="CK12" s="26"/>
      <c r="CL12" s="26"/>
      <c r="CM12" s="29"/>
      <c r="CN12" s="28"/>
      <c r="CO12" s="26"/>
      <c r="CP12" s="26"/>
      <c r="CQ12" s="29"/>
      <c r="CR12" s="28"/>
      <c r="CS12" s="26"/>
      <c r="CT12" s="26"/>
      <c r="CU12" s="29"/>
      <c r="CV12" s="28"/>
      <c r="CW12" s="26"/>
      <c r="CX12" s="26"/>
      <c r="CY12" s="29"/>
      <c r="CZ12" s="28"/>
      <c r="DA12" s="26"/>
      <c r="DB12" s="26"/>
      <c r="DC12" s="29"/>
    </row>
    <row r="13" spans="1:107" ht="19.899999999999999" customHeight="1" x14ac:dyDescent="0.25">
      <c r="A13" s="193"/>
      <c r="B13" s="154" t="str">
        <f>Jugadores!L12</f>
        <v>Rayos FC 5</v>
      </c>
      <c r="C13" s="155"/>
      <c r="D13" s="24">
        <f t="shared" si="0"/>
        <v>0</v>
      </c>
      <c r="E13" s="24">
        <f t="shared" si="1"/>
        <v>0</v>
      </c>
      <c r="F13" s="115">
        <f t="shared" si="2"/>
        <v>0</v>
      </c>
      <c r="G13" s="115">
        <f t="shared" si="3"/>
        <v>0</v>
      </c>
      <c r="H13" s="28"/>
      <c r="I13" s="26"/>
      <c r="J13" s="26"/>
      <c r="K13" s="29"/>
      <c r="L13" s="28"/>
      <c r="M13" s="26"/>
      <c r="N13" s="26"/>
      <c r="O13" s="29"/>
      <c r="P13" s="28"/>
      <c r="Q13" s="26"/>
      <c r="R13" s="26"/>
      <c r="S13" s="29"/>
      <c r="T13" s="28"/>
      <c r="U13" s="26"/>
      <c r="V13" s="105"/>
      <c r="W13" s="106"/>
      <c r="X13" s="28"/>
      <c r="Y13" s="26"/>
      <c r="Z13" s="26"/>
      <c r="AA13" s="29"/>
      <c r="AB13" s="28"/>
      <c r="AC13" s="26"/>
      <c r="AD13" s="26"/>
      <c r="AE13" s="29"/>
      <c r="AF13" s="28"/>
      <c r="AG13" s="26"/>
      <c r="AH13" s="26"/>
      <c r="AI13" s="29"/>
      <c r="AJ13" s="28"/>
      <c r="AK13" s="26"/>
      <c r="AL13" s="26"/>
      <c r="AM13" s="29"/>
      <c r="AN13" s="28"/>
      <c r="AO13" s="26"/>
      <c r="AP13" s="26"/>
      <c r="AQ13" s="29"/>
      <c r="AR13" s="28"/>
      <c r="AS13" s="26"/>
      <c r="AT13" s="26"/>
      <c r="AU13" s="29"/>
      <c r="AV13" s="28"/>
      <c r="AW13" s="26"/>
      <c r="AX13" s="26"/>
      <c r="AY13" s="29"/>
      <c r="AZ13" s="28"/>
      <c r="BA13" s="26"/>
      <c r="BB13" s="26"/>
      <c r="BC13" s="29"/>
      <c r="BD13" s="28"/>
      <c r="BE13" s="26"/>
      <c r="BF13" s="26"/>
      <c r="BG13" s="29"/>
      <c r="BH13" s="28"/>
      <c r="BI13" s="26"/>
      <c r="BJ13" s="26"/>
      <c r="BK13" s="29"/>
      <c r="BL13" s="28"/>
      <c r="BM13" s="26"/>
      <c r="BN13" s="26"/>
      <c r="BO13" s="29"/>
      <c r="BP13" s="28"/>
      <c r="BQ13" s="26"/>
      <c r="BR13" s="26"/>
      <c r="BS13" s="29"/>
      <c r="BT13" s="28"/>
      <c r="BU13" s="26"/>
      <c r="BV13" s="26"/>
      <c r="BW13" s="29"/>
      <c r="BX13" s="28"/>
      <c r="BY13" s="26"/>
      <c r="BZ13" s="26"/>
      <c r="CA13" s="29"/>
      <c r="CB13" s="28"/>
      <c r="CC13" s="26"/>
      <c r="CD13" s="26"/>
      <c r="CE13" s="29"/>
      <c r="CF13" s="28"/>
      <c r="CG13" s="26"/>
      <c r="CH13" s="26"/>
      <c r="CI13" s="29"/>
      <c r="CJ13" s="28"/>
      <c r="CK13" s="26"/>
      <c r="CL13" s="26"/>
      <c r="CM13" s="29"/>
      <c r="CN13" s="28"/>
      <c r="CO13" s="26"/>
      <c r="CP13" s="26"/>
      <c r="CQ13" s="29"/>
      <c r="CR13" s="28"/>
      <c r="CS13" s="26"/>
      <c r="CT13" s="26"/>
      <c r="CU13" s="29"/>
      <c r="CV13" s="28"/>
      <c r="CW13" s="26"/>
      <c r="CX13" s="26"/>
      <c r="CY13" s="29"/>
      <c r="CZ13" s="28"/>
      <c r="DA13" s="26"/>
      <c r="DB13" s="26"/>
      <c r="DC13" s="29"/>
    </row>
    <row r="14" spans="1:107" ht="19.899999999999999" customHeight="1" x14ac:dyDescent="0.25">
      <c r="A14" s="193"/>
      <c r="B14" s="154" t="str">
        <f>Jugadores!L13</f>
        <v>Rayos FC 6</v>
      </c>
      <c r="C14" s="155"/>
      <c r="D14" s="24">
        <f t="shared" si="0"/>
        <v>0</v>
      </c>
      <c r="E14" s="24">
        <f t="shared" si="1"/>
        <v>0</v>
      </c>
      <c r="F14" s="115">
        <f t="shared" si="2"/>
        <v>0</v>
      </c>
      <c r="G14" s="115">
        <f t="shared" si="3"/>
        <v>0</v>
      </c>
      <c r="H14" s="28"/>
      <c r="I14" s="26"/>
      <c r="J14" s="26"/>
      <c r="K14" s="29"/>
      <c r="L14" s="28"/>
      <c r="M14" s="26"/>
      <c r="N14" s="26"/>
      <c r="O14" s="29"/>
      <c r="P14" s="28"/>
      <c r="Q14" s="26"/>
      <c r="R14" s="26"/>
      <c r="S14" s="29"/>
      <c r="T14" s="28"/>
      <c r="U14" s="26"/>
      <c r="V14" s="105"/>
      <c r="W14" s="106"/>
      <c r="X14" s="28"/>
      <c r="Y14" s="26"/>
      <c r="Z14" s="26"/>
      <c r="AA14" s="29"/>
      <c r="AB14" s="28"/>
      <c r="AC14" s="26"/>
      <c r="AD14" s="26"/>
      <c r="AE14" s="29"/>
      <c r="AF14" s="28"/>
      <c r="AG14" s="26"/>
      <c r="AH14" s="26"/>
      <c r="AI14" s="29"/>
      <c r="AJ14" s="28"/>
      <c r="AK14" s="26"/>
      <c r="AL14" s="26"/>
      <c r="AM14" s="29"/>
      <c r="AN14" s="28"/>
      <c r="AO14" s="26"/>
      <c r="AP14" s="26"/>
      <c r="AQ14" s="29"/>
      <c r="AR14" s="28"/>
      <c r="AS14" s="26"/>
      <c r="AT14" s="26"/>
      <c r="AU14" s="29"/>
      <c r="AV14" s="28"/>
      <c r="AW14" s="26"/>
      <c r="AX14" s="26"/>
      <c r="AY14" s="29"/>
      <c r="AZ14" s="28"/>
      <c r="BA14" s="26"/>
      <c r="BB14" s="26"/>
      <c r="BC14" s="29"/>
      <c r="BD14" s="28"/>
      <c r="BE14" s="26"/>
      <c r="BF14" s="26"/>
      <c r="BG14" s="29"/>
      <c r="BH14" s="28"/>
      <c r="BI14" s="26"/>
      <c r="BJ14" s="26"/>
      <c r="BK14" s="29"/>
      <c r="BL14" s="28"/>
      <c r="BM14" s="26"/>
      <c r="BN14" s="26"/>
      <c r="BO14" s="29"/>
      <c r="BP14" s="28"/>
      <c r="BQ14" s="26"/>
      <c r="BR14" s="26"/>
      <c r="BS14" s="29"/>
      <c r="BT14" s="28"/>
      <c r="BU14" s="26"/>
      <c r="BV14" s="26"/>
      <c r="BW14" s="29"/>
      <c r="BX14" s="28"/>
      <c r="BY14" s="26"/>
      <c r="BZ14" s="26"/>
      <c r="CA14" s="29"/>
      <c r="CB14" s="28"/>
      <c r="CC14" s="26"/>
      <c r="CD14" s="26"/>
      <c r="CE14" s="29"/>
      <c r="CF14" s="28"/>
      <c r="CG14" s="26"/>
      <c r="CH14" s="26"/>
      <c r="CI14" s="29"/>
      <c r="CJ14" s="28"/>
      <c r="CK14" s="26"/>
      <c r="CL14" s="26"/>
      <c r="CM14" s="29"/>
      <c r="CN14" s="28"/>
      <c r="CO14" s="26"/>
      <c r="CP14" s="26"/>
      <c r="CQ14" s="29"/>
      <c r="CR14" s="28"/>
      <c r="CS14" s="26"/>
      <c r="CT14" s="26"/>
      <c r="CU14" s="29"/>
      <c r="CV14" s="28"/>
      <c r="CW14" s="26"/>
      <c r="CX14" s="26"/>
      <c r="CY14" s="29"/>
      <c r="CZ14" s="28"/>
      <c r="DA14" s="26"/>
      <c r="DB14" s="26"/>
      <c r="DC14" s="29"/>
    </row>
    <row r="15" spans="1:107" ht="19.899999999999999" customHeight="1" x14ac:dyDescent="0.25">
      <c r="A15" s="193"/>
      <c r="B15" s="154" t="str">
        <f>Jugadores!L14</f>
        <v>Rayos FC 7</v>
      </c>
      <c r="C15" s="155"/>
      <c r="D15" s="24">
        <f t="shared" si="0"/>
        <v>0</v>
      </c>
      <c r="E15" s="24">
        <f t="shared" si="1"/>
        <v>0</v>
      </c>
      <c r="F15" s="115">
        <f t="shared" si="2"/>
        <v>0</v>
      </c>
      <c r="G15" s="115">
        <f t="shared" si="3"/>
        <v>0</v>
      </c>
      <c r="H15" s="28"/>
      <c r="I15" s="26"/>
      <c r="J15" s="26"/>
      <c r="K15" s="29"/>
      <c r="L15" s="28"/>
      <c r="M15" s="26"/>
      <c r="N15" s="26"/>
      <c r="O15" s="29"/>
      <c r="P15" s="28"/>
      <c r="Q15" s="26"/>
      <c r="R15" s="26"/>
      <c r="S15" s="29"/>
      <c r="T15" s="28"/>
      <c r="U15" s="26"/>
      <c r="V15" s="105"/>
      <c r="W15" s="106"/>
      <c r="X15" s="28"/>
      <c r="Y15" s="26"/>
      <c r="Z15" s="26"/>
      <c r="AA15" s="29"/>
      <c r="AB15" s="28"/>
      <c r="AC15" s="26"/>
      <c r="AD15" s="26"/>
      <c r="AE15" s="29"/>
      <c r="AF15" s="28"/>
      <c r="AG15" s="26"/>
      <c r="AH15" s="26"/>
      <c r="AI15" s="29"/>
      <c r="AJ15" s="28"/>
      <c r="AK15" s="26"/>
      <c r="AL15" s="26"/>
      <c r="AM15" s="29"/>
      <c r="AN15" s="28"/>
      <c r="AO15" s="26"/>
      <c r="AP15" s="26"/>
      <c r="AQ15" s="29"/>
      <c r="AR15" s="28"/>
      <c r="AS15" s="26"/>
      <c r="AT15" s="26"/>
      <c r="AU15" s="29"/>
      <c r="AV15" s="28"/>
      <c r="AW15" s="26"/>
      <c r="AX15" s="26"/>
      <c r="AY15" s="29"/>
      <c r="AZ15" s="28"/>
      <c r="BA15" s="26"/>
      <c r="BB15" s="26"/>
      <c r="BC15" s="29"/>
      <c r="BD15" s="28"/>
      <c r="BE15" s="26"/>
      <c r="BF15" s="26"/>
      <c r="BG15" s="29"/>
      <c r="BH15" s="28"/>
      <c r="BI15" s="26"/>
      <c r="BJ15" s="26"/>
      <c r="BK15" s="29"/>
      <c r="BL15" s="28"/>
      <c r="BM15" s="26"/>
      <c r="BN15" s="26"/>
      <c r="BO15" s="29"/>
      <c r="BP15" s="28"/>
      <c r="BQ15" s="26"/>
      <c r="BR15" s="26"/>
      <c r="BS15" s="29"/>
      <c r="BT15" s="28"/>
      <c r="BU15" s="26"/>
      <c r="BV15" s="26"/>
      <c r="BW15" s="29"/>
      <c r="BX15" s="28"/>
      <c r="BY15" s="26"/>
      <c r="BZ15" s="26"/>
      <c r="CA15" s="29"/>
      <c r="CB15" s="28"/>
      <c r="CC15" s="26"/>
      <c r="CD15" s="26"/>
      <c r="CE15" s="29"/>
      <c r="CF15" s="28"/>
      <c r="CG15" s="26"/>
      <c r="CH15" s="26"/>
      <c r="CI15" s="29"/>
      <c r="CJ15" s="28"/>
      <c r="CK15" s="26"/>
      <c r="CL15" s="26"/>
      <c r="CM15" s="29"/>
      <c r="CN15" s="28"/>
      <c r="CO15" s="26"/>
      <c r="CP15" s="26"/>
      <c r="CQ15" s="29"/>
      <c r="CR15" s="28"/>
      <c r="CS15" s="26"/>
      <c r="CT15" s="26"/>
      <c r="CU15" s="29"/>
      <c r="CV15" s="28"/>
      <c r="CW15" s="26"/>
      <c r="CX15" s="26"/>
      <c r="CY15" s="29"/>
      <c r="CZ15" s="28"/>
      <c r="DA15" s="26"/>
      <c r="DB15" s="26"/>
      <c r="DC15" s="29"/>
    </row>
    <row r="16" spans="1:107" ht="19.899999999999999" customHeight="1" x14ac:dyDescent="0.25">
      <c r="A16" s="193"/>
      <c r="B16" s="154" t="str">
        <f>Jugadores!L15</f>
        <v>Rayos FC 8</v>
      </c>
      <c r="C16" s="155"/>
      <c r="D16" s="24">
        <f t="shared" si="0"/>
        <v>0</v>
      </c>
      <c r="E16" s="24">
        <f t="shared" si="1"/>
        <v>0</v>
      </c>
      <c r="F16" s="115">
        <f t="shared" si="2"/>
        <v>0</v>
      </c>
      <c r="G16" s="115">
        <f t="shared" si="3"/>
        <v>0</v>
      </c>
      <c r="H16" s="28"/>
      <c r="I16" s="26"/>
      <c r="J16" s="26"/>
      <c r="K16" s="29"/>
      <c r="L16" s="28"/>
      <c r="M16" s="26"/>
      <c r="N16" s="26"/>
      <c r="O16" s="29"/>
      <c r="P16" s="28"/>
      <c r="Q16" s="26"/>
      <c r="R16" s="26"/>
      <c r="S16" s="29"/>
      <c r="T16" s="28"/>
      <c r="U16" s="26"/>
      <c r="V16" s="105"/>
      <c r="W16" s="106"/>
      <c r="X16" s="28"/>
      <c r="Y16" s="26"/>
      <c r="Z16" s="26"/>
      <c r="AA16" s="29"/>
      <c r="AB16" s="28"/>
      <c r="AC16" s="26"/>
      <c r="AD16" s="26"/>
      <c r="AE16" s="29"/>
      <c r="AF16" s="28"/>
      <c r="AG16" s="26"/>
      <c r="AH16" s="26"/>
      <c r="AI16" s="29"/>
      <c r="AJ16" s="28"/>
      <c r="AK16" s="26"/>
      <c r="AL16" s="26"/>
      <c r="AM16" s="29"/>
      <c r="AN16" s="28"/>
      <c r="AO16" s="26"/>
      <c r="AP16" s="26"/>
      <c r="AQ16" s="29"/>
      <c r="AR16" s="28"/>
      <c r="AS16" s="26"/>
      <c r="AT16" s="26"/>
      <c r="AU16" s="29"/>
      <c r="AV16" s="28"/>
      <c r="AW16" s="26"/>
      <c r="AX16" s="26"/>
      <c r="AY16" s="29"/>
      <c r="AZ16" s="28"/>
      <c r="BA16" s="26"/>
      <c r="BB16" s="26"/>
      <c r="BC16" s="29"/>
      <c r="BD16" s="28"/>
      <c r="BE16" s="26"/>
      <c r="BF16" s="26"/>
      <c r="BG16" s="29"/>
      <c r="BH16" s="28"/>
      <c r="BI16" s="26"/>
      <c r="BJ16" s="26"/>
      <c r="BK16" s="29"/>
      <c r="BL16" s="28"/>
      <c r="BM16" s="26"/>
      <c r="BN16" s="26"/>
      <c r="BO16" s="29"/>
      <c r="BP16" s="28"/>
      <c r="BQ16" s="26"/>
      <c r="BR16" s="26"/>
      <c r="BS16" s="29"/>
      <c r="BT16" s="28"/>
      <c r="BU16" s="26"/>
      <c r="BV16" s="26"/>
      <c r="BW16" s="29"/>
      <c r="BX16" s="28"/>
      <c r="BY16" s="26"/>
      <c r="BZ16" s="26"/>
      <c r="CA16" s="29"/>
      <c r="CB16" s="28"/>
      <c r="CC16" s="26"/>
      <c r="CD16" s="26"/>
      <c r="CE16" s="29"/>
      <c r="CF16" s="28"/>
      <c r="CG16" s="26"/>
      <c r="CH16" s="26"/>
      <c r="CI16" s="29"/>
      <c r="CJ16" s="28"/>
      <c r="CK16" s="26"/>
      <c r="CL16" s="26"/>
      <c r="CM16" s="29"/>
      <c r="CN16" s="28"/>
      <c r="CO16" s="26"/>
      <c r="CP16" s="26"/>
      <c r="CQ16" s="29"/>
      <c r="CR16" s="28"/>
      <c r="CS16" s="26"/>
      <c r="CT16" s="26"/>
      <c r="CU16" s="29"/>
      <c r="CV16" s="28"/>
      <c r="CW16" s="26"/>
      <c r="CX16" s="26"/>
      <c r="CY16" s="29"/>
      <c r="CZ16" s="28"/>
      <c r="DA16" s="26"/>
      <c r="DB16" s="26"/>
      <c r="DC16" s="29"/>
    </row>
    <row r="17" spans="1:107" ht="19.899999999999999" customHeight="1" x14ac:dyDescent="0.25">
      <c r="A17" s="193"/>
      <c r="B17" s="154" t="str">
        <f>Jugadores!L16</f>
        <v>Rayos FC 9</v>
      </c>
      <c r="C17" s="155"/>
      <c r="D17" s="24">
        <f t="shared" si="0"/>
        <v>0</v>
      </c>
      <c r="E17" s="24">
        <f t="shared" si="1"/>
        <v>0</v>
      </c>
      <c r="F17" s="115">
        <f t="shared" si="2"/>
        <v>0</v>
      </c>
      <c r="G17" s="115">
        <f t="shared" si="3"/>
        <v>0</v>
      </c>
      <c r="H17" s="28"/>
      <c r="I17" s="26"/>
      <c r="J17" s="26"/>
      <c r="K17" s="29"/>
      <c r="L17" s="28"/>
      <c r="M17" s="26"/>
      <c r="N17" s="26"/>
      <c r="O17" s="29"/>
      <c r="P17" s="28"/>
      <c r="Q17" s="26"/>
      <c r="R17" s="26"/>
      <c r="S17" s="29"/>
      <c r="T17" s="28"/>
      <c r="U17" s="26"/>
      <c r="V17" s="105"/>
      <c r="W17" s="106"/>
      <c r="X17" s="28"/>
      <c r="Y17" s="26"/>
      <c r="Z17" s="26"/>
      <c r="AA17" s="29"/>
      <c r="AB17" s="28"/>
      <c r="AC17" s="26"/>
      <c r="AD17" s="26"/>
      <c r="AE17" s="29"/>
      <c r="AF17" s="28"/>
      <c r="AG17" s="26"/>
      <c r="AH17" s="26"/>
      <c r="AI17" s="29"/>
      <c r="AJ17" s="28"/>
      <c r="AK17" s="26"/>
      <c r="AL17" s="26"/>
      <c r="AM17" s="29"/>
      <c r="AN17" s="28"/>
      <c r="AO17" s="26"/>
      <c r="AP17" s="26"/>
      <c r="AQ17" s="29"/>
      <c r="AR17" s="28"/>
      <c r="AS17" s="26"/>
      <c r="AT17" s="26"/>
      <c r="AU17" s="29"/>
      <c r="AV17" s="28"/>
      <c r="AW17" s="26"/>
      <c r="AX17" s="26"/>
      <c r="AY17" s="29"/>
      <c r="AZ17" s="28"/>
      <c r="BA17" s="26"/>
      <c r="BB17" s="26"/>
      <c r="BC17" s="29"/>
      <c r="BD17" s="28"/>
      <c r="BE17" s="26"/>
      <c r="BF17" s="26"/>
      <c r="BG17" s="29"/>
      <c r="BH17" s="28"/>
      <c r="BI17" s="26"/>
      <c r="BJ17" s="26"/>
      <c r="BK17" s="29"/>
      <c r="BL17" s="28"/>
      <c r="BM17" s="26"/>
      <c r="BN17" s="26"/>
      <c r="BO17" s="29"/>
      <c r="BP17" s="28"/>
      <c r="BQ17" s="26"/>
      <c r="BR17" s="26"/>
      <c r="BS17" s="29"/>
      <c r="BT17" s="28"/>
      <c r="BU17" s="26"/>
      <c r="BV17" s="26"/>
      <c r="BW17" s="29"/>
      <c r="BX17" s="28"/>
      <c r="BY17" s="26"/>
      <c r="BZ17" s="26"/>
      <c r="CA17" s="29"/>
      <c r="CB17" s="28"/>
      <c r="CC17" s="26"/>
      <c r="CD17" s="26"/>
      <c r="CE17" s="29"/>
      <c r="CF17" s="28"/>
      <c r="CG17" s="26"/>
      <c r="CH17" s="26"/>
      <c r="CI17" s="29"/>
      <c r="CJ17" s="28"/>
      <c r="CK17" s="26"/>
      <c r="CL17" s="26"/>
      <c r="CM17" s="29"/>
      <c r="CN17" s="28"/>
      <c r="CO17" s="26"/>
      <c r="CP17" s="26"/>
      <c r="CQ17" s="29"/>
      <c r="CR17" s="28"/>
      <c r="CS17" s="26"/>
      <c r="CT17" s="26"/>
      <c r="CU17" s="29"/>
      <c r="CV17" s="28"/>
      <c r="CW17" s="26"/>
      <c r="CX17" s="26"/>
      <c r="CY17" s="29"/>
      <c r="CZ17" s="28"/>
      <c r="DA17" s="26"/>
      <c r="DB17" s="26"/>
      <c r="DC17" s="29"/>
    </row>
    <row r="18" spans="1:107" ht="19.899999999999999" customHeight="1" x14ac:dyDescent="0.25">
      <c r="A18" s="194"/>
      <c r="B18" s="156" t="str">
        <f>Jugadores!L17</f>
        <v>Rayos FC 10</v>
      </c>
      <c r="C18" s="157"/>
      <c r="D18" s="24">
        <f t="shared" si="0"/>
        <v>0</v>
      </c>
      <c r="E18" s="24">
        <f t="shared" si="1"/>
        <v>0</v>
      </c>
      <c r="F18" s="115">
        <f t="shared" si="2"/>
        <v>0</v>
      </c>
      <c r="G18" s="115">
        <f t="shared" si="3"/>
        <v>0</v>
      </c>
      <c r="H18" s="28"/>
      <c r="I18" s="26"/>
      <c r="J18" s="26"/>
      <c r="K18" s="29"/>
      <c r="L18" s="28"/>
      <c r="M18" s="26"/>
      <c r="N18" s="26"/>
      <c r="O18" s="29"/>
      <c r="P18" s="28"/>
      <c r="Q18" s="26"/>
      <c r="R18" s="26"/>
      <c r="S18" s="29"/>
      <c r="T18" s="28"/>
      <c r="U18" s="26"/>
      <c r="V18" s="105"/>
      <c r="W18" s="106"/>
      <c r="X18" s="28"/>
      <c r="Y18" s="26"/>
      <c r="Z18" s="26"/>
      <c r="AA18" s="29"/>
      <c r="AB18" s="28"/>
      <c r="AC18" s="26"/>
      <c r="AD18" s="26"/>
      <c r="AE18" s="29"/>
      <c r="AF18" s="28"/>
      <c r="AG18" s="26"/>
      <c r="AH18" s="26"/>
      <c r="AI18" s="29"/>
      <c r="AJ18" s="28"/>
      <c r="AK18" s="26"/>
      <c r="AL18" s="26"/>
      <c r="AM18" s="29"/>
      <c r="AN18" s="28"/>
      <c r="AO18" s="26"/>
      <c r="AP18" s="26"/>
      <c r="AQ18" s="29"/>
      <c r="AR18" s="28"/>
      <c r="AS18" s="26"/>
      <c r="AT18" s="26"/>
      <c r="AU18" s="29"/>
      <c r="AV18" s="28"/>
      <c r="AW18" s="26"/>
      <c r="AX18" s="26"/>
      <c r="AY18" s="29"/>
      <c r="AZ18" s="28"/>
      <c r="BA18" s="26"/>
      <c r="BB18" s="26"/>
      <c r="BC18" s="29"/>
      <c r="BD18" s="28"/>
      <c r="BE18" s="26"/>
      <c r="BF18" s="26"/>
      <c r="BG18" s="29"/>
      <c r="BH18" s="28"/>
      <c r="BI18" s="26"/>
      <c r="BJ18" s="26"/>
      <c r="BK18" s="29"/>
      <c r="BL18" s="28"/>
      <c r="BM18" s="26"/>
      <c r="BN18" s="26"/>
      <c r="BO18" s="29"/>
      <c r="BP18" s="28"/>
      <c r="BQ18" s="26"/>
      <c r="BR18" s="26"/>
      <c r="BS18" s="29"/>
      <c r="BT18" s="28"/>
      <c r="BU18" s="26"/>
      <c r="BV18" s="26"/>
      <c r="BW18" s="29"/>
      <c r="BX18" s="28"/>
      <c r="BY18" s="26"/>
      <c r="BZ18" s="26"/>
      <c r="CA18" s="29"/>
      <c r="CB18" s="28"/>
      <c r="CC18" s="26"/>
      <c r="CD18" s="26"/>
      <c r="CE18" s="29"/>
      <c r="CF18" s="28"/>
      <c r="CG18" s="26"/>
      <c r="CH18" s="26"/>
      <c r="CI18" s="29"/>
      <c r="CJ18" s="28"/>
      <c r="CK18" s="26"/>
      <c r="CL18" s="26"/>
      <c r="CM18" s="29"/>
      <c r="CN18" s="28"/>
      <c r="CO18" s="26"/>
      <c r="CP18" s="26"/>
      <c r="CQ18" s="29"/>
      <c r="CR18" s="28"/>
      <c r="CS18" s="26"/>
      <c r="CT18" s="26"/>
      <c r="CU18" s="29"/>
      <c r="CV18" s="28"/>
      <c r="CW18" s="26"/>
      <c r="CX18" s="26"/>
      <c r="CY18" s="29"/>
      <c r="CZ18" s="28"/>
      <c r="DA18" s="26"/>
      <c r="DB18" s="26"/>
      <c r="DC18" s="29"/>
    </row>
    <row r="19" spans="1:107" ht="14.45" customHeight="1" x14ac:dyDescent="0.25">
      <c r="B19" s="158" t="s">
        <v>105</v>
      </c>
      <c r="C19" s="159"/>
      <c r="D19" s="160"/>
      <c r="E19" s="160"/>
      <c r="F19" s="160"/>
      <c r="G19" s="160"/>
      <c r="H19" s="28"/>
      <c r="I19" s="26"/>
      <c r="J19" s="26"/>
      <c r="K19" s="29"/>
      <c r="L19" s="28">
        <v>1</v>
      </c>
      <c r="M19" s="26"/>
      <c r="N19" s="26"/>
      <c r="O19" s="29"/>
      <c r="P19" s="28"/>
      <c r="Q19" s="26"/>
      <c r="R19" s="26"/>
      <c r="S19" s="29"/>
      <c r="T19" s="28"/>
      <c r="U19" s="26"/>
      <c r="V19" s="105"/>
      <c r="W19" s="106"/>
      <c r="X19" s="28"/>
      <c r="Y19" s="26"/>
      <c r="Z19" s="26"/>
      <c r="AA19" s="29"/>
      <c r="AB19" s="28"/>
      <c r="AC19" s="26"/>
      <c r="AD19" s="26"/>
      <c r="AE19" s="29"/>
      <c r="AF19" s="28"/>
      <c r="AG19" s="26"/>
      <c r="AH19" s="26"/>
      <c r="AI19" s="29"/>
      <c r="AJ19" s="28"/>
      <c r="AK19" s="26"/>
      <c r="AL19" s="26"/>
      <c r="AM19" s="29"/>
      <c r="AN19" s="28"/>
      <c r="AO19" s="26"/>
      <c r="AP19" s="26"/>
      <c r="AQ19" s="29"/>
      <c r="AR19" s="28"/>
      <c r="AS19" s="26"/>
      <c r="AT19" s="26"/>
      <c r="AU19" s="29"/>
      <c r="AV19" s="28"/>
      <c r="AW19" s="26"/>
      <c r="AX19" s="26"/>
      <c r="AY19" s="29"/>
      <c r="AZ19" s="28"/>
      <c r="BA19" s="26"/>
      <c r="BB19" s="26"/>
      <c r="BC19" s="29"/>
      <c r="BD19" s="28"/>
      <c r="BE19" s="26"/>
      <c r="BF19" s="26"/>
      <c r="BG19" s="29"/>
      <c r="BH19" s="28"/>
      <c r="BI19" s="26"/>
      <c r="BJ19" s="26"/>
      <c r="BK19" s="29"/>
      <c r="BL19" s="28"/>
      <c r="BM19" s="26"/>
      <c r="BN19" s="26"/>
      <c r="BO19" s="29"/>
      <c r="BP19" s="28"/>
      <c r="BQ19" s="26"/>
      <c r="BR19" s="26"/>
      <c r="BS19" s="29"/>
      <c r="BT19" s="28"/>
      <c r="BU19" s="26"/>
      <c r="BV19" s="26"/>
      <c r="BW19" s="29"/>
      <c r="BX19" s="28"/>
      <c r="BY19" s="26"/>
      <c r="BZ19" s="26"/>
      <c r="CA19" s="29"/>
      <c r="CB19" s="28"/>
      <c r="CC19" s="26"/>
      <c r="CD19" s="26"/>
      <c r="CE19" s="29"/>
      <c r="CF19" s="28"/>
      <c r="CG19" s="26"/>
      <c r="CH19" s="26"/>
      <c r="CI19" s="29"/>
      <c r="CJ19" s="28"/>
      <c r="CK19" s="26"/>
      <c r="CL19" s="26"/>
      <c r="CM19" s="29"/>
      <c r="CN19" s="28"/>
      <c r="CO19" s="26"/>
      <c r="CP19" s="26"/>
      <c r="CQ19" s="29"/>
      <c r="CR19" s="28"/>
      <c r="CS19" s="26"/>
      <c r="CT19" s="26"/>
      <c r="CU19" s="29"/>
      <c r="CV19" s="28"/>
      <c r="CW19" s="26"/>
      <c r="CX19" s="26"/>
      <c r="CY19" s="29"/>
      <c r="CZ19" s="28"/>
      <c r="DA19" s="26"/>
      <c r="DB19" s="26"/>
      <c r="DC19" s="29"/>
    </row>
    <row r="20" spans="1:107" x14ac:dyDescent="0.25">
      <c r="B20" s="158" t="s">
        <v>104</v>
      </c>
      <c r="C20" s="159"/>
      <c r="D20" s="159"/>
      <c r="E20" s="159"/>
      <c r="F20" s="159"/>
      <c r="G20" s="159"/>
      <c r="H20" s="28"/>
      <c r="I20" s="26"/>
      <c r="J20" s="26"/>
      <c r="K20" s="29"/>
      <c r="L20" s="28"/>
      <c r="M20" s="26"/>
      <c r="N20" s="26"/>
      <c r="O20" s="29"/>
      <c r="P20" s="28"/>
      <c r="Q20" s="26"/>
      <c r="R20" s="26"/>
      <c r="S20" s="29"/>
      <c r="T20" s="28"/>
      <c r="U20" s="26"/>
      <c r="V20" s="105"/>
      <c r="W20" s="106">
        <v>3</v>
      </c>
      <c r="X20" s="28"/>
      <c r="Y20" s="26"/>
      <c r="Z20" s="26"/>
      <c r="AA20" s="29">
        <v>3</v>
      </c>
      <c r="AB20" s="28"/>
      <c r="AC20" s="26"/>
      <c r="AD20" s="26"/>
      <c r="AE20" s="29">
        <v>3</v>
      </c>
      <c r="AF20" s="28"/>
      <c r="AG20" s="26"/>
      <c r="AH20" s="26"/>
      <c r="AI20" s="29">
        <v>3</v>
      </c>
      <c r="AJ20" s="28"/>
      <c r="AK20" s="26"/>
      <c r="AL20" s="26"/>
      <c r="AM20" s="29">
        <v>3</v>
      </c>
      <c r="AN20" s="28"/>
      <c r="AO20" s="26"/>
      <c r="AP20" s="26"/>
      <c r="AQ20" s="29">
        <v>3</v>
      </c>
      <c r="AR20" s="28"/>
      <c r="AS20" s="26"/>
      <c r="AT20" s="26"/>
      <c r="AU20" s="29">
        <v>3</v>
      </c>
      <c r="AV20" s="28"/>
      <c r="AW20" s="26"/>
      <c r="AX20" s="26"/>
      <c r="AY20" s="29">
        <v>3</v>
      </c>
      <c r="AZ20" s="28"/>
      <c r="BA20" s="26"/>
      <c r="BB20" s="26"/>
      <c r="BC20" s="29">
        <v>3</v>
      </c>
      <c r="BD20" s="28"/>
      <c r="BE20" s="26"/>
      <c r="BF20" s="26"/>
      <c r="BG20" s="29">
        <v>3</v>
      </c>
      <c r="BH20" s="28"/>
      <c r="BI20" s="26"/>
      <c r="BJ20" s="26"/>
      <c r="BK20" s="29">
        <v>3</v>
      </c>
      <c r="BL20" s="28"/>
      <c r="BM20" s="26"/>
      <c r="BN20" s="26"/>
      <c r="BO20" s="29">
        <v>3</v>
      </c>
      <c r="BP20" s="28"/>
      <c r="BQ20" s="26"/>
      <c r="BR20" s="26"/>
      <c r="BS20" s="29"/>
      <c r="BT20" s="28"/>
      <c r="BU20" s="26"/>
      <c r="BV20" s="26"/>
      <c r="BW20" s="29"/>
      <c r="BX20" s="28"/>
      <c r="BY20" s="26"/>
      <c r="BZ20" s="26"/>
      <c r="CA20" s="29"/>
      <c r="CB20" s="28"/>
      <c r="CC20" s="26"/>
      <c r="CD20" s="26"/>
      <c r="CE20" s="29"/>
      <c r="CF20" s="28"/>
      <c r="CG20" s="26"/>
      <c r="CH20" s="26"/>
      <c r="CI20" s="29"/>
      <c r="CJ20" s="28"/>
      <c r="CK20" s="26"/>
      <c r="CL20" s="26"/>
      <c r="CM20" s="29"/>
      <c r="CN20" s="28"/>
      <c r="CO20" s="26"/>
      <c r="CP20" s="26"/>
      <c r="CQ20" s="29"/>
      <c r="CR20" s="28"/>
      <c r="CS20" s="26"/>
      <c r="CT20" s="26"/>
      <c r="CU20" s="29"/>
      <c r="CV20" s="28"/>
      <c r="CW20" s="26"/>
      <c r="CX20" s="26"/>
      <c r="CY20" s="29"/>
      <c r="CZ20" s="28"/>
      <c r="DA20" s="26"/>
      <c r="DB20" s="26"/>
      <c r="DC20" s="29"/>
    </row>
    <row r="21" spans="1:107" ht="15.75" thickBot="1" x14ac:dyDescent="0.3">
      <c r="B21" s="161" t="s">
        <v>106</v>
      </c>
      <c r="C21" s="162"/>
      <c r="D21" s="162"/>
      <c r="E21" s="162"/>
      <c r="F21" s="162"/>
      <c r="G21" s="162"/>
      <c r="H21" s="30"/>
      <c r="I21" s="31"/>
      <c r="J21" s="31"/>
      <c r="K21" s="32"/>
      <c r="L21" s="30"/>
      <c r="M21" s="31"/>
      <c r="N21" s="31"/>
      <c r="O21" s="32"/>
      <c r="P21" s="30"/>
      <c r="Q21" s="31"/>
      <c r="R21" s="31"/>
      <c r="S21" s="32"/>
      <c r="T21" s="30"/>
      <c r="U21" s="31"/>
      <c r="V21" s="113"/>
      <c r="W21" s="114"/>
      <c r="X21" s="30"/>
      <c r="Y21" s="31"/>
      <c r="Z21" s="31"/>
      <c r="AA21" s="32"/>
      <c r="AB21" s="30"/>
      <c r="AC21" s="31"/>
      <c r="AD21" s="31"/>
      <c r="AE21" s="32"/>
      <c r="AF21" s="30"/>
      <c r="AG21" s="31"/>
      <c r="AH21" s="31"/>
      <c r="AI21" s="32"/>
      <c r="AJ21" s="30"/>
      <c r="AK21" s="31"/>
      <c r="AL21" s="31"/>
      <c r="AM21" s="32"/>
      <c r="AN21" s="30"/>
      <c r="AO21" s="31"/>
      <c r="AP21" s="31"/>
      <c r="AQ21" s="32"/>
      <c r="AR21" s="30"/>
      <c r="AS21" s="31"/>
      <c r="AT21" s="31"/>
      <c r="AU21" s="32"/>
      <c r="AV21" s="30"/>
      <c r="AW21" s="31"/>
      <c r="AX21" s="31"/>
      <c r="AY21" s="32"/>
      <c r="AZ21" s="30"/>
      <c r="BA21" s="31"/>
      <c r="BB21" s="31"/>
      <c r="BC21" s="32"/>
      <c r="BD21" s="30"/>
      <c r="BE21" s="31"/>
      <c r="BF21" s="31"/>
      <c r="BG21" s="32"/>
      <c r="BH21" s="30"/>
      <c r="BI21" s="31"/>
      <c r="BJ21" s="31"/>
      <c r="BK21" s="32"/>
      <c r="BL21" s="30"/>
      <c r="BM21" s="31"/>
      <c r="BN21" s="31"/>
      <c r="BO21" s="32"/>
      <c r="BP21" s="30"/>
      <c r="BQ21" s="31"/>
      <c r="BR21" s="31"/>
      <c r="BS21" s="32"/>
      <c r="BT21" s="30"/>
      <c r="BU21" s="31"/>
      <c r="BV21" s="31"/>
      <c r="BW21" s="32"/>
      <c r="BX21" s="30"/>
      <c r="BY21" s="31"/>
      <c r="BZ21" s="31"/>
      <c r="CA21" s="32"/>
      <c r="CB21" s="30"/>
      <c r="CC21" s="31"/>
      <c r="CD21" s="31"/>
      <c r="CE21" s="32"/>
      <c r="CF21" s="30"/>
      <c r="CG21" s="31"/>
      <c r="CH21" s="31"/>
      <c r="CI21" s="32"/>
      <c r="CJ21" s="30"/>
      <c r="CK21" s="31"/>
      <c r="CL21" s="31"/>
      <c r="CM21" s="32"/>
      <c r="CN21" s="30"/>
      <c r="CO21" s="31"/>
      <c r="CP21" s="31"/>
      <c r="CQ21" s="32"/>
      <c r="CR21" s="30"/>
      <c r="CS21" s="31"/>
      <c r="CT21" s="31"/>
      <c r="CU21" s="32"/>
      <c r="CV21" s="30"/>
      <c r="CW21" s="31"/>
      <c r="CX21" s="31"/>
      <c r="CY21" s="32"/>
      <c r="CZ21" s="30"/>
      <c r="DA21" s="31"/>
      <c r="DB21" s="31"/>
      <c r="DC21" s="32"/>
    </row>
    <row r="22" spans="1:107" x14ac:dyDescent="0.25">
      <c r="B22" s="3"/>
      <c r="C22" s="27"/>
      <c r="D22" s="23">
        <f>H22+L22+P22+T22+X22+AB22+AF22+AJ22+AN22+AR22+AV22+AZ22+BD22+BH22+BL22+BP22+BT22+BX22+CB22+CF22+CJ22+CN22+CR22+CV22+CZ22</f>
        <v>6</v>
      </c>
      <c r="E22" s="23">
        <f>I22+M22+Q22+U22+Y22+AC22+AG22+AK22+AO22+AS22+AW22+BA22+BE22+BI22+BM22+BQ22+BV22+BY22+CD22+CG22+CL22+CO22+CT22+CW22+DB22</f>
        <v>2</v>
      </c>
      <c r="F22" s="23">
        <f>J22+N22+R22+V22+Z22+AD22+AH22+AL22+AP22+AT22+AX22+BB22+BF22+BJ22+BN22+BT22+BX22+CB22+CF22+CJ22+CN22+CR22+CV22+CZ22</f>
        <v>0</v>
      </c>
      <c r="G22" s="23">
        <f>K22+O22+S22+W22+AA22+AE22+AI22+AM22+AQ22+AU22+AY22+BC22+BG22+BK22+BO22+BV22+BY22+CD22+CG22+CL22+CO22+CT22+CW22+DB22</f>
        <v>36</v>
      </c>
      <c r="H22" s="33">
        <f>SUM(H4:H21)</f>
        <v>0</v>
      </c>
      <c r="I22" s="34">
        <f>SUM(I4:I18)</f>
        <v>1</v>
      </c>
      <c r="J22" s="34">
        <f>SUM(J4:J18)</f>
        <v>0</v>
      </c>
      <c r="K22" s="35">
        <f>SUM(K4:K20)</f>
        <v>0</v>
      </c>
      <c r="L22" s="33">
        <f t="shared" ref="L22" si="4">SUM(L4:L21)</f>
        <v>4</v>
      </c>
      <c r="M22" s="34">
        <f t="shared" ref="M22:N22" si="5">SUM(M4:M18)</f>
        <v>1</v>
      </c>
      <c r="N22" s="34">
        <f t="shared" si="5"/>
        <v>0</v>
      </c>
      <c r="O22" s="35">
        <f t="shared" ref="O22" si="6">SUM(O4:O20)</f>
        <v>0</v>
      </c>
      <c r="P22" s="33">
        <f t="shared" ref="P22" si="7">SUM(P4:P21)</f>
        <v>2</v>
      </c>
      <c r="Q22" s="34">
        <f t="shared" ref="Q22:R22" si="8">SUM(Q4:Q18)</f>
        <v>0</v>
      </c>
      <c r="R22" s="34">
        <f t="shared" si="8"/>
        <v>0</v>
      </c>
      <c r="S22" s="35">
        <f t="shared" ref="S22" si="9">SUM(S4:S20)</f>
        <v>0</v>
      </c>
      <c r="T22" s="33">
        <f t="shared" ref="T22" si="10">SUM(T4:T21)</f>
        <v>0</v>
      </c>
      <c r="U22" s="34">
        <f t="shared" ref="U22:V22" si="11">SUM(U4:U18)</f>
        <v>0</v>
      </c>
      <c r="V22" s="34">
        <f t="shared" si="11"/>
        <v>0</v>
      </c>
      <c r="W22" s="35">
        <f t="shared" ref="W22" si="12">SUM(W4:W20)</f>
        <v>3</v>
      </c>
      <c r="X22" s="33">
        <f t="shared" ref="X22" si="13">SUM(X4:X21)</f>
        <v>0</v>
      </c>
      <c r="Y22" s="34">
        <f t="shared" ref="Y22:Z22" si="14">SUM(Y4:Y18)</f>
        <v>0</v>
      </c>
      <c r="Z22" s="34">
        <f t="shared" si="14"/>
        <v>0</v>
      </c>
      <c r="AA22" s="35">
        <f t="shared" ref="AA22" si="15">SUM(AA4:AA20)</f>
        <v>3</v>
      </c>
      <c r="AB22" s="33">
        <f t="shared" ref="AB22" si="16">SUM(AB4:AB21)</f>
        <v>0</v>
      </c>
      <c r="AC22" s="34">
        <f t="shared" ref="AC22:AD22" si="17">SUM(AC4:AC18)</f>
        <v>0</v>
      </c>
      <c r="AD22" s="34">
        <f t="shared" si="17"/>
        <v>0</v>
      </c>
      <c r="AE22" s="35">
        <f t="shared" ref="AE22" si="18">SUM(AE4:AE20)</f>
        <v>3</v>
      </c>
      <c r="AF22" s="33">
        <f t="shared" ref="AF22" si="19">SUM(AF4:AF21)</f>
        <v>0</v>
      </c>
      <c r="AG22" s="34">
        <f t="shared" ref="AG22:AH22" si="20">SUM(AG4:AG18)</f>
        <v>0</v>
      </c>
      <c r="AH22" s="34">
        <f t="shared" si="20"/>
        <v>0</v>
      </c>
      <c r="AI22" s="35">
        <f t="shared" ref="AI22" si="21">SUM(AI4:AI20)</f>
        <v>3</v>
      </c>
      <c r="AJ22" s="33">
        <f t="shared" ref="AJ22" si="22">SUM(AJ4:AJ21)</f>
        <v>0</v>
      </c>
      <c r="AK22" s="34">
        <f t="shared" ref="AK22:AL22" si="23">SUM(AK4:AK18)</f>
        <v>0</v>
      </c>
      <c r="AL22" s="34">
        <f t="shared" si="23"/>
        <v>0</v>
      </c>
      <c r="AM22" s="35">
        <f t="shared" ref="AM22" si="24">SUM(AM4:AM20)</f>
        <v>3</v>
      </c>
      <c r="AN22" s="33">
        <f t="shared" ref="AN22" si="25">SUM(AN4:AN21)</f>
        <v>0</v>
      </c>
      <c r="AO22" s="34">
        <f t="shared" ref="AO22:AP22" si="26">SUM(AO4:AO18)</f>
        <v>0</v>
      </c>
      <c r="AP22" s="34">
        <f t="shared" si="26"/>
        <v>0</v>
      </c>
      <c r="AQ22" s="35">
        <f t="shared" ref="AQ22" si="27">SUM(AQ4:AQ20)</f>
        <v>3</v>
      </c>
      <c r="AR22" s="33">
        <f t="shared" ref="AR22" si="28">SUM(AR4:AR21)</f>
        <v>0</v>
      </c>
      <c r="AS22" s="34">
        <f t="shared" ref="AS22:AT22" si="29">SUM(AS4:AS18)</f>
        <v>0</v>
      </c>
      <c r="AT22" s="34">
        <f t="shared" si="29"/>
        <v>0</v>
      </c>
      <c r="AU22" s="35">
        <f t="shared" ref="AU22" si="30">SUM(AU4:AU20)</f>
        <v>3</v>
      </c>
      <c r="AV22" s="33">
        <f t="shared" ref="AV22" si="31">SUM(AV4:AV21)</f>
        <v>0</v>
      </c>
      <c r="AW22" s="34">
        <f t="shared" ref="AW22:AX22" si="32">SUM(AW4:AW18)</f>
        <v>0</v>
      </c>
      <c r="AX22" s="34">
        <f t="shared" si="32"/>
        <v>0</v>
      </c>
      <c r="AY22" s="35">
        <f t="shared" ref="AY22" si="33">SUM(AY4:AY20)</f>
        <v>3</v>
      </c>
      <c r="AZ22" s="33">
        <f t="shared" ref="AZ22" si="34">SUM(AZ4:AZ21)</f>
        <v>0</v>
      </c>
      <c r="BA22" s="34">
        <f t="shared" ref="BA22:BB22" si="35">SUM(BA4:BA18)</f>
        <v>0</v>
      </c>
      <c r="BB22" s="34">
        <f t="shared" si="35"/>
        <v>0</v>
      </c>
      <c r="BC22" s="35">
        <f t="shared" ref="BC22" si="36">SUM(BC4:BC20)</f>
        <v>3</v>
      </c>
      <c r="BD22" s="33">
        <f t="shared" ref="BD22" si="37">SUM(BD4:BD21)</f>
        <v>0</v>
      </c>
      <c r="BE22" s="34">
        <f t="shared" ref="BE22:BF22" si="38">SUM(BE4:BE18)</f>
        <v>0</v>
      </c>
      <c r="BF22" s="34">
        <f t="shared" si="38"/>
        <v>0</v>
      </c>
      <c r="BG22" s="35">
        <f t="shared" ref="BG22" si="39">SUM(BG4:BG20)</f>
        <v>3</v>
      </c>
      <c r="BH22" s="33">
        <f t="shared" ref="BH22" si="40">SUM(BH4:BH21)</f>
        <v>0</v>
      </c>
      <c r="BI22" s="34">
        <f t="shared" ref="BI22:BJ22" si="41">SUM(BI4:BI18)</f>
        <v>0</v>
      </c>
      <c r="BJ22" s="34">
        <f t="shared" si="41"/>
        <v>0</v>
      </c>
      <c r="BK22" s="35">
        <f t="shared" ref="BK22" si="42">SUM(BK4:BK20)</f>
        <v>3</v>
      </c>
      <c r="BL22" s="33">
        <f t="shared" ref="BL22" si="43">SUM(BL4:BL21)</f>
        <v>0</v>
      </c>
      <c r="BM22" s="34">
        <f t="shared" ref="BM22:BN22" si="44">SUM(BM4:BM18)</f>
        <v>0</v>
      </c>
      <c r="BN22" s="34">
        <f t="shared" si="44"/>
        <v>0</v>
      </c>
      <c r="BO22" s="35">
        <f t="shared" ref="BO22" si="45">SUM(BO4:BO20)</f>
        <v>3</v>
      </c>
      <c r="BP22" s="33">
        <f t="shared" ref="BP22" si="46">SUM(BP4:BP21)</f>
        <v>0</v>
      </c>
      <c r="BQ22" s="34">
        <f t="shared" ref="BQ22:BR22" si="47">SUM(BQ4:BQ18)</f>
        <v>0</v>
      </c>
      <c r="BR22" s="34">
        <f t="shared" si="47"/>
        <v>0</v>
      </c>
      <c r="BS22" s="35">
        <f t="shared" ref="BS22" si="48">SUM(BS4:BS20)</f>
        <v>0</v>
      </c>
      <c r="BT22" s="33">
        <f t="shared" ref="BT22" si="49">SUM(BT4:BT21)</f>
        <v>0</v>
      </c>
      <c r="BU22" s="34">
        <f t="shared" ref="BU22:BV22" si="50">SUM(BU4:BU18)</f>
        <v>0</v>
      </c>
      <c r="BV22" s="34">
        <f t="shared" si="50"/>
        <v>0</v>
      </c>
      <c r="BW22" s="35">
        <f t="shared" ref="BW22" si="51">SUM(BW4:BW20)</f>
        <v>0</v>
      </c>
      <c r="BX22" s="33">
        <f t="shared" ref="BX22" si="52">SUM(BX4:BX21)</f>
        <v>0</v>
      </c>
      <c r="BY22" s="34">
        <f t="shared" ref="BY22:BZ22" si="53">SUM(BY4:BY18)</f>
        <v>0</v>
      </c>
      <c r="BZ22" s="34">
        <f t="shared" si="53"/>
        <v>0</v>
      </c>
      <c r="CA22" s="35">
        <f t="shared" ref="CA22" si="54">SUM(CA4:CA20)</f>
        <v>0</v>
      </c>
      <c r="CB22" s="33">
        <f t="shared" ref="CB22" si="55">SUM(CB4:CB21)</f>
        <v>0</v>
      </c>
      <c r="CC22" s="34">
        <f t="shared" ref="CC22:CD22" si="56">SUM(CC4:CC18)</f>
        <v>0</v>
      </c>
      <c r="CD22" s="34">
        <f t="shared" si="56"/>
        <v>0</v>
      </c>
      <c r="CE22" s="35">
        <f t="shared" ref="CE22" si="57">SUM(CE4:CE20)</f>
        <v>0</v>
      </c>
      <c r="CF22" s="33">
        <f t="shared" ref="CF22" si="58">SUM(CF4:CF21)</f>
        <v>0</v>
      </c>
      <c r="CG22" s="34">
        <f t="shared" ref="CG22:CH22" si="59">SUM(CG4:CG18)</f>
        <v>0</v>
      </c>
      <c r="CH22" s="34">
        <f t="shared" si="59"/>
        <v>0</v>
      </c>
      <c r="CI22" s="35">
        <f t="shared" ref="CI22" si="60">SUM(CI4:CI20)</f>
        <v>0</v>
      </c>
      <c r="CJ22" s="33">
        <f t="shared" ref="CJ22" si="61">SUM(CJ4:CJ21)</f>
        <v>0</v>
      </c>
      <c r="CK22" s="34">
        <f t="shared" ref="CK22:CL22" si="62">SUM(CK4:CK18)</f>
        <v>0</v>
      </c>
      <c r="CL22" s="34">
        <f t="shared" si="62"/>
        <v>0</v>
      </c>
      <c r="CM22" s="35">
        <f t="shared" ref="CM22" si="63">SUM(CM4:CM20)</f>
        <v>0</v>
      </c>
      <c r="CN22" s="33">
        <f t="shared" ref="CN22" si="64">SUM(CN4:CN21)</f>
        <v>0</v>
      </c>
      <c r="CO22" s="34">
        <f t="shared" ref="CO22:CP22" si="65">SUM(CO4:CO18)</f>
        <v>0</v>
      </c>
      <c r="CP22" s="34">
        <f t="shared" si="65"/>
        <v>0</v>
      </c>
      <c r="CQ22" s="35">
        <f t="shared" ref="CQ22" si="66">SUM(CQ4:CQ20)</f>
        <v>0</v>
      </c>
      <c r="CR22" s="33">
        <f t="shared" ref="CR22" si="67">SUM(CR4:CR21)</f>
        <v>0</v>
      </c>
      <c r="CS22" s="34">
        <f t="shared" ref="CS22:CT22" si="68">SUM(CS4:CS18)</f>
        <v>0</v>
      </c>
      <c r="CT22" s="34">
        <f t="shared" si="68"/>
        <v>0</v>
      </c>
      <c r="CU22" s="35">
        <f t="shared" ref="CU22" si="69">SUM(CU4:CU20)</f>
        <v>0</v>
      </c>
      <c r="CV22" s="33">
        <f t="shared" ref="CV22" si="70">SUM(CV4:CV21)</f>
        <v>0</v>
      </c>
      <c r="CW22" s="34">
        <f t="shared" ref="CW22:CX22" si="71">SUM(CW4:CW18)</f>
        <v>0</v>
      </c>
      <c r="CX22" s="34">
        <f t="shared" si="71"/>
        <v>0</v>
      </c>
      <c r="CY22" s="35">
        <f t="shared" ref="CY22" si="72">SUM(CY4:CY20)</f>
        <v>0</v>
      </c>
      <c r="CZ22" s="33">
        <f t="shared" ref="CZ22" si="73">SUM(CZ4:CZ21)</f>
        <v>0</v>
      </c>
      <c r="DA22" s="34">
        <f t="shared" ref="DA22:DB22" si="74">SUM(DA4:DA18)</f>
        <v>0</v>
      </c>
      <c r="DB22" s="34">
        <f t="shared" si="74"/>
        <v>0</v>
      </c>
      <c r="DC22" s="35">
        <f t="shared" ref="DC22" si="75">SUM(DC4:DC20)</f>
        <v>0</v>
      </c>
    </row>
    <row r="23" spans="1:107" ht="14.45" customHeight="1" x14ac:dyDescent="0.25">
      <c r="B23" s="3"/>
      <c r="C23" s="27"/>
      <c r="D23" s="148" t="s">
        <v>86</v>
      </c>
      <c r="E23" s="148" t="s">
        <v>97</v>
      </c>
      <c r="F23" s="148" t="s">
        <v>99</v>
      </c>
      <c r="G23" s="148" t="s">
        <v>98</v>
      </c>
      <c r="H23" s="145" t="s">
        <v>86</v>
      </c>
      <c r="I23" s="148" t="s">
        <v>97</v>
      </c>
      <c r="J23" s="148" t="s">
        <v>99</v>
      </c>
      <c r="K23" s="151" t="s">
        <v>98</v>
      </c>
      <c r="L23" s="145" t="s">
        <v>86</v>
      </c>
      <c r="M23" s="148" t="s">
        <v>97</v>
      </c>
      <c r="N23" s="148" t="s">
        <v>99</v>
      </c>
      <c r="O23" s="151" t="s">
        <v>98</v>
      </c>
      <c r="P23" s="145" t="s">
        <v>86</v>
      </c>
      <c r="Q23" s="148" t="s">
        <v>97</v>
      </c>
      <c r="R23" s="148" t="s">
        <v>99</v>
      </c>
      <c r="S23" s="151" t="s">
        <v>98</v>
      </c>
      <c r="T23" s="145" t="s">
        <v>86</v>
      </c>
      <c r="U23" s="148" t="s">
        <v>97</v>
      </c>
      <c r="V23" s="148" t="s">
        <v>99</v>
      </c>
      <c r="W23" s="151" t="s">
        <v>98</v>
      </c>
      <c r="X23" s="145" t="s">
        <v>86</v>
      </c>
      <c r="Y23" s="148" t="s">
        <v>97</v>
      </c>
      <c r="Z23" s="148" t="s">
        <v>99</v>
      </c>
      <c r="AA23" s="151" t="s">
        <v>98</v>
      </c>
      <c r="AB23" s="145" t="s">
        <v>86</v>
      </c>
      <c r="AC23" s="148" t="s">
        <v>97</v>
      </c>
      <c r="AD23" s="148" t="s">
        <v>99</v>
      </c>
      <c r="AE23" s="151" t="s">
        <v>98</v>
      </c>
      <c r="AF23" s="145" t="s">
        <v>86</v>
      </c>
      <c r="AG23" s="148" t="s">
        <v>97</v>
      </c>
      <c r="AH23" s="148" t="s">
        <v>99</v>
      </c>
      <c r="AI23" s="151" t="s">
        <v>98</v>
      </c>
      <c r="AJ23" s="145" t="s">
        <v>86</v>
      </c>
      <c r="AK23" s="148" t="s">
        <v>97</v>
      </c>
      <c r="AL23" s="148" t="s">
        <v>99</v>
      </c>
      <c r="AM23" s="151" t="s">
        <v>98</v>
      </c>
      <c r="AN23" s="145" t="s">
        <v>86</v>
      </c>
      <c r="AO23" s="148" t="s">
        <v>97</v>
      </c>
      <c r="AP23" s="148" t="s">
        <v>99</v>
      </c>
      <c r="AQ23" s="151" t="s">
        <v>98</v>
      </c>
      <c r="AR23" s="145" t="s">
        <v>86</v>
      </c>
      <c r="AS23" s="148" t="s">
        <v>97</v>
      </c>
      <c r="AT23" s="148" t="s">
        <v>99</v>
      </c>
      <c r="AU23" s="151" t="s">
        <v>98</v>
      </c>
      <c r="AV23" s="145" t="s">
        <v>86</v>
      </c>
      <c r="AW23" s="148" t="s">
        <v>97</v>
      </c>
      <c r="AX23" s="148" t="s">
        <v>99</v>
      </c>
      <c r="AY23" s="151" t="s">
        <v>98</v>
      </c>
      <c r="AZ23" s="145" t="s">
        <v>86</v>
      </c>
      <c r="BA23" s="148" t="s">
        <v>97</v>
      </c>
      <c r="BB23" s="148" t="s">
        <v>99</v>
      </c>
      <c r="BC23" s="151" t="s">
        <v>98</v>
      </c>
      <c r="BD23" s="145" t="s">
        <v>86</v>
      </c>
      <c r="BE23" s="148" t="s">
        <v>97</v>
      </c>
      <c r="BF23" s="148" t="s">
        <v>99</v>
      </c>
      <c r="BG23" s="151" t="s">
        <v>98</v>
      </c>
      <c r="BH23" s="145" t="s">
        <v>86</v>
      </c>
      <c r="BI23" s="148" t="s">
        <v>97</v>
      </c>
      <c r="BJ23" s="148" t="s">
        <v>99</v>
      </c>
      <c r="BK23" s="151" t="s">
        <v>98</v>
      </c>
      <c r="BL23" s="145" t="s">
        <v>86</v>
      </c>
      <c r="BM23" s="148" t="s">
        <v>97</v>
      </c>
      <c r="BN23" s="148" t="s">
        <v>99</v>
      </c>
      <c r="BO23" s="151" t="s">
        <v>98</v>
      </c>
      <c r="BP23" s="145" t="s">
        <v>86</v>
      </c>
      <c r="BQ23" s="148" t="s">
        <v>97</v>
      </c>
      <c r="BR23" s="148" t="s">
        <v>99</v>
      </c>
      <c r="BS23" s="151" t="s">
        <v>98</v>
      </c>
      <c r="BT23" s="145" t="s">
        <v>86</v>
      </c>
      <c r="BU23" s="148" t="s">
        <v>97</v>
      </c>
      <c r="BV23" s="148" t="s">
        <v>99</v>
      </c>
      <c r="BW23" s="151" t="s">
        <v>98</v>
      </c>
      <c r="BX23" s="145" t="s">
        <v>86</v>
      </c>
      <c r="BY23" s="148" t="s">
        <v>97</v>
      </c>
      <c r="BZ23" s="148" t="s">
        <v>99</v>
      </c>
      <c r="CA23" s="151" t="s">
        <v>98</v>
      </c>
      <c r="CB23" s="145" t="s">
        <v>86</v>
      </c>
      <c r="CC23" s="148" t="s">
        <v>97</v>
      </c>
      <c r="CD23" s="148" t="s">
        <v>99</v>
      </c>
      <c r="CE23" s="151" t="s">
        <v>98</v>
      </c>
      <c r="CF23" s="145" t="s">
        <v>86</v>
      </c>
      <c r="CG23" s="148" t="s">
        <v>97</v>
      </c>
      <c r="CH23" s="148" t="s">
        <v>99</v>
      </c>
      <c r="CI23" s="151" t="s">
        <v>98</v>
      </c>
      <c r="CJ23" s="145" t="s">
        <v>86</v>
      </c>
      <c r="CK23" s="148" t="s">
        <v>97</v>
      </c>
      <c r="CL23" s="148" t="s">
        <v>99</v>
      </c>
      <c r="CM23" s="151" t="s">
        <v>98</v>
      </c>
      <c r="CN23" s="145" t="s">
        <v>86</v>
      </c>
      <c r="CO23" s="148" t="s">
        <v>97</v>
      </c>
      <c r="CP23" s="148" t="s">
        <v>99</v>
      </c>
      <c r="CQ23" s="151" t="s">
        <v>98</v>
      </c>
      <c r="CR23" s="145" t="s">
        <v>86</v>
      </c>
      <c r="CS23" s="148" t="s">
        <v>97</v>
      </c>
      <c r="CT23" s="148" t="s">
        <v>99</v>
      </c>
      <c r="CU23" s="151" t="s">
        <v>98</v>
      </c>
      <c r="CV23" s="145" t="s">
        <v>86</v>
      </c>
      <c r="CW23" s="148" t="s">
        <v>97</v>
      </c>
      <c r="CX23" s="148" t="s">
        <v>99</v>
      </c>
      <c r="CY23" s="151" t="s">
        <v>98</v>
      </c>
      <c r="CZ23" s="145" t="s">
        <v>86</v>
      </c>
      <c r="DA23" s="148" t="s">
        <v>97</v>
      </c>
      <c r="DB23" s="148" t="s">
        <v>99</v>
      </c>
      <c r="DC23" s="151" t="s">
        <v>98</v>
      </c>
    </row>
    <row r="24" spans="1:107" x14ac:dyDescent="0.25">
      <c r="B24" s="3"/>
      <c r="C24" s="27"/>
      <c r="D24" s="149"/>
      <c r="E24" s="149"/>
      <c r="F24" s="149"/>
      <c r="G24" s="149"/>
      <c r="H24" s="146"/>
      <c r="I24" s="149"/>
      <c r="J24" s="149"/>
      <c r="K24" s="152"/>
      <c r="L24" s="146"/>
      <c r="M24" s="149"/>
      <c r="N24" s="149"/>
      <c r="O24" s="152"/>
      <c r="P24" s="146"/>
      <c r="Q24" s="149"/>
      <c r="R24" s="149"/>
      <c r="S24" s="152"/>
      <c r="T24" s="146"/>
      <c r="U24" s="149"/>
      <c r="V24" s="149"/>
      <c r="W24" s="152"/>
      <c r="X24" s="146"/>
      <c r="Y24" s="149"/>
      <c r="Z24" s="149"/>
      <c r="AA24" s="152"/>
      <c r="AB24" s="146"/>
      <c r="AC24" s="149"/>
      <c r="AD24" s="149"/>
      <c r="AE24" s="152"/>
      <c r="AF24" s="146"/>
      <c r="AG24" s="149"/>
      <c r="AH24" s="149"/>
      <c r="AI24" s="152"/>
      <c r="AJ24" s="146"/>
      <c r="AK24" s="149"/>
      <c r="AL24" s="149"/>
      <c r="AM24" s="152"/>
      <c r="AN24" s="146"/>
      <c r="AO24" s="149"/>
      <c r="AP24" s="149"/>
      <c r="AQ24" s="152"/>
      <c r="AR24" s="146"/>
      <c r="AS24" s="149"/>
      <c r="AT24" s="149"/>
      <c r="AU24" s="152"/>
      <c r="AV24" s="146"/>
      <c r="AW24" s="149"/>
      <c r="AX24" s="149"/>
      <c r="AY24" s="152"/>
      <c r="AZ24" s="146"/>
      <c r="BA24" s="149"/>
      <c r="BB24" s="149"/>
      <c r="BC24" s="152"/>
      <c r="BD24" s="146"/>
      <c r="BE24" s="149"/>
      <c r="BF24" s="149"/>
      <c r="BG24" s="152"/>
      <c r="BH24" s="146"/>
      <c r="BI24" s="149"/>
      <c r="BJ24" s="149"/>
      <c r="BK24" s="152"/>
      <c r="BL24" s="146"/>
      <c r="BM24" s="149"/>
      <c r="BN24" s="149"/>
      <c r="BO24" s="152"/>
      <c r="BP24" s="146"/>
      <c r="BQ24" s="149"/>
      <c r="BR24" s="149"/>
      <c r="BS24" s="152"/>
      <c r="BT24" s="146"/>
      <c r="BU24" s="149"/>
      <c r="BV24" s="149"/>
      <c r="BW24" s="152"/>
      <c r="BX24" s="146"/>
      <c r="BY24" s="149"/>
      <c r="BZ24" s="149"/>
      <c r="CA24" s="152"/>
      <c r="CB24" s="146"/>
      <c r="CC24" s="149"/>
      <c r="CD24" s="149"/>
      <c r="CE24" s="152"/>
      <c r="CF24" s="146"/>
      <c r="CG24" s="149"/>
      <c r="CH24" s="149"/>
      <c r="CI24" s="152"/>
      <c r="CJ24" s="146"/>
      <c r="CK24" s="149"/>
      <c r="CL24" s="149"/>
      <c r="CM24" s="152"/>
      <c r="CN24" s="146"/>
      <c r="CO24" s="149"/>
      <c r="CP24" s="149"/>
      <c r="CQ24" s="152"/>
      <c r="CR24" s="146"/>
      <c r="CS24" s="149"/>
      <c r="CT24" s="149"/>
      <c r="CU24" s="152"/>
      <c r="CV24" s="146"/>
      <c r="CW24" s="149"/>
      <c r="CX24" s="149"/>
      <c r="CY24" s="152"/>
      <c r="CZ24" s="146"/>
      <c r="DA24" s="149"/>
      <c r="DB24" s="149"/>
      <c r="DC24" s="152"/>
    </row>
    <row r="25" spans="1:107" x14ac:dyDescent="0.25">
      <c r="D25" s="149"/>
      <c r="E25" s="149"/>
      <c r="F25" s="149"/>
      <c r="G25" s="149"/>
      <c r="H25" s="146"/>
      <c r="I25" s="149"/>
      <c r="J25" s="149"/>
      <c r="K25" s="152"/>
      <c r="L25" s="146"/>
      <c r="M25" s="149"/>
      <c r="N25" s="149"/>
      <c r="O25" s="152"/>
      <c r="P25" s="146"/>
      <c r="Q25" s="149"/>
      <c r="R25" s="149"/>
      <c r="S25" s="152"/>
      <c r="T25" s="146"/>
      <c r="U25" s="149"/>
      <c r="V25" s="149"/>
      <c r="W25" s="152"/>
      <c r="X25" s="146"/>
      <c r="Y25" s="149"/>
      <c r="Z25" s="149"/>
      <c r="AA25" s="152"/>
      <c r="AB25" s="146"/>
      <c r="AC25" s="149"/>
      <c r="AD25" s="149"/>
      <c r="AE25" s="152"/>
      <c r="AF25" s="146"/>
      <c r="AG25" s="149"/>
      <c r="AH25" s="149"/>
      <c r="AI25" s="152"/>
      <c r="AJ25" s="146"/>
      <c r="AK25" s="149"/>
      <c r="AL25" s="149"/>
      <c r="AM25" s="152"/>
      <c r="AN25" s="146"/>
      <c r="AO25" s="149"/>
      <c r="AP25" s="149"/>
      <c r="AQ25" s="152"/>
      <c r="AR25" s="146"/>
      <c r="AS25" s="149"/>
      <c r="AT25" s="149"/>
      <c r="AU25" s="152"/>
      <c r="AV25" s="146"/>
      <c r="AW25" s="149"/>
      <c r="AX25" s="149"/>
      <c r="AY25" s="152"/>
      <c r="AZ25" s="146"/>
      <c r="BA25" s="149"/>
      <c r="BB25" s="149"/>
      <c r="BC25" s="152"/>
      <c r="BD25" s="146"/>
      <c r="BE25" s="149"/>
      <c r="BF25" s="149"/>
      <c r="BG25" s="152"/>
      <c r="BH25" s="146"/>
      <c r="BI25" s="149"/>
      <c r="BJ25" s="149"/>
      <c r="BK25" s="152"/>
      <c r="BL25" s="146"/>
      <c r="BM25" s="149"/>
      <c r="BN25" s="149"/>
      <c r="BO25" s="152"/>
      <c r="BP25" s="146"/>
      <c r="BQ25" s="149"/>
      <c r="BR25" s="149"/>
      <c r="BS25" s="152"/>
      <c r="BT25" s="146"/>
      <c r="BU25" s="149"/>
      <c r="BV25" s="149"/>
      <c r="BW25" s="152"/>
      <c r="BX25" s="146"/>
      <c r="BY25" s="149"/>
      <c r="BZ25" s="149"/>
      <c r="CA25" s="152"/>
      <c r="CB25" s="146"/>
      <c r="CC25" s="149"/>
      <c r="CD25" s="149"/>
      <c r="CE25" s="152"/>
      <c r="CF25" s="146"/>
      <c r="CG25" s="149"/>
      <c r="CH25" s="149"/>
      <c r="CI25" s="152"/>
      <c r="CJ25" s="146"/>
      <c r="CK25" s="149"/>
      <c r="CL25" s="149"/>
      <c r="CM25" s="152"/>
      <c r="CN25" s="146"/>
      <c r="CO25" s="149"/>
      <c r="CP25" s="149"/>
      <c r="CQ25" s="152"/>
      <c r="CR25" s="146"/>
      <c r="CS25" s="149"/>
      <c r="CT25" s="149"/>
      <c r="CU25" s="152"/>
      <c r="CV25" s="146"/>
      <c r="CW25" s="149"/>
      <c r="CX25" s="149"/>
      <c r="CY25" s="152"/>
      <c r="CZ25" s="146"/>
      <c r="DA25" s="149"/>
      <c r="DB25" s="149"/>
      <c r="DC25" s="152"/>
    </row>
    <row r="26" spans="1:107" ht="15.75" thickBot="1" x14ac:dyDescent="0.3">
      <c r="D26" s="149"/>
      <c r="E26" s="149"/>
      <c r="F26" s="149"/>
      <c r="G26" s="149"/>
      <c r="H26" s="147"/>
      <c r="I26" s="150"/>
      <c r="J26" s="150"/>
      <c r="K26" s="153"/>
      <c r="L26" s="147"/>
      <c r="M26" s="150"/>
      <c r="N26" s="150"/>
      <c r="O26" s="153"/>
      <c r="P26" s="147"/>
      <c r="Q26" s="150"/>
      <c r="R26" s="150"/>
      <c r="S26" s="153"/>
      <c r="T26" s="147"/>
      <c r="U26" s="150"/>
      <c r="V26" s="150"/>
      <c r="W26" s="153"/>
      <c r="X26" s="147"/>
      <c r="Y26" s="150"/>
      <c r="Z26" s="150"/>
      <c r="AA26" s="153"/>
      <c r="AB26" s="147"/>
      <c r="AC26" s="150"/>
      <c r="AD26" s="150"/>
      <c r="AE26" s="153"/>
      <c r="AF26" s="147"/>
      <c r="AG26" s="150"/>
      <c r="AH26" s="150"/>
      <c r="AI26" s="153"/>
      <c r="AJ26" s="147"/>
      <c r="AK26" s="150"/>
      <c r="AL26" s="150"/>
      <c r="AM26" s="153"/>
      <c r="AN26" s="147"/>
      <c r="AO26" s="150"/>
      <c r="AP26" s="150"/>
      <c r="AQ26" s="153"/>
      <c r="AR26" s="147"/>
      <c r="AS26" s="150"/>
      <c r="AT26" s="150"/>
      <c r="AU26" s="153"/>
      <c r="AV26" s="147"/>
      <c r="AW26" s="150"/>
      <c r="AX26" s="150"/>
      <c r="AY26" s="153"/>
      <c r="AZ26" s="147"/>
      <c r="BA26" s="150"/>
      <c r="BB26" s="150"/>
      <c r="BC26" s="153"/>
      <c r="BD26" s="147"/>
      <c r="BE26" s="150"/>
      <c r="BF26" s="150"/>
      <c r="BG26" s="153"/>
      <c r="BH26" s="147"/>
      <c r="BI26" s="150"/>
      <c r="BJ26" s="150"/>
      <c r="BK26" s="153"/>
      <c r="BL26" s="147"/>
      <c r="BM26" s="150"/>
      <c r="BN26" s="150"/>
      <c r="BO26" s="153"/>
      <c r="BP26" s="147"/>
      <c r="BQ26" s="150"/>
      <c r="BR26" s="150"/>
      <c r="BS26" s="153"/>
      <c r="BT26" s="147"/>
      <c r="BU26" s="150"/>
      <c r="BV26" s="150"/>
      <c r="BW26" s="153"/>
      <c r="BX26" s="147"/>
      <c r="BY26" s="150"/>
      <c r="BZ26" s="150"/>
      <c r="CA26" s="153"/>
      <c r="CB26" s="147"/>
      <c r="CC26" s="150"/>
      <c r="CD26" s="150"/>
      <c r="CE26" s="153"/>
      <c r="CF26" s="147"/>
      <c r="CG26" s="150"/>
      <c r="CH26" s="150"/>
      <c r="CI26" s="153"/>
      <c r="CJ26" s="147"/>
      <c r="CK26" s="150"/>
      <c r="CL26" s="150"/>
      <c r="CM26" s="153"/>
      <c r="CN26" s="147"/>
      <c r="CO26" s="150"/>
      <c r="CP26" s="150"/>
      <c r="CQ26" s="153"/>
      <c r="CR26" s="147"/>
      <c r="CS26" s="150"/>
      <c r="CT26" s="150"/>
      <c r="CU26" s="153"/>
      <c r="CV26" s="147"/>
      <c r="CW26" s="150"/>
      <c r="CX26" s="150"/>
      <c r="CY26" s="153"/>
      <c r="CZ26" s="147"/>
      <c r="DA26" s="150"/>
      <c r="DB26" s="150"/>
      <c r="DC26" s="153"/>
    </row>
  </sheetData>
  <mergeCells count="199">
    <mergeCell ref="AR1:AU1"/>
    <mergeCell ref="AV1:AY1"/>
    <mergeCell ref="AR2:AU2"/>
    <mergeCell ref="AV2:AY2"/>
    <mergeCell ref="AZ2:BC2"/>
    <mergeCell ref="BD2:BG2"/>
    <mergeCell ref="H2:K2"/>
    <mergeCell ref="L2:O2"/>
    <mergeCell ref="P2:S2"/>
    <mergeCell ref="T2:W2"/>
    <mergeCell ref="X2:AA2"/>
    <mergeCell ref="AB2:AE2"/>
    <mergeCell ref="AF2:AI2"/>
    <mergeCell ref="AJ2:AM2"/>
    <mergeCell ref="AN2:AQ2"/>
    <mergeCell ref="CV1:CY1"/>
    <mergeCell ref="CZ1:DC1"/>
    <mergeCell ref="BX1:CA1"/>
    <mergeCell ref="CB1:CE1"/>
    <mergeCell ref="CF1:CI1"/>
    <mergeCell ref="CJ1:CM1"/>
    <mergeCell ref="CN1:CQ1"/>
    <mergeCell ref="CR1:CU1"/>
    <mergeCell ref="AZ1:BC1"/>
    <mergeCell ref="BD1:BG1"/>
    <mergeCell ref="BH1:BK1"/>
    <mergeCell ref="BL1:BO1"/>
    <mergeCell ref="BP1:BS1"/>
    <mergeCell ref="BT1:BW1"/>
    <mergeCell ref="AV3:AY3"/>
    <mergeCell ref="AZ3:BC3"/>
    <mergeCell ref="BD3:BG3"/>
    <mergeCell ref="BH3:BK3"/>
    <mergeCell ref="BL3:BO3"/>
    <mergeCell ref="A1:C3"/>
    <mergeCell ref="H1:K1"/>
    <mergeCell ref="L1:O1"/>
    <mergeCell ref="H3:K3"/>
    <mergeCell ref="L3:O3"/>
    <mergeCell ref="P3:S3"/>
    <mergeCell ref="T3:W3"/>
    <mergeCell ref="X3:AA3"/>
    <mergeCell ref="AB3:AE3"/>
    <mergeCell ref="AF3:AI3"/>
    <mergeCell ref="AJ3:AM3"/>
    <mergeCell ref="AN3:AQ3"/>
    <mergeCell ref="P1:S1"/>
    <mergeCell ref="T1:W1"/>
    <mergeCell ref="X1:AA1"/>
    <mergeCell ref="AB1:AE1"/>
    <mergeCell ref="AF1:AI1"/>
    <mergeCell ref="AJ1:AM1"/>
    <mergeCell ref="AN1:AQ1"/>
    <mergeCell ref="B10:C10"/>
    <mergeCell ref="B11:C11"/>
    <mergeCell ref="B12:C12"/>
    <mergeCell ref="B13:C13"/>
    <mergeCell ref="B14:C14"/>
    <mergeCell ref="B15:C15"/>
    <mergeCell ref="CV3:CY3"/>
    <mergeCell ref="CZ3:DC3"/>
    <mergeCell ref="A4:A18"/>
    <mergeCell ref="B4:C4"/>
    <mergeCell ref="B5:C5"/>
    <mergeCell ref="B6:C6"/>
    <mergeCell ref="B7:C7"/>
    <mergeCell ref="B8:C8"/>
    <mergeCell ref="B9:C9"/>
    <mergeCell ref="CN3:CQ3"/>
    <mergeCell ref="CR3:CU3"/>
    <mergeCell ref="BP3:BS3"/>
    <mergeCell ref="BT3:BW3"/>
    <mergeCell ref="BX3:CA3"/>
    <mergeCell ref="CB3:CE3"/>
    <mergeCell ref="CF3:CI3"/>
    <mergeCell ref="CJ3:CM3"/>
    <mergeCell ref="AR3:AU3"/>
    <mergeCell ref="H23:H26"/>
    <mergeCell ref="I23:I26"/>
    <mergeCell ref="J23:J26"/>
    <mergeCell ref="K23:K26"/>
    <mergeCell ref="L23:L26"/>
    <mergeCell ref="M23:M26"/>
    <mergeCell ref="B16:C16"/>
    <mergeCell ref="B18:C18"/>
    <mergeCell ref="B19:G19"/>
    <mergeCell ref="B20:G20"/>
    <mergeCell ref="B21:G21"/>
    <mergeCell ref="D23:D26"/>
    <mergeCell ref="E23:E26"/>
    <mergeCell ref="F23:F26"/>
    <mergeCell ref="G23:G26"/>
    <mergeCell ref="B17:C17"/>
    <mergeCell ref="T23:T26"/>
    <mergeCell ref="U23:U26"/>
    <mergeCell ref="V23:V26"/>
    <mergeCell ref="W23:W26"/>
    <mergeCell ref="X23:X26"/>
    <mergeCell ref="Y23:Y26"/>
    <mergeCell ref="N23:N26"/>
    <mergeCell ref="O23:O26"/>
    <mergeCell ref="P23:P26"/>
    <mergeCell ref="Q23:Q26"/>
    <mergeCell ref="R23:R26"/>
    <mergeCell ref="S23:S26"/>
    <mergeCell ref="AF23:AF26"/>
    <mergeCell ref="AG23:AG26"/>
    <mergeCell ref="AH23:AH26"/>
    <mergeCell ref="AI23:AI26"/>
    <mergeCell ref="AJ23:AJ26"/>
    <mergeCell ref="AK23:AK26"/>
    <mergeCell ref="Z23:Z26"/>
    <mergeCell ref="AA23:AA26"/>
    <mergeCell ref="AB23:AB26"/>
    <mergeCell ref="AC23:AC26"/>
    <mergeCell ref="AD23:AD26"/>
    <mergeCell ref="AE23:AE26"/>
    <mergeCell ref="AR23:AR26"/>
    <mergeCell ref="AS23:AS26"/>
    <mergeCell ref="AT23:AT26"/>
    <mergeCell ref="AU23:AU26"/>
    <mergeCell ref="AV23:AV26"/>
    <mergeCell ref="AW23:AW26"/>
    <mergeCell ref="AL23:AL26"/>
    <mergeCell ref="AM23:AM26"/>
    <mergeCell ref="AN23:AN26"/>
    <mergeCell ref="AO23:AO26"/>
    <mergeCell ref="AP23:AP26"/>
    <mergeCell ref="AQ23:AQ26"/>
    <mergeCell ref="BD23:BD26"/>
    <mergeCell ref="BE23:BE26"/>
    <mergeCell ref="BF23:BF26"/>
    <mergeCell ref="BG23:BG26"/>
    <mergeCell ref="BH23:BH26"/>
    <mergeCell ref="BI23:BI26"/>
    <mergeCell ref="AX23:AX26"/>
    <mergeCell ref="AY23:AY26"/>
    <mergeCell ref="AZ23:AZ26"/>
    <mergeCell ref="BA23:BA26"/>
    <mergeCell ref="BB23:BB26"/>
    <mergeCell ref="BC23:BC26"/>
    <mergeCell ref="BP23:BP26"/>
    <mergeCell ref="BQ23:BQ26"/>
    <mergeCell ref="BR23:BR26"/>
    <mergeCell ref="BS23:BS26"/>
    <mergeCell ref="BT23:BT26"/>
    <mergeCell ref="BU23:BU26"/>
    <mergeCell ref="BJ23:BJ26"/>
    <mergeCell ref="BK23:BK26"/>
    <mergeCell ref="BL23:BL26"/>
    <mergeCell ref="BM23:BM26"/>
    <mergeCell ref="BN23:BN26"/>
    <mergeCell ref="BO23:BO26"/>
    <mergeCell ref="CB23:CB26"/>
    <mergeCell ref="CC23:CC26"/>
    <mergeCell ref="CD23:CD26"/>
    <mergeCell ref="CE23:CE26"/>
    <mergeCell ref="CF23:CF26"/>
    <mergeCell ref="CG23:CG26"/>
    <mergeCell ref="BV23:BV26"/>
    <mergeCell ref="BW23:BW26"/>
    <mergeCell ref="BX23:BX26"/>
    <mergeCell ref="BY23:BY26"/>
    <mergeCell ref="BZ23:BZ26"/>
    <mergeCell ref="CA23:CA26"/>
    <mergeCell ref="CN23:CN26"/>
    <mergeCell ref="CO23:CO26"/>
    <mergeCell ref="CP23:CP26"/>
    <mergeCell ref="CQ23:CQ26"/>
    <mergeCell ref="CR23:CR26"/>
    <mergeCell ref="CS23:CS26"/>
    <mergeCell ref="CH23:CH26"/>
    <mergeCell ref="CI23:CI26"/>
    <mergeCell ref="CJ23:CJ26"/>
    <mergeCell ref="CK23:CK26"/>
    <mergeCell ref="CL23:CL26"/>
    <mergeCell ref="CM23:CM26"/>
    <mergeCell ref="CZ23:CZ26"/>
    <mergeCell ref="DA23:DA26"/>
    <mergeCell ref="DB23:DB26"/>
    <mergeCell ref="DC23:DC26"/>
    <mergeCell ref="CT23:CT26"/>
    <mergeCell ref="CU23:CU26"/>
    <mergeCell ref="CV23:CV26"/>
    <mergeCell ref="CW23:CW26"/>
    <mergeCell ref="CX23:CX26"/>
    <mergeCell ref="CY23:CY26"/>
    <mergeCell ref="CN2:CQ2"/>
    <mergeCell ref="CR2:CU2"/>
    <mergeCell ref="CV2:CY2"/>
    <mergeCell ref="D2:G2"/>
    <mergeCell ref="BH2:BK2"/>
    <mergeCell ref="BL2:BO2"/>
    <mergeCell ref="BP2:BS2"/>
    <mergeCell ref="BT2:BW2"/>
    <mergeCell ref="BX2:CA2"/>
    <mergeCell ref="CB2:CE2"/>
    <mergeCell ref="CF2:CI2"/>
    <mergeCell ref="CJ2:CM2"/>
  </mergeCells>
  <hyperlinks>
    <hyperlink ref="A1:C3" location="Equipos!A1" display="Equipos!A1" xr:uid="{00000000-0004-0000-0900-000000000000}"/>
    <hyperlink ref="A4:A18" location="Jugadores!A1" display="Jugador" xr:uid="{2E5F7C73-C549-4CA8-8DDD-01DE4FA09BFE}"/>
  </hyperlinks>
  <pageMargins left="0.7" right="0.7" top="0.75" bottom="0.75" header="0.3" footer="0.3"/>
  <pageSetup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C27"/>
  <sheetViews>
    <sheetView view="pageBreakPreview" zoomScaleNormal="90" zoomScaleSheetLayoutView="100" workbookViewId="0">
      <pane xSplit="7" ySplit="3" topLeftCell="BS4" activePane="bottomRight" state="frozen"/>
      <selection pane="topRight" activeCell="H1" sqref="H1"/>
      <selection pane="bottomLeft" activeCell="A3" sqref="A3"/>
      <selection pane="bottomRight" sqref="A1:C3"/>
    </sheetView>
  </sheetViews>
  <sheetFormatPr baseColWidth="10" defaultColWidth="11.42578125" defaultRowHeight="15" x14ac:dyDescent="0.25"/>
  <cols>
    <col min="1" max="1" width="4.85546875" customWidth="1"/>
    <col min="2" max="2" width="9.42578125" customWidth="1"/>
    <col min="3" max="3" width="11.5703125" style="3" customWidth="1"/>
    <col min="4" max="7" width="4.28515625" style="3" customWidth="1"/>
    <col min="8" max="8" width="3" style="3" customWidth="1"/>
    <col min="9" max="11" width="2.7109375" style="3" customWidth="1"/>
    <col min="12" max="12" width="3" style="3" customWidth="1"/>
    <col min="13" max="15" width="2.7109375" style="3" customWidth="1"/>
    <col min="16" max="16" width="3" style="3" customWidth="1"/>
    <col min="17" max="27" width="2.7109375" style="3" customWidth="1"/>
    <col min="28" max="28" width="3.28515625" style="3" customWidth="1"/>
    <col min="29" max="83" width="2.7109375" style="3" customWidth="1"/>
    <col min="84" max="84" width="3" style="3" customWidth="1"/>
    <col min="85" max="107" width="2.7109375" style="3" customWidth="1"/>
    <col min="108" max="16384" width="11.42578125" style="3"/>
  </cols>
  <sheetData>
    <row r="1" spans="1:107" ht="13.9" customHeight="1" x14ac:dyDescent="0.25">
      <c r="A1" s="183" t="str">
        <f>Equipos!B15</f>
        <v>La Unión FC</v>
      </c>
      <c r="B1" s="183"/>
      <c r="C1" s="183"/>
      <c r="H1" s="172" t="s">
        <v>5</v>
      </c>
      <c r="I1" s="173"/>
      <c r="J1" s="173"/>
      <c r="K1" s="174"/>
      <c r="L1" s="172" t="s">
        <v>6</v>
      </c>
      <c r="M1" s="173"/>
      <c r="N1" s="173"/>
      <c r="O1" s="174"/>
      <c r="P1" s="172" t="s">
        <v>7</v>
      </c>
      <c r="Q1" s="173"/>
      <c r="R1" s="173"/>
      <c r="S1" s="174"/>
      <c r="T1" s="172" t="s">
        <v>8</v>
      </c>
      <c r="U1" s="173"/>
      <c r="V1" s="173"/>
      <c r="W1" s="174"/>
      <c r="X1" s="172" t="s">
        <v>9</v>
      </c>
      <c r="Y1" s="173"/>
      <c r="Z1" s="173"/>
      <c r="AA1" s="174"/>
      <c r="AB1" s="172" t="s">
        <v>10</v>
      </c>
      <c r="AC1" s="173"/>
      <c r="AD1" s="173"/>
      <c r="AE1" s="174"/>
      <c r="AF1" s="172" t="s">
        <v>11</v>
      </c>
      <c r="AG1" s="173"/>
      <c r="AH1" s="173"/>
      <c r="AI1" s="174"/>
      <c r="AJ1" s="172" t="s">
        <v>12</v>
      </c>
      <c r="AK1" s="173"/>
      <c r="AL1" s="173"/>
      <c r="AM1" s="174"/>
      <c r="AN1" s="172" t="s">
        <v>13</v>
      </c>
      <c r="AO1" s="173"/>
      <c r="AP1" s="173"/>
      <c r="AQ1" s="174"/>
      <c r="AR1" s="172" t="s">
        <v>14</v>
      </c>
      <c r="AS1" s="173"/>
      <c r="AT1" s="173"/>
      <c r="AU1" s="174"/>
      <c r="AV1" s="172" t="s">
        <v>15</v>
      </c>
      <c r="AW1" s="173"/>
      <c r="AX1" s="173"/>
      <c r="AY1" s="174"/>
      <c r="AZ1" s="172" t="s">
        <v>16</v>
      </c>
      <c r="BA1" s="173"/>
      <c r="BB1" s="173"/>
      <c r="BC1" s="174"/>
      <c r="BD1" s="172" t="s">
        <v>17</v>
      </c>
      <c r="BE1" s="173"/>
      <c r="BF1" s="173"/>
      <c r="BG1" s="174"/>
      <c r="BH1" s="172" t="s">
        <v>18</v>
      </c>
      <c r="BI1" s="173"/>
      <c r="BJ1" s="173"/>
      <c r="BK1" s="174"/>
      <c r="BL1" s="172" t="s">
        <v>19</v>
      </c>
      <c r="BM1" s="173"/>
      <c r="BN1" s="173"/>
      <c r="BO1" s="174"/>
      <c r="BP1" s="172" t="s">
        <v>20</v>
      </c>
      <c r="BQ1" s="173"/>
      <c r="BR1" s="173"/>
      <c r="BS1" s="174"/>
      <c r="BT1" s="172" t="s">
        <v>51</v>
      </c>
      <c r="BU1" s="173"/>
      <c r="BV1" s="173"/>
      <c r="BW1" s="174"/>
      <c r="BX1" s="172" t="s">
        <v>81</v>
      </c>
      <c r="BY1" s="173"/>
      <c r="BZ1" s="173"/>
      <c r="CA1" s="174"/>
      <c r="CB1" s="172" t="s">
        <v>83</v>
      </c>
      <c r="CC1" s="173"/>
      <c r="CD1" s="173"/>
      <c r="CE1" s="174"/>
      <c r="CF1" s="172" t="s">
        <v>84</v>
      </c>
      <c r="CG1" s="173"/>
      <c r="CH1" s="173"/>
      <c r="CI1" s="174"/>
      <c r="CJ1" s="172" t="s">
        <v>85</v>
      </c>
      <c r="CK1" s="173"/>
      <c r="CL1" s="173"/>
      <c r="CM1" s="174"/>
      <c r="CN1" s="172" t="s">
        <v>93</v>
      </c>
      <c r="CO1" s="173"/>
      <c r="CP1" s="173"/>
      <c r="CQ1" s="174"/>
      <c r="CR1" s="172" t="s">
        <v>94</v>
      </c>
      <c r="CS1" s="173"/>
      <c r="CT1" s="173"/>
      <c r="CU1" s="174"/>
      <c r="CV1" s="172" t="s">
        <v>95</v>
      </c>
      <c r="CW1" s="173"/>
      <c r="CX1" s="173"/>
      <c r="CY1" s="174"/>
      <c r="CZ1" s="172" t="s">
        <v>96</v>
      </c>
      <c r="DA1" s="173"/>
      <c r="DB1" s="173"/>
      <c r="DC1" s="174"/>
    </row>
    <row r="2" spans="1:107" ht="13.9" customHeight="1" x14ac:dyDescent="0.25">
      <c r="A2" s="183"/>
      <c r="B2" s="183"/>
      <c r="C2" s="183"/>
      <c r="D2" s="143" t="s">
        <v>272</v>
      </c>
      <c r="E2" s="143"/>
      <c r="F2" s="143"/>
      <c r="G2" s="144"/>
      <c r="H2" s="140" t="str">
        <f>+_xlfn.XLOOKUP($A$1,Fixture!$D$2:$D$9,Fixture!$F$2:$F$9,_xlfn.XLOOKUP($A$1,Fixture!$F$2:$F$9,Fixture!$D$2:$D$9,"Descansa",FALSE))</f>
        <v>Villanueva</v>
      </c>
      <c r="I2" s="141"/>
      <c r="J2" s="141"/>
      <c r="K2" s="142"/>
      <c r="L2" s="140" t="str">
        <f>+_xlfn.XLOOKUP($A$1,Fixture!$D$10:$D$17,Fixture!$F$10:$F$17,_xlfn.XLOOKUP($A$1,Fixture!$F$10:$F$17,Fixture!$D$10:$D$17,"Descansa",FALSE))</f>
        <v>Ron Star</v>
      </c>
      <c r="M2" s="141"/>
      <c r="N2" s="141"/>
      <c r="O2" s="142"/>
      <c r="P2" s="175" t="str">
        <f>+_xlfn.XLOOKUP($A$1,Fixture!$D$18:$D$25,Fixture!$F$18:$F$25,_xlfn.XLOOKUP($A$1,Fixture!$F$18:$F$25,Fixture!$D$18:$D$25,"Descansa",FALSE))</f>
        <v>La Amistad</v>
      </c>
      <c r="Q2" s="176"/>
      <c r="R2" s="176"/>
      <c r="S2" s="177"/>
      <c r="T2" s="140" t="str">
        <f>+_xlfn.XLOOKUP($A$1,Fixture!$D$26:$D$33,Fixture!$F$26:$F$33,_xlfn.XLOOKUP($A$1,Fixture!$F$26:$F$33,Fixture!$D$26:$D$33,"Descansa",FALSE))</f>
        <v>Hojas Anchas</v>
      </c>
      <c r="U2" s="141"/>
      <c r="V2" s="141"/>
      <c r="W2" s="142"/>
      <c r="X2" s="140" t="str">
        <f>+_xlfn.XLOOKUP($A$1,Fixture!$D$34:$D$41,Fixture!$F$34:$F$41,_xlfn.XLOOKUP($A$1,Fixture!$F$34:$F$41,Fixture!$D$34:$D$41,"Descansa",FALSE))</f>
        <v>Los Aliados</v>
      </c>
      <c r="Y2" s="141"/>
      <c r="Z2" s="141"/>
      <c r="AA2" s="142"/>
      <c r="AB2" s="140" t="str">
        <f>+_xlfn.XLOOKUP($A$1,Fixture!$D$42:$D$49,Fixture!$F$42:$F$49,_xlfn.XLOOKUP($A$1,Fixture!$F$42:$F$49,Fixture!$D$42:$D$49,"Descansa",FALSE))</f>
        <v>Boca Juniors</v>
      </c>
      <c r="AC2" s="141"/>
      <c r="AD2" s="141"/>
      <c r="AE2" s="142"/>
      <c r="AF2" s="140" t="str">
        <f>+_xlfn.XLOOKUP($A$1,Fixture!$D$50:$D$57,Fixture!$F$50:$F$57,_xlfn.XLOOKUP($A$1,Fixture!$F$50:$F$57,Fixture!$D$50:$D$57,"Descansa",FALSE))</f>
        <v>Deportivo Fénix</v>
      </c>
      <c r="AG2" s="141"/>
      <c r="AH2" s="141"/>
      <c r="AI2" s="142"/>
      <c r="AJ2" s="140" t="str">
        <f>+_xlfn.XLOOKUP($A$1,Fixture!$D$58:$D$65,Fixture!$F$58:$F$65,_xlfn.XLOOKUP($A$1,Fixture!$F$58:$F$65,Fixture!$D$58:$D$65,"Descansa",FALSE))</f>
        <v>Rayos FC</v>
      </c>
      <c r="AK2" s="141"/>
      <c r="AL2" s="141"/>
      <c r="AM2" s="142"/>
      <c r="AN2" s="140" t="str">
        <f>+_xlfn.XLOOKUP($A$1,Fixture!$D$66:$D$73,Fixture!$F$66:$F$73,_xlfn.XLOOKUP($A$1,Fixture!$F$66:$F$73,Fixture!$D$66:$D$73,"Descansa",FALSE))</f>
        <v>Valentín FC</v>
      </c>
      <c r="AO2" s="141"/>
      <c r="AP2" s="141"/>
      <c r="AQ2" s="142"/>
      <c r="AR2" s="140" t="str">
        <f>+_xlfn.XLOOKUP($A$1,Fixture!$D$74:$D$81,Fixture!$F$74:$F$81,_xlfn.XLOOKUP($A$1,Fixture!$F$74:$F$81,Fixture!$D$74:$D$81,"Descansa",FALSE))</f>
        <v>CD El Corozo</v>
      </c>
      <c r="AS2" s="141"/>
      <c r="AT2" s="141"/>
      <c r="AU2" s="142"/>
      <c r="AV2" s="140" t="str">
        <f>+_xlfn.XLOOKUP($A$1,Fixture!$D$82:$D$89,Fixture!$F$82:$F$89,_xlfn.XLOOKUP($A$1,Fixture!$F$82:$F$89,Fixture!$D$82:$D$89,"Descansa",FALSE))</f>
        <v>Atalanta</v>
      </c>
      <c r="AW2" s="141"/>
      <c r="AX2" s="141"/>
      <c r="AY2" s="142"/>
      <c r="AZ2" s="140" t="str">
        <f>+_xlfn.XLOOKUP($A$1,Fixture!$D$90:$D$97,Fixture!$F$90:$F$97,_xlfn.XLOOKUP($A$1,Fixture!$F$90:$F$97,Fixture!$D$90:$D$97,"Descansa",FALSE))</f>
        <v>Los Amigos</v>
      </c>
      <c r="BA2" s="141"/>
      <c r="BB2" s="141"/>
      <c r="BC2" s="142"/>
      <c r="BD2" s="140" t="str">
        <f>+_xlfn.XLOOKUP($A$1,Fixture!$D$98:$D$105,Fixture!$F$98:$F$105,_xlfn.XLOOKUP($A$1,Fixture!$F$98:$F$105,Fixture!$D$98:$D$105,"Descansa",FALSE))</f>
        <v>La Nueva Era</v>
      </c>
      <c r="BE2" s="141"/>
      <c r="BF2" s="141"/>
      <c r="BG2" s="142"/>
      <c r="BH2" s="140" t="str">
        <f>+_xlfn.XLOOKUP($A$1,Fixture!$D$106:$D$113,Fixture!$F$106:$F$113,_xlfn.XLOOKUP($A$1,Fixture!$F$106:$F$113,Fixture!$D$106:$D$113,"Descansa",FALSE))</f>
        <v>Amenadim</v>
      </c>
      <c r="BI2" s="141"/>
      <c r="BJ2" s="141"/>
      <c r="BK2" s="142"/>
      <c r="BL2" s="140" t="str">
        <f>+_xlfn.XLOOKUP($A$1,Fixture!$D$114:$D$121,Fixture!$F$114:$F$121,_xlfn.XLOOKUP($A$1,Fixture!$F$114:$F$121,Fixture!$D$114:$D$121,"Descansa",FALSE))</f>
        <v>Konami</v>
      </c>
      <c r="BM2" s="141"/>
      <c r="BN2" s="141"/>
      <c r="BO2" s="142"/>
      <c r="BP2" s="140" t="str">
        <f>+_xlfn.XLOOKUP($A$1,Fixture!$D$122:$D$128,Fixture!$F$122:$F$128,_xlfn.XLOOKUP($A$1,Fixture!$F$122:$F$128,Fixture!$D$122:$D$128,"Descansa",FALSE))</f>
        <v>Atalanta</v>
      </c>
      <c r="BQ2" s="141"/>
      <c r="BR2" s="141"/>
      <c r="BS2" s="142"/>
      <c r="BT2" s="140" t="str">
        <f>+_xlfn.XLOOKUP($A$1,Fixture!$D$129:$D$135,Fixture!$F$129:$F$135,_xlfn.XLOOKUP($A$1,Fixture!$F$129:$F$135,Fixture!$D$129:$D$135,"Descansa",FALSE))</f>
        <v>Los Amigos</v>
      </c>
      <c r="BU2" s="141"/>
      <c r="BV2" s="141"/>
      <c r="BW2" s="142"/>
      <c r="BX2" s="140" t="str">
        <f>+_xlfn.XLOOKUP($A$1,Fixture!$D$136:$D$141,Fixture!$F$136:$F$141,_xlfn.XLOOKUP($A$1,Fixture!$F$136:$F$141,Fixture!$D$136:$D$141,"Descansa",FALSE))</f>
        <v>Los Aliados</v>
      </c>
      <c r="BY2" s="141"/>
      <c r="BZ2" s="141"/>
      <c r="CA2" s="142"/>
      <c r="CB2" s="140" t="str">
        <f>+_xlfn.XLOOKUP($A$1,Fixture!$D$142:$D$149,Fixture!$F$142:$F$149,_xlfn.XLOOKUP($A$1,Fixture!$F$142:$F$149,Fixture!$D$142:$D$149,"Descansa",FALSE))</f>
        <v>Valentín FC</v>
      </c>
      <c r="CC2" s="141"/>
      <c r="CD2" s="141"/>
      <c r="CE2" s="142"/>
      <c r="CF2" s="140" t="str">
        <f>+_xlfn.XLOOKUP($A$1,Fixture!$D$150:$D$155,Fixture!$F$150:$F$155,_xlfn.XLOOKUP($A$1,Fixture!$F$150:$F$155,Fixture!$D$150:$D$155,"Descansa",FALSE))</f>
        <v>Hojas Anchas</v>
      </c>
      <c r="CG2" s="141"/>
      <c r="CH2" s="141"/>
      <c r="CI2" s="142"/>
      <c r="CJ2" s="140" t="str">
        <f>+_xlfn.XLOOKUP($A$1,Fixture!$D$156:$D$161,Fixture!$F$156:$F$161,_xlfn.XLOOKUP($A$1,Fixture!$F$156:$F$161,Fixture!$D$156:$D$161,"Descansa",FALSE))</f>
        <v>Descansa</v>
      </c>
      <c r="CK2" s="141"/>
      <c r="CL2" s="141"/>
      <c r="CM2" s="142"/>
      <c r="CN2" s="140" t="str">
        <f>+_xlfn.XLOOKUP($A$1,Fixture!$D$162:$D$167,Fixture!$F$162:$F$167,_xlfn.XLOOKUP($A$1,Fixture!$F$162:$F$167,Fixture!$D$162:$D$167,"Descansa",FALSE))</f>
        <v>Boca Juniors</v>
      </c>
      <c r="CO2" s="141"/>
      <c r="CP2" s="141"/>
      <c r="CQ2" s="142"/>
      <c r="CR2" s="140" t="str">
        <f>+_xlfn.XLOOKUP($A$1,Fixture!$D$168:$D$169,Fixture!$F$168:$F$169,_xlfn.XLOOKUP($A$1,Fixture!$F$168:$F$169,Fixture!$D$168:$D$169,"Descanssa",FALSE))</f>
        <v>Descanssa</v>
      </c>
      <c r="CS2" s="141"/>
      <c r="CT2" s="141"/>
      <c r="CU2" s="142"/>
      <c r="CV2" s="140" t="str">
        <f>+_xlfn.XLOOKUP($A$1,Fixture!$D$170:$D$171,Fixture!$F$170:$F$171,_xlfn.XLOOKUP($A$1,Fixture!$F$170:$F$171,Fixture!$D$170:$D$171,"Descansa",FALSE))</f>
        <v>Descansa</v>
      </c>
      <c r="CW2" s="141"/>
      <c r="CX2" s="141"/>
      <c r="CY2" s="142"/>
      <c r="CZ2" s="184"/>
      <c r="DA2" s="185"/>
      <c r="DB2" s="185"/>
      <c r="DC2" s="186"/>
    </row>
    <row r="3" spans="1:107" ht="14.45" customHeight="1" x14ac:dyDescent="0.25">
      <c r="A3" s="183"/>
      <c r="B3" s="183"/>
      <c r="C3" s="183"/>
      <c r="D3" s="22" t="s">
        <v>89</v>
      </c>
      <c r="E3" s="22" t="s">
        <v>90</v>
      </c>
      <c r="F3" s="22" t="s">
        <v>91</v>
      </c>
      <c r="G3" s="24" t="s">
        <v>92</v>
      </c>
      <c r="H3" s="166">
        <f>IF(Fixture!$C3=0,"",Fixture!$C3)</f>
        <v>45676</v>
      </c>
      <c r="I3" s="167"/>
      <c r="J3" s="167"/>
      <c r="K3" s="168"/>
      <c r="L3" s="166">
        <f>IF(Fixture!$C11=0,"",Fixture!$C11)</f>
        <v>45683</v>
      </c>
      <c r="M3" s="167"/>
      <c r="N3" s="167"/>
      <c r="O3" s="168"/>
      <c r="P3" s="166">
        <f>IF(Fixture!$C19=0,"",Fixture!$C19)</f>
        <v>45690</v>
      </c>
      <c r="Q3" s="167"/>
      <c r="R3" s="167"/>
      <c r="S3" s="168"/>
      <c r="T3" s="166">
        <f>IF(Fixture!$C26=0,"",Fixture!$C26)</f>
        <v>45697</v>
      </c>
      <c r="U3" s="167"/>
      <c r="V3" s="167"/>
      <c r="W3" s="168"/>
      <c r="X3" s="166">
        <f>IF(Fixture!$C34=0,"",Fixture!$C34)</f>
        <v>45704</v>
      </c>
      <c r="Y3" s="167"/>
      <c r="Z3" s="167"/>
      <c r="AA3" s="168"/>
      <c r="AB3" s="166">
        <f>IF(Fixture!$C49=0,"",Fixture!$C49)</f>
        <v>45711</v>
      </c>
      <c r="AC3" s="167"/>
      <c r="AD3" s="167"/>
      <c r="AE3" s="168"/>
      <c r="AF3" s="166">
        <f>IF(Fixture!$C50=0,"",Fixture!$C50)</f>
        <v>45718</v>
      </c>
      <c r="AG3" s="167"/>
      <c r="AH3" s="167"/>
      <c r="AI3" s="168"/>
      <c r="AJ3" s="166">
        <f>IF(Fixture!$C58=0,"",Fixture!$C58)</f>
        <v>45725</v>
      </c>
      <c r="AK3" s="167"/>
      <c r="AL3" s="167"/>
      <c r="AM3" s="168"/>
      <c r="AN3" s="166">
        <f>IF(Fixture!$C67=0,"",Fixture!$C67)</f>
        <v>45704</v>
      </c>
      <c r="AO3" s="167"/>
      <c r="AP3" s="167"/>
      <c r="AQ3" s="168"/>
      <c r="AR3" s="166">
        <f>IF(Fixture!$C75=0,"",Fixture!$C75)</f>
        <v>45746</v>
      </c>
      <c r="AS3" s="167"/>
      <c r="AT3" s="167"/>
      <c r="AU3" s="168"/>
      <c r="AV3" s="166">
        <f>IF(Fixture!$C84=0,"",Fixture!$C84)</f>
        <v>45753</v>
      </c>
      <c r="AW3" s="167"/>
      <c r="AX3" s="167"/>
      <c r="AY3" s="168"/>
      <c r="AZ3" s="166">
        <f>IF(Fixture!$C92=0,"",Fixture!$C92)</f>
        <v>45774</v>
      </c>
      <c r="BA3" s="167"/>
      <c r="BB3" s="167"/>
      <c r="BC3" s="168"/>
      <c r="BD3" s="166">
        <f>IF(Fixture!$C101=0,"",Fixture!$C101)</f>
        <v>45781</v>
      </c>
      <c r="BE3" s="167"/>
      <c r="BF3" s="167"/>
      <c r="BG3" s="168"/>
      <c r="BH3" s="166" t="e">
        <f>+VLOOKUP(BH1,Resultados!$A$3:$B$71,2,FALSE)</f>
        <v>#N/A</v>
      </c>
      <c r="BI3" s="167"/>
      <c r="BJ3" s="167"/>
      <c r="BK3" s="168"/>
      <c r="BL3" s="166" t="e">
        <f>+VLOOKUP(BL1,Resultados!$A$3:$B$71,2,FALSE)</f>
        <v>#N/A</v>
      </c>
      <c r="BM3" s="167"/>
      <c r="BN3" s="167"/>
      <c r="BO3" s="168"/>
      <c r="BP3" s="163" t="e">
        <f>+VLOOKUP(BP1,Resultados!$A$3:$B$71,2,FALSE)</f>
        <v>#N/A</v>
      </c>
      <c r="BQ3" s="164"/>
      <c r="BR3" s="164"/>
      <c r="BS3" s="165"/>
      <c r="BT3" s="163" t="e">
        <f>+VLOOKUP(BT1,Resultados!$A$3:$B$71,2,FALSE)</f>
        <v>#N/A</v>
      </c>
      <c r="BU3" s="164"/>
      <c r="BV3" s="164"/>
      <c r="BW3" s="165"/>
      <c r="BX3" s="163" t="e">
        <f>+VLOOKUP(BX1,Resultados!$A$3:$B$71,2,FALSE)</f>
        <v>#N/A</v>
      </c>
      <c r="BY3" s="164"/>
      <c r="BZ3" s="164"/>
      <c r="CA3" s="165"/>
      <c r="CB3" s="163" t="e">
        <f>+VLOOKUP(CB1,Resultados!$A$3:$B$71,2,FALSE)</f>
        <v>#N/A</v>
      </c>
      <c r="CC3" s="164"/>
      <c r="CD3" s="164"/>
      <c r="CE3" s="165"/>
      <c r="CF3" s="163" t="e">
        <f>+VLOOKUP(CF1,Resultados!$A$3:$B$71,2,FALSE)</f>
        <v>#N/A</v>
      </c>
      <c r="CG3" s="164"/>
      <c r="CH3" s="164"/>
      <c r="CI3" s="165"/>
      <c r="CJ3" s="163" t="e">
        <f>+VLOOKUP(CJ1,Resultados!$A$3:$B$71,2,FALSE)</f>
        <v>#N/A</v>
      </c>
      <c r="CK3" s="164"/>
      <c r="CL3" s="164"/>
      <c r="CM3" s="165"/>
      <c r="CN3" s="163" t="e">
        <f>+VLOOKUP(CN1,Resultados!$A$3:$B$71,2,FALSE)</f>
        <v>#N/A</v>
      </c>
      <c r="CO3" s="164"/>
      <c r="CP3" s="164"/>
      <c r="CQ3" s="165"/>
      <c r="CR3" s="163" t="e">
        <f>+VLOOKUP(CR1,Resultados!$A$3:$B$71,2,FALSE)</f>
        <v>#N/A</v>
      </c>
      <c r="CS3" s="164"/>
      <c r="CT3" s="164"/>
      <c r="CU3" s="165"/>
      <c r="CV3" s="163" t="e">
        <f>+VLOOKUP(CV1,Resultados!$A$3:$B$71,2,FALSE)</f>
        <v>#N/A</v>
      </c>
      <c r="CW3" s="164"/>
      <c r="CX3" s="164"/>
      <c r="CY3" s="165"/>
      <c r="CZ3" s="163" t="e">
        <f>+VLOOKUP(CZ1,Resultados!$A$3:$B$71,2,FALSE)</f>
        <v>#N/A</v>
      </c>
      <c r="DA3" s="164"/>
      <c r="DB3" s="164"/>
      <c r="DC3" s="165"/>
    </row>
    <row r="4" spans="1:107" ht="19.899999999999999" customHeight="1" x14ac:dyDescent="0.25">
      <c r="A4" s="178" t="s">
        <v>3</v>
      </c>
      <c r="B4" s="154" t="str">
        <f>Jugadores!M3</f>
        <v>Donaldo Reyes</v>
      </c>
      <c r="C4" s="155"/>
      <c r="D4" s="24">
        <f>H4+L4+P4+T4+X4+AB4+AF4+AJ4+AN4+AR4+AV4+AZ4+BD4+BH4+BL4+BP4+BT4+BX4+CB4+CF4+CJ4+CN4+CR4+CV4+CZ4</f>
        <v>6</v>
      </c>
      <c r="E4" s="24">
        <f>I4+M4+Q4+U4+Y4+AC4+AG4+AK4+AO4+AS4+AW4+BA4+BE4+BI4+BM4+BQ4+BV4+BY4+CD4+CG4+CL4+CO4+CT4+CW4+DB4</f>
        <v>0</v>
      </c>
      <c r="F4" s="115">
        <f>J4+N4+R4+V4+Z4+AD4+AH4+AL4+AP4+AT4+AX4+BB4+BF4+BJ4+BN4+BT4+BX4+CB4+CF4+CJ4+CN4+CR4+CV4+CZ4</f>
        <v>1</v>
      </c>
      <c r="G4" s="115">
        <f>K4+O4+S4+W4+AA4+AE4+AI4+AM4+AQ4+AU4+AY4+BC4+BG4+BK4+BO4+BV4+BY4+CD4+CG4+CL4+CO4+CT4+CW4+DB4</f>
        <v>0</v>
      </c>
      <c r="H4" s="28"/>
      <c r="I4" s="26"/>
      <c r="J4" s="26"/>
      <c r="K4" s="29"/>
      <c r="L4" s="28">
        <v>2</v>
      </c>
      <c r="M4" s="26"/>
      <c r="N4" s="26"/>
      <c r="O4" s="29"/>
      <c r="P4" s="28"/>
      <c r="Q4" s="26"/>
      <c r="R4" s="105"/>
      <c r="S4" s="106"/>
      <c r="T4" s="28">
        <v>1</v>
      </c>
      <c r="U4" s="26"/>
      <c r="V4" s="26"/>
      <c r="W4" s="29"/>
      <c r="X4" s="28"/>
      <c r="Y4" s="26"/>
      <c r="Z4" s="26"/>
      <c r="AA4" s="29"/>
      <c r="AB4" s="28"/>
      <c r="AC4" s="26"/>
      <c r="AD4" s="26"/>
      <c r="AE4" s="29"/>
      <c r="AF4" s="28"/>
      <c r="AG4" s="26"/>
      <c r="AH4" s="26"/>
      <c r="AI4" s="29"/>
      <c r="AJ4" s="28"/>
      <c r="AK4" s="26"/>
      <c r="AL4" s="26"/>
      <c r="AM4" s="29"/>
      <c r="AN4" s="28"/>
      <c r="AO4" s="26"/>
      <c r="AP4" s="26"/>
      <c r="AQ4" s="29"/>
      <c r="AR4" s="28"/>
      <c r="AS4" s="26"/>
      <c r="AT4" s="26"/>
      <c r="AU4" s="29"/>
      <c r="AV4" s="28"/>
      <c r="AW4" s="26"/>
      <c r="AX4" s="26"/>
      <c r="AY4" s="29"/>
      <c r="AZ4" s="28"/>
      <c r="BA4" s="26"/>
      <c r="BB4" s="26"/>
      <c r="BC4" s="29"/>
      <c r="BD4" s="28"/>
      <c r="BE4" s="26"/>
      <c r="BF4" s="26"/>
      <c r="BG4" s="29"/>
      <c r="BH4" s="28"/>
      <c r="BI4" s="26"/>
      <c r="BJ4" s="26"/>
      <c r="BK4" s="29"/>
      <c r="BL4" s="28">
        <v>2</v>
      </c>
      <c r="BM4" s="26"/>
      <c r="BN4" s="26"/>
      <c r="BO4" s="29"/>
      <c r="BP4" s="28"/>
      <c r="BQ4" s="26"/>
      <c r="BR4" s="26"/>
      <c r="BS4" s="29"/>
      <c r="BT4" s="28">
        <v>1</v>
      </c>
      <c r="BU4" s="26"/>
      <c r="BV4" s="26"/>
      <c r="BW4" s="29"/>
      <c r="BX4" s="28"/>
      <c r="BY4" s="26"/>
      <c r="BZ4" s="26"/>
      <c r="CA4" s="29"/>
      <c r="CB4" s="28"/>
      <c r="CC4" s="26"/>
      <c r="CD4" s="26"/>
      <c r="CE4" s="29"/>
      <c r="CF4" s="28"/>
      <c r="CG4" s="26"/>
      <c r="CH4" s="26"/>
      <c r="CI4" s="29"/>
      <c r="CJ4" s="28"/>
      <c r="CK4" s="26"/>
      <c r="CL4" s="26"/>
      <c r="CM4" s="29"/>
      <c r="CN4" s="28"/>
      <c r="CO4" s="26"/>
      <c r="CP4" s="26"/>
      <c r="CQ4" s="29"/>
      <c r="CR4" s="28"/>
      <c r="CS4" s="26"/>
      <c r="CT4" s="26"/>
      <c r="CU4" s="29"/>
      <c r="CV4" s="28"/>
      <c r="CW4" s="26"/>
      <c r="CX4" s="26"/>
      <c r="CY4" s="29"/>
      <c r="CZ4" s="28"/>
      <c r="DA4" s="26"/>
      <c r="DB4" s="26"/>
      <c r="DC4" s="29"/>
    </row>
    <row r="5" spans="1:107" ht="19.899999999999999" customHeight="1" x14ac:dyDescent="0.25">
      <c r="A5" s="178"/>
      <c r="B5" s="154" t="str">
        <f>Jugadores!M4</f>
        <v>Alexander Salgado</v>
      </c>
      <c r="C5" s="155"/>
      <c r="D5" s="24">
        <f t="shared" ref="D5:D18" si="0">H5+L5+P5+T5+X5+AB5+AF5+AJ5+AN5+AR5+AV5+AZ5+BD5+BH5+BL5+BP5+BT5+BX5+CB5+CF5+CJ5+CN5+CR5+CV5+CZ5</f>
        <v>49</v>
      </c>
      <c r="E5" s="24">
        <f t="shared" ref="E5:E18" si="1">I5+M5+Q5+U5+Y5+AC5+AG5+AK5+AO5+AS5+AW5+BA5+BE5+BI5+BM5+BQ5+BV5+BY5+CD5+CG5+CL5+CO5+CT5+CW5+DB5</f>
        <v>4</v>
      </c>
      <c r="F5" s="115">
        <f t="shared" ref="F5:F18" si="2">J5+N5+R5+V5+Z5+AD5+AH5+AL5+AP5+AT5+AX5+BB5+BF5+BJ5+BN5+BT5+BX5+CB5+CF5+CJ5+CN5+CR5+CV5+CZ5</f>
        <v>9</v>
      </c>
      <c r="G5" s="115">
        <f t="shared" ref="G5:G18" si="3">K5+O5+S5+W5+AA5+AE5+AI5+AM5+AQ5+AU5+AY5+BC5+BG5+BK5+BO5+BV5+BY5+CD5+CG5+CL5+CO5+CT5+CW5+DB5</f>
        <v>0</v>
      </c>
      <c r="H5" s="28">
        <v>1</v>
      </c>
      <c r="I5" s="26"/>
      <c r="J5" s="26"/>
      <c r="K5" s="29"/>
      <c r="L5" s="28">
        <v>1</v>
      </c>
      <c r="M5" s="26"/>
      <c r="N5" s="26"/>
      <c r="O5" s="29"/>
      <c r="P5" s="28">
        <v>2</v>
      </c>
      <c r="Q5" s="26">
        <v>1</v>
      </c>
      <c r="R5" s="105"/>
      <c r="S5" s="106"/>
      <c r="T5" s="28">
        <v>5</v>
      </c>
      <c r="U5" s="26"/>
      <c r="V5" s="26"/>
      <c r="W5" s="29"/>
      <c r="X5" s="28">
        <v>3</v>
      </c>
      <c r="Y5" s="26"/>
      <c r="Z5" s="26"/>
      <c r="AA5" s="29"/>
      <c r="AB5" s="28">
        <v>2</v>
      </c>
      <c r="AC5" s="26">
        <v>1</v>
      </c>
      <c r="AD5" s="26"/>
      <c r="AE5" s="29"/>
      <c r="AF5" s="28">
        <v>7</v>
      </c>
      <c r="AG5" s="26"/>
      <c r="AH5" s="26"/>
      <c r="AI5" s="29"/>
      <c r="AJ5" s="28"/>
      <c r="AK5" s="26"/>
      <c r="AL5" s="26"/>
      <c r="AM5" s="29"/>
      <c r="AN5" s="28"/>
      <c r="AO5" s="26"/>
      <c r="AP5" s="26"/>
      <c r="AQ5" s="29"/>
      <c r="AR5" s="28">
        <v>2</v>
      </c>
      <c r="AS5" s="26"/>
      <c r="AT5" s="26"/>
      <c r="AU5" s="29"/>
      <c r="AV5" s="28">
        <v>3</v>
      </c>
      <c r="AW5" s="26"/>
      <c r="AX5" s="26"/>
      <c r="AY5" s="29"/>
      <c r="AZ5" s="28">
        <v>1</v>
      </c>
      <c r="BA5" s="26">
        <v>1</v>
      </c>
      <c r="BB5" s="26"/>
      <c r="BC5" s="29"/>
      <c r="BD5" s="28">
        <v>7</v>
      </c>
      <c r="BE5" s="26"/>
      <c r="BF5" s="26"/>
      <c r="BG5" s="29"/>
      <c r="BH5" s="28">
        <v>2</v>
      </c>
      <c r="BI5" s="26"/>
      <c r="BJ5" s="26"/>
      <c r="BK5" s="29"/>
      <c r="BL5" s="28">
        <v>1</v>
      </c>
      <c r="BM5" s="26">
        <v>1</v>
      </c>
      <c r="BN5" s="26"/>
      <c r="BO5" s="29"/>
      <c r="BP5" s="28">
        <v>3</v>
      </c>
      <c r="BQ5" s="26"/>
      <c r="BR5" s="26"/>
      <c r="BS5" s="29"/>
      <c r="BT5" s="28">
        <v>2</v>
      </c>
      <c r="BU5" s="26"/>
      <c r="BV5" s="26"/>
      <c r="BW5" s="29"/>
      <c r="BX5" s="28">
        <v>2</v>
      </c>
      <c r="BY5" s="26"/>
      <c r="BZ5" s="26"/>
      <c r="CA5" s="29"/>
      <c r="CB5" s="28"/>
      <c r="CC5" s="26">
        <v>1</v>
      </c>
      <c r="CD5" s="26"/>
      <c r="CE5" s="29"/>
      <c r="CF5" s="28">
        <v>4</v>
      </c>
      <c r="CG5" s="26"/>
      <c r="CH5" s="26"/>
      <c r="CI5" s="29"/>
      <c r="CJ5" s="28"/>
      <c r="CK5" s="26"/>
      <c r="CL5" s="26"/>
      <c r="CM5" s="29"/>
      <c r="CN5" s="28"/>
      <c r="CO5" s="26"/>
      <c r="CP5" s="26"/>
      <c r="CQ5" s="29"/>
      <c r="CR5" s="28">
        <v>1</v>
      </c>
      <c r="CS5" s="26"/>
      <c r="CT5" s="26"/>
      <c r="CU5" s="29"/>
      <c r="CV5" s="28"/>
      <c r="CW5" s="26"/>
      <c r="CX5" s="26"/>
      <c r="CY5" s="29"/>
      <c r="CZ5" s="28"/>
      <c r="DA5" s="26"/>
      <c r="DB5" s="26"/>
      <c r="DC5" s="29"/>
    </row>
    <row r="6" spans="1:107" ht="19.899999999999999" customHeight="1" x14ac:dyDescent="0.25">
      <c r="A6" s="178"/>
      <c r="B6" s="154" t="str">
        <f>Jugadores!M5</f>
        <v>José Andrés Cantero</v>
      </c>
      <c r="C6" s="155"/>
      <c r="D6" s="24">
        <f t="shared" si="0"/>
        <v>6</v>
      </c>
      <c r="E6" s="24">
        <f t="shared" si="1"/>
        <v>0</v>
      </c>
      <c r="F6" s="115">
        <f t="shared" si="2"/>
        <v>2</v>
      </c>
      <c r="G6" s="115">
        <f t="shared" si="3"/>
        <v>0</v>
      </c>
      <c r="H6" s="28">
        <v>1</v>
      </c>
      <c r="I6" s="26"/>
      <c r="J6" s="26"/>
      <c r="K6" s="29"/>
      <c r="L6" s="28"/>
      <c r="M6" s="26"/>
      <c r="N6" s="26"/>
      <c r="O6" s="29"/>
      <c r="P6" s="28">
        <v>1</v>
      </c>
      <c r="Q6" s="26"/>
      <c r="R6" s="105"/>
      <c r="S6" s="106"/>
      <c r="T6" s="28"/>
      <c r="U6" s="26"/>
      <c r="V6" s="26"/>
      <c r="W6" s="29"/>
      <c r="X6" s="28">
        <v>2</v>
      </c>
      <c r="Y6" s="26"/>
      <c r="Z6" s="26"/>
      <c r="AA6" s="29"/>
      <c r="AB6" s="28"/>
      <c r="AC6" s="26"/>
      <c r="AD6" s="26"/>
      <c r="AE6" s="29"/>
      <c r="AF6" s="28"/>
      <c r="AG6" s="26"/>
      <c r="AH6" s="26"/>
      <c r="AI6" s="29"/>
      <c r="AJ6" s="28"/>
      <c r="AK6" s="26"/>
      <c r="AL6" s="26"/>
      <c r="AM6" s="29"/>
      <c r="AN6" s="28"/>
      <c r="AO6" s="26"/>
      <c r="AP6" s="26"/>
      <c r="AQ6" s="29"/>
      <c r="AR6" s="28"/>
      <c r="AS6" s="26"/>
      <c r="AT6" s="26"/>
      <c r="AU6" s="29"/>
      <c r="AV6" s="28"/>
      <c r="AW6" s="26"/>
      <c r="AX6" s="26"/>
      <c r="AY6" s="29"/>
      <c r="AZ6" s="28"/>
      <c r="BA6" s="26"/>
      <c r="BB6" s="26"/>
      <c r="BC6" s="29"/>
      <c r="BD6" s="28"/>
      <c r="BE6" s="26"/>
      <c r="BF6" s="26"/>
      <c r="BG6" s="29"/>
      <c r="BH6" s="28"/>
      <c r="BI6" s="26"/>
      <c r="BJ6" s="26"/>
      <c r="BK6" s="29"/>
      <c r="BL6" s="28"/>
      <c r="BM6" s="26"/>
      <c r="BN6" s="26"/>
      <c r="BO6" s="29"/>
      <c r="BP6" s="28"/>
      <c r="BQ6" s="26"/>
      <c r="BR6" s="26"/>
      <c r="BS6" s="29"/>
      <c r="BT6" s="28">
        <v>2</v>
      </c>
      <c r="BU6" s="26"/>
      <c r="BV6" s="26"/>
      <c r="BW6" s="29"/>
      <c r="BX6" s="28"/>
      <c r="BY6" s="26"/>
      <c r="BZ6" s="26"/>
      <c r="CA6" s="29"/>
      <c r="CB6" s="28"/>
      <c r="CC6" s="26"/>
      <c r="CD6" s="26"/>
      <c r="CE6" s="29"/>
      <c r="CF6" s="28"/>
      <c r="CG6" s="26"/>
      <c r="CH6" s="26"/>
      <c r="CI6" s="29"/>
      <c r="CJ6" s="28"/>
      <c r="CK6" s="26"/>
      <c r="CL6" s="26"/>
      <c r="CM6" s="29"/>
      <c r="CN6" s="28"/>
      <c r="CO6" s="26"/>
      <c r="CP6" s="26"/>
      <c r="CQ6" s="29"/>
      <c r="CR6" s="28"/>
      <c r="CS6" s="26"/>
      <c r="CT6" s="26"/>
      <c r="CU6" s="29"/>
      <c r="CV6" s="28"/>
      <c r="CW6" s="26"/>
      <c r="CX6" s="26"/>
      <c r="CY6" s="29"/>
      <c r="CZ6" s="28"/>
      <c r="DA6" s="26"/>
      <c r="DB6" s="26"/>
      <c r="DC6" s="29"/>
    </row>
    <row r="7" spans="1:107" ht="19.899999999999999" customHeight="1" x14ac:dyDescent="0.25">
      <c r="A7" s="178"/>
      <c r="B7" s="154" t="str">
        <f>Jugadores!M6</f>
        <v>Hernán Paternina</v>
      </c>
      <c r="C7" s="155"/>
      <c r="D7" s="24">
        <f>H7+L7+P7+T7+X7+AB7+AF7+AJ7+AN7+AR7+AV7+AZ7+BD7+BH7+BL7+BP7+BT7+BX7+CB7+CF7+CJ7+CN7+CR7+CV7+CZ7</f>
        <v>0</v>
      </c>
      <c r="E7" s="24">
        <f t="shared" si="1"/>
        <v>0</v>
      </c>
      <c r="F7" s="115">
        <f t="shared" si="2"/>
        <v>0</v>
      </c>
      <c r="G7" s="115">
        <f t="shared" si="3"/>
        <v>0</v>
      </c>
      <c r="H7" s="28"/>
      <c r="I7" s="26"/>
      <c r="J7" s="26"/>
      <c r="K7" s="29"/>
      <c r="L7" s="28"/>
      <c r="M7" s="26"/>
      <c r="N7" s="26"/>
      <c r="O7" s="29"/>
      <c r="P7" s="28"/>
      <c r="Q7" s="26"/>
      <c r="R7" s="105"/>
      <c r="S7" s="106"/>
      <c r="T7" s="28"/>
      <c r="U7" s="26"/>
      <c r="V7" s="26"/>
      <c r="W7" s="29"/>
      <c r="X7" s="28"/>
      <c r="Y7" s="26"/>
      <c r="Z7" s="26"/>
      <c r="AA7" s="29"/>
      <c r="AB7" s="28"/>
      <c r="AC7" s="26"/>
      <c r="AD7" s="26"/>
      <c r="AE7" s="29"/>
      <c r="AF7" s="28"/>
      <c r="AG7" s="26"/>
      <c r="AH7" s="26"/>
      <c r="AI7" s="29"/>
      <c r="AJ7" s="28"/>
      <c r="AK7" s="26"/>
      <c r="AL7" s="26"/>
      <c r="AM7" s="29"/>
      <c r="AN7" s="28"/>
      <c r="AO7" s="26"/>
      <c r="AP7" s="26"/>
      <c r="AQ7" s="29"/>
      <c r="AR7" s="28"/>
      <c r="AS7" s="26"/>
      <c r="AT7" s="26"/>
      <c r="AU7" s="29"/>
      <c r="AV7" s="28"/>
      <c r="AW7" s="26"/>
      <c r="AX7" s="26"/>
      <c r="AY7" s="29"/>
      <c r="AZ7" s="28"/>
      <c r="BA7" s="26"/>
      <c r="BB7" s="26"/>
      <c r="BC7" s="29"/>
      <c r="BD7" s="28"/>
      <c r="BE7" s="26"/>
      <c r="BF7" s="26"/>
      <c r="BG7" s="29"/>
      <c r="BH7" s="28"/>
      <c r="BI7" s="26"/>
      <c r="BJ7" s="26"/>
      <c r="BK7" s="29"/>
      <c r="BL7" s="28"/>
      <c r="BM7" s="26"/>
      <c r="BN7" s="26"/>
      <c r="BO7" s="29"/>
      <c r="BP7" s="28"/>
      <c r="BQ7" s="26"/>
      <c r="BR7" s="26"/>
      <c r="BS7" s="29"/>
      <c r="BT7" s="28"/>
      <c r="BU7" s="26"/>
      <c r="BV7" s="26"/>
      <c r="BW7" s="29"/>
      <c r="BX7" s="28"/>
      <c r="BY7" s="26"/>
      <c r="BZ7" s="26"/>
      <c r="CA7" s="29"/>
      <c r="CB7" s="28"/>
      <c r="CC7" s="26"/>
      <c r="CD7" s="26"/>
      <c r="CE7" s="29"/>
      <c r="CF7" s="28"/>
      <c r="CG7" s="26"/>
      <c r="CH7" s="26"/>
      <c r="CI7" s="29"/>
      <c r="CJ7" s="28"/>
      <c r="CK7" s="26"/>
      <c r="CL7" s="26"/>
      <c r="CM7" s="29"/>
      <c r="CN7" s="28"/>
      <c r="CO7" s="26"/>
      <c r="CP7" s="26"/>
      <c r="CQ7" s="29"/>
      <c r="CR7" s="28"/>
      <c r="CS7" s="26"/>
      <c r="CT7" s="26"/>
      <c r="CU7" s="29"/>
      <c r="CV7" s="28"/>
      <c r="CW7" s="26"/>
      <c r="CX7" s="26"/>
      <c r="CY7" s="29"/>
      <c r="CZ7" s="28"/>
      <c r="DA7" s="26"/>
      <c r="DB7" s="26"/>
      <c r="DC7" s="29"/>
    </row>
    <row r="8" spans="1:107" ht="19.899999999999999" customHeight="1" x14ac:dyDescent="0.25">
      <c r="A8" s="178"/>
      <c r="B8" s="154" t="str">
        <f>Jugadores!M7</f>
        <v>Ricardo Peralta</v>
      </c>
      <c r="C8" s="155"/>
      <c r="D8" s="24">
        <f t="shared" si="0"/>
        <v>13</v>
      </c>
      <c r="E8" s="24">
        <f t="shared" si="1"/>
        <v>1</v>
      </c>
      <c r="F8" s="115">
        <f t="shared" si="2"/>
        <v>2</v>
      </c>
      <c r="G8" s="115">
        <f t="shared" si="3"/>
        <v>0</v>
      </c>
      <c r="H8" s="28">
        <v>3</v>
      </c>
      <c r="I8" s="26"/>
      <c r="J8" s="26"/>
      <c r="K8" s="29"/>
      <c r="L8" s="28"/>
      <c r="M8" s="26"/>
      <c r="N8" s="26"/>
      <c r="O8" s="29"/>
      <c r="P8" s="28"/>
      <c r="Q8" s="26"/>
      <c r="R8" s="105"/>
      <c r="S8" s="106"/>
      <c r="T8" s="28"/>
      <c r="U8" s="26"/>
      <c r="V8" s="26"/>
      <c r="W8" s="29"/>
      <c r="X8" s="28"/>
      <c r="Y8" s="26"/>
      <c r="Z8" s="26"/>
      <c r="AA8" s="29"/>
      <c r="AB8" s="28"/>
      <c r="AC8" s="26"/>
      <c r="AD8" s="26"/>
      <c r="AE8" s="29"/>
      <c r="AF8" s="28">
        <v>1</v>
      </c>
      <c r="AG8" s="26"/>
      <c r="AH8" s="26"/>
      <c r="AI8" s="29"/>
      <c r="AJ8" s="28"/>
      <c r="AK8" s="26"/>
      <c r="AL8" s="26"/>
      <c r="AM8" s="29"/>
      <c r="AN8" s="28">
        <v>2</v>
      </c>
      <c r="AO8" s="26">
        <v>1</v>
      </c>
      <c r="AP8" s="26"/>
      <c r="AQ8" s="29"/>
      <c r="AR8" s="28"/>
      <c r="AS8" s="26"/>
      <c r="AT8" s="26"/>
      <c r="AU8" s="29"/>
      <c r="AV8" s="28">
        <v>1</v>
      </c>
      <c r="AW8" s="26"/>
      <c r="AX8" s="26"/>
      <c r="AY8" s="29"/>
      <c r="AZ8" s="28">
        <v>3</v>
      </c>
      <c r="BA8" s="26"/>
      <c r="BB8" s="26"/>
      <c r="BC8" s="29"/>
      <c r="BD8" s="28">
        <v>1</v>
      </c>
      <c r="BE8" s="26"/>
      <c r="BF8" s="26"/>
      <c r="BG8" s="29"/>
      <c r="BH8" s="28"/>
      <c r="BI8" s="26"/>
      <c r="BJ8" s="26"/>
      <c r="BK8" s="29"/>
      <c r="BL8" s="28"/>
      <c r="BM8" s="26"/>
      <c r="BN8" s="26"/>
      <c r="BO8" s="29"/>
      <c r="BP8" s="28"/>
      <c r="BQ8" s="26"/>
      <c r="BR8" s="26"/>
      <c r="BS8" s="29"/>
      <c r="BT8" s="28"/>
      <c r="BU8" s="26"/>
      <c r="BV8" s="26"/>
      <c r="BW8" s="29"/>
      <c r="BX8" s="28">
        <v>1</v>
      </c>
      <c r="BY8" s="26"/>
      <c r="BZ8" s="26"/>
      <c r="CA8" s="29"/>
      <c r="CB8" s="28"/>
      <c r="CC8" s="26"/>
      <c r="CD8" s="26"/>
      <c r="CE8" s="29"/>
      <c r="CF8" s="28"/>
      <c r="CG8" s="26"/>
      <c r="CH8" s="26"/>
      <c r="CI8" s="29"/>
      <c r="CJ8" s="28"/>
      <c r="CK8" s="26"/>
      <c r="CL8" s="26"/>
      <c r="CM8" s="29"/>
      <c r="CN8" s="28">
        <v>1</v>
      </c>
      <c r="CO8" s="26"/>
      <c r="CP8" s="26"/>
      <c r="CQ8" s="29"/>
      <c r="CR8" s="28"/>
      <c r="CS8" s="26"/>
      <c r="CT8" s="26"/>
      <c r="CU8" s="29"/>
      <c r="CV8" s="28"/>
      <c r="CW8" s="26"/>
      <c r="CX8" s="26"/>
      <c r="CY8" s="29"/>
      <c r="CZ8" s="28"/>
      <c r="DA8" s="26"/>
      <c r="DB8" s="26"/>
      <c r="DC8" s="29"/>
    </row>
    <row r="9" spans="1:107" ht="19.899999999999999" customHeight="1" x14ac:dyDescent="0.25">
      <c r="A9" s="178"/>
      <c r="B9" s="154" t="str">
        <f>Jugadores!M8</f>
        <v>Luis Fernando Madera</v>
      </c>
      <c r="C9" s="155"/>
      <c r="D9" s="24">
        <f t="shared" si="0"/>
        <v>3</v>
      </c>
      <c r="E9" s="24">
        <f t="shared" si="1"/>
        <v>5</v>
      </c>
      <c r="F9" s="115">
        <f t="shared" si="2"/>
        <v>1</v>
      </c>
      <c r="G9" s="115">
        <f t="shared" si="3"/>
        <v>2</v>
      </c>
      <c r="H9" s="28"/>
      <c r="I9" s="26">
        <v>1</v>
      </c>
      <c r="J9" s="26"/>
      <c r="K9" s="29"/>
      <c r="L9" s="28"/>
      <c r="M9" s="26"/>
      <c r="N9" s="26"/>
      <c r="O9" s="29"/>
      <c r="P9" s="28"/>
      <c r="Q9" s="26">
        <v>1</v>
      </c>
      <c r="R9" s="105"/>
      <c r="S9" s="106"/>
      <c r="T9" s="28"/>
      <c r="U9" s="26"/>
      <c r="V9" s="26"/>
      <c r="W9" s="29"/>
      <c r="X9" s="28"/>
      <c r="Y9" s="26"/>
      <c r="Z9" s="26"/>
      <c r="AA9" s="29"/>
      <c r="AB9" s="28"/>
      <c r="AC9" s="26"/>
      <c r="AD9" s="26"/>
      <c r="AE9" s="29"/>
      <c r="AF9" s="28"/>
      <c r="AG9" s="26"/>
      <c r="AH9" s="26"/>
      <c r="AI9" s="29"/>
      <c r="AJ9" s="28"/>
      <c r="AK9" s="26"/>
      <c r="AL9" s="26"/>
      <c r="AM9" s="29"/>
      <c r="AN9" s="28"/>
      <c r="AO9" s="26"/>
      <c r="AP9" s="26"/>
      <c r="AQ9" s="29"/>
      <c r="AR9" s="28"/>
      <c r="AS9" s="26"/>
      <c r="AT9" s="26"/>
      <c r="AU9" s="29"/>
      <c r="AV9" s="28"/>
      <c r="AW9" s="26"/>
      <c r="AX9" s="26"/>
      <c r="AY9" s="29"/>
      <c r="AZ9" s="28"/>
      <c r="BA9" s="26"/>
      <c r="BB9" s="26"/>
      <c r="BC9" s="29"/>
      <c r="BD9" s="28"/>
      <c r="BE9" s="26"/>
      <c r="BF9" s="26"/>
      <c r="BG9" s="29"/>
      <c r="BH9" s="28"/>
      <c r="BI9" s="26">
        <v>1</v>
      </c>
      <c r="BJ9" s="26"/>
      <c r="BK9" s="29"/>
      <c r="BL9" s="28"/>
      <c r="BM9" s="26"/>
      <c r="BN9" s="26"/>
      <c r="BO9" s="29"/>
      <c r="BP9" s="28">
        <v>2</v>
      </c>
      <c r="BQ9" s="26"/>
      <c r="BR9" s="26"/>
      <c r="BS9" s="29"/>
      <c r="BT9" s="28"/>
      <c r="BU9" s="26">
        <v>1</v>
      </c>
      <c r="BV9" s="26"/>
      <c r="BW9" s="29"/>
      <c r="BX9" s="28"/>
      <c r="BY9" s="26"/>
      <c r="BZ9" s="26"/>
      <c r="CA9" s="29"/>
      <c r="CB9" s="28"/>
      <c r="CC9" s="26">
        <v>1</v>
      </c>
      <c r="CD9" s="26"/>
      <c r="CE9" s="29"/>
      <c r="CF9" s="28"/>
      <c r="CG9" s="26">
        <v>1</v>
      </c>
      <c r="CH9" s="26"/>
      <c r="CI9" s="29"/>
      <c r="CJ9" s="28"/>
      <c r="CK9" s="26"/>
      <c r="CL9" s="26"/>
      <c r="CM9" s="29"/>
      <c r="CN9" s="28"/>
      <c r="CO9" s="26">
        <v>1</v>
      </c>
      <c r="CP9" s="26"/>
      <c r="CQ9" s="29"/>
      <c r="CR9" s="28">
        <v>1</v>
      </c>
      <c r="CS9" s="26">
        <v>1</v>
      </c>
      <c r="CT9" s="26"/>
      <c r="CU9" s="29"/>
      <c r="CV9" s="28"/>
      <c r="CW9" s="26"/>
      <c r="CX9" s="26"/>
      <c r="CY9" s="29"/>
      <c r="CZ9" s="28"/>
      <c r="DA9" s="26"/>
      <c r="DB9" s="26"/>
      <c r="DC9" s="29"/>
    </row>
    <row r="10" spans="1:107" ht="19.899999999999999" customHeight="1" x14ac:dyDescent="0.25">
      <c r="A10" s="178"/>
      <c r="B10" s="154" t="str">
        <f>Jugadores!M9</f>
        <v>David Ortega</v>
      </c>
      <c r="C10" s="155"/>
      <c r="D10" s="24">
        <f t="shared" si="0"/>
        <v>0</v>
      </c>
      <c r="E10" s="24">
        <f t="shared" si="1"/>
        <v>2</v>
      </c>
      <c r="F10" s="115">
        <f t="shared" si="2"/>
        <v>0</v>
      </c>
      <c r="G10" s="115">
        <f t="shared" si="3"/>
        <v>0</v>
      </c>
      <c r="H10" s="28"/>
      <c r="I10" s="26"/>
      <c r="J10" s="26"/>
      <c r="K10" s="29"/>
      <c r="L10" s="28"/>
      <c r="M10" s="26"/>
      <c r="N10" s="26"/>
      <c r="O10" s="29"/>
      <c r="P10" s="28"/>
      <c r="Q10" s="26">
        <v>1</v>
      </c>
      <c r="R10" s="105"/>
      <c r="S10" s="106"/>
      <c r="T10" s="28"/>
      <c r="U10" s="26">
        <v>1</v>
      </c>
      <c r="V10" s="26"/>
      <c r="W10" s="29"/>
      <c r="X10" s="28"/>
      <c r="Y10" s="26"/>
      <c r="Z10" s="26"/>
      <c r="AA10" s="29"/>
      <c r="AB10" s="28"/>
      <c r="AC10" s="26"/>
      <c r="AD10" s="26"/>
      <c r="AE10" s="29"/>
      <c r="AF10" s="28"/>
      <c r="AG10" s="26"/>
      <c r="AH10" s="26"/>
      <c r="AI10" s="29"/>
      <c r="AJ10" s="28"/>
      <c r="AK10" s="26"/>
      <c r="AL10" s="26"/>
      <c r="AM10" s="29"/>
      <c r="AN10" s="28"/>
      <c r="AO10" s="26"/>
      <c r="AP10" s="26"/>
      <c r="AQ10" s="29"/>
      <c r="AR10" s="28"/>
      <c r="AS10" s="26"/>
      <c r="AT10" s="26"/>
      <c r="AU10" s="29"/>
      <c r="AV10" s="28"/>
      <c r="AW10" s="26"/>
      <c r="AX10" s="26"/>
      <c r="AY10" s="29"/>
      <c r="AZ10" s="28"/>
      <c r="BA10" s="26"/>
      <c r="BB10" s="26"/>
      <c r="BC10" s="29"/>
      <c r="BD10" s="28"/>
      <c r="BE10" s="26"/>
      <c r="BF10" s="26"/>
      <c r="BG10" s="29"/>
      <c r="BH10" s="28"/>
      <c r="BI10" s="26"/>
      <c r="BJ10" s="26"/>
      <c r="BK10" s="29"/>
      <c r="BL10" s="28"/>
      <c r="BM10" s="26"/>
      <c r="BN10" s="26"/>
      <c r="BO10" s="29"/>
      <c r="BP10" s="28"/>
      <c r="BQ10" s="26"/>
      <c r="BR10" s="26"/>
      <c r="BS10" s="29"/>
      <c r="BT10" s="28"/>
      <c r="BU10" s="26"/>
      <c r="BV10" s="26"/>
      <c r="BW10" s="29"/>
      <c r="BX10" s="28"/>
      <c r="BY10" s="26"/>
      <c r="BZ10" s="26"/>
      <c r="CA10" s="29"/>
      <c r="CB10" s="28"/>
      <c r="CC10" s="26"/>
      <c r="CD10" s="26"/>
      <c r="CE10" s="29"/>
      <c r="CF10" s="28"/>
      <c r="CG10" s="26"/>
      <c r="CH10" s="26"/>
      <c r="CI10" s="29"/>
      <c r="CJ10" s="28"/>
      <c r="CK10" s="26"/>
      <c r="CL10" s="26"/>
      <c r="CM10" s="29"/>
      <c r="CN10" s="28"/>
      <c r="CO10" s="26"/>
      <c r="CP10" s="26"/>
      <c r="CQ10" s="29"/>
      <c r="CR10" s="28"/>
      <c r="CS10" s="26"/>
      <c r="CT10" s="26"/>
      <c r="CU10" s="29"/>
      <c r="CV10" s="28"/>
      <c r="CW10" s="26"/>
      <c r="CX10" s="26"/>
      <c r="CY10" s="29"/>
      <c r="CZ10" s="28"/>
      <c r="DA10" s="26"/>
      <c r="DB10" s="26"/>
      <c r="DC10" s="29"/>
    </row>
    <row r="11" spans="1:107" ht="19.899999999999999" customHeight="1" x14ac:dyDescent="0.25">
      <c r="A11" s="178"/>
      <c r="B11" s="154" t="str">
        <f>Jugadores!M10</f>
        <v>Luis Fernando Cabrera</v>
      </c>
      <c r="C11" s="155"/>
      <c r="D11" s="24">
        <f t="shared" si="0"/>
        <v>3</v>
      </c>
      <c r="E11" s="24">
        <f t="shared" si="1"/>
        <v>2</v>
      </c>
      <c r="F11" s="115">
        <f t="shared" si="2"/>
        <v>1</v>
      </c>
      <c r="G11" s="115">
        <f t="shared" si="3"/>
        <v>0</v>
      </c>
      <c r="H11" s="28"/>
      <c r="I11" s="26">
        <v>1</v>
      </c>
      <c r="J11" s="26"/>
      <c r="K11" s="29"/>
      <c r="L11" s="28">
        <v>1</v>
      </c>
      <c r="M11" s="26"/>
      <c r="N11" s="26"/>
      <c r="O11" s="29"/>
      <c r="P11" s="28"/>
      <c r="Q11" s="26"/>
      <c r="R11" s="105"/>
      <c r="S11" s="106"/>
      <c r="T11" s="28"/>
      <c r="U11" s="26"/>
      <c r="V11" s="26"/>
      <c r="W11" s="29"/>
      <c r="X11" s="28"/>
      <c r="Y11" s="26">
        <v>1</v>
      </c>
      <c r="Z11" s="26"/>
      <c r="AA11" s="29"/>
      <c r="AB11" s="28"/>
      <c r="AC11" s="26"/>
      <c r="AD11" s="26"/>
      <c r="AE11" s="29"/>
      <c r="AF11" s="28"/>
      <c r="AG11" s="26"/>
      <c r="AH11" s="26"/>
      <c r="AI11" s="29"/>
      <c r="AJ11" s="28"/>
      <c r="AK11" s="26"/>
      <c r="AL11" s="26"/>
      <c r="AM11" s="29"/>
      <c r="AN11" s="28"/>
      <c r="AO11" s="26"/>
      <c r="AP11" s="26"/>
      <c r="AQ11" s="29"/>
      <c r="AR11" s="28"/>
      <c r="AS11" s="26"/>
      <c r="AT11" s="26"/>
      <c r="AU11" s="29"/>
      <c r="AV11" s="28"/>
      <c r="AW11" s="26"/>
      <c r="AX11" s="26"/>
      <c r="AY11" s="29"/>
      <c r="AZ11" s="28">
        <v>1</v>
      </c>
      <c r="BA11" s="26"/>
      <c r="BB11" s="26"/>
      <c r="BC11" s="29"/>
      <c r="BD11" s="28"/>
      <c r="BE11" s="26"/>
      <c r="BF11" s="26"/>
      <c r="BG11" s="29"/>
      <c r="BH11" s="28"/>
      <c r="BI11" s="26"/>
      <c r="BJ11" s="26"/>
      <c r="BK11" s="29"/>
      <c r="BL11" s="28"/>
      <c r="BM11" s="26"/>
      <c r="BN11" s="26"/>
      <c r="BO11" s="29"/>
      <c r="BP11" s="28"/>
      <c r="BQ11" s="26"/>
      <c r="BR11" s="26"/>
      <c r="BS11" s="29"/>
      <c r="BT11" s="28"/>
      <c r="BU11" s="26"/>
      <c r="BV11" s="26"/>
      <c r="BW11" s="29"/>
      <c r="BX11" s="28"/>
      <c r="BY11" s="26"/>
      <c r="BZ11" s="26"/>
      <c r="CA11" s="29"/>
      <c r="CB11" s="28"/>
      <c r="CC11" s="26"/>
      <c r="CD11" s="26"/>
      <c r="CE11" s="29"/>
      <c r="CF11" s="28">
        <v>1</v>
      </c>
      <c r="CG11" s="26"/>
      <c r="CH11" s="26"/>
      <c r="CI11" s="29"/>
      <c r="CJ11" s="28"/>
      <c r="CK11" s="26"/>
      <c r="CL11" s="26"/>
      <c r="CM11" s="29"/>
      <c r="CN11" s="28"/>
      <c r="CO11" s="26"/>
      <c r="CP11" s="26"/>
      <c r="CQ11" s="29"/>
      <c r="CR11" s="28"/>
      <c r="CS11" s="26"/>
      <c r="CT11" s="26"/>
      <c r="CU11" s="29"/>
      <c r="CV11" s="28"/>
      <c r="CW11" s="26"/>
      <c r="CX11" s="26"/>
      <c r="CY11" s="29"/>
      <c r="CZ11" s="28"/>
      <c r="DA11" s="26"/>
      <c r="DB11" s="26"/>
      <c r="DC11" s="29"/>
    </row>
    <row r="12" spans="1:107" ht="19.899999999999999" customHeight="1" x14ac:dyDescent="0.25">
      <c r="A12" s="178"/>
      <c r="B12" s="154" t="str">
        <f>Jugadores!M11</f>
        <v>Deiner Santana</v>
      </c>
      <c r="C12" s="155"/>
      <c r="D12" s="24">
        <f t="shared" si="0"/>
        <v>6</v>
      </c>
      <c r="E12" s="24">
        <f t="shared" si="1"/>
        <v>4</v>
      </c>
      <c r="F12" s="115">
        <f t="shared" si="2"/>
        <v>1</v>
      </c>
      <c r="G12" s="115">
        <f t="shared" si="3"/>
        <v>2</v>
      </c>
      <c r="H12" s="28"/>
      <c r="I12" s="26"/>
      <c r="J12" s="26"/>
      <c r="K12" s="29"/>
      <c r="L12" s="28"/>
      <c r="M12" s="26"/>
      <c r="N12" s="26"/>
      <c r="O12" s="29"/>
      <c r="P12" s="28"/>
      <c r="Q12" s="26"/>
      <c r="R12" s="105"/>
      <c r="S12" s="106"/>
      <c r="T12" s="28"/>
      <c r="U12" s="26"/>
      <c r="V12" s="26"/>
      <c r="W12" s="29"/>
      <c r="X12" s="28">
        <v>3</v>
      </c>
      <c r="Y12" s="26"/>
      <c r="Z12" s="26"/>
      <c r="AA12" s="29"/>
      <c r="AB12" s="28"/>
      <c r="AC12" s="26"/>
      <c r="AD12" s="26"/>
      <c r="AE12" s="29"/>
      <c r="AF12" s="28"/>
      <c r="AG12" s="26"/>
      <c r="AH12" s="26"/>
      <c r="AI12" s="29"/>
      <c r="AJ12" s="28"/>
      <c r="AK12" s="26"/>
      <c r="AL12" s="26"/>
      <c r="AM12" s="29"/>
      <c r="AN12" s="28"/>
      <c r="AO12" s="26">
        <v>1</v>
      </c>
      <c r="AP12" s="26"/>
      <c r="AQ12" s="29"/>
      <c r="AR12" s="28">
        <v>1</v>
      </c>
      <c r="AS12" s="26">
        <v>1</v>
      </c>
      <c r="AT12" s="26"/>
      <c r="AU12" s="29"/>
      <c r="AV12" s="28"/>
      <c r="AW12" s="26"/>
      <c r="AX12" s="26"/>
      <c r="AY12" s="29"/>
      <c r="AZ12" s="28"/>
      <c r="BA12" s="26"/>
      <c r="BB12" s="26"/>
      <c r="BC12" s="29"/>
      <c r="BD12" s="28"/>
      <c r="BE12" s="26"/>
      <c r="BF12" s="26"/>
      <c r="BG12" s="29"/>
      <c r="BH12" s="28">
        <v>1</v>
      </c>
      <c r="BI12" s="26"/>
      <c r="BJ12" s="26"/>
      <c r="BK12" s="29"/>
      <c r="BL12" s="28"/>
      <c r="BM12" s="26"/>
      <c r="BN12" s="26"/>
      <c r="BO12" s="29"/>
      <c r="BP12" s="28"/>
      <c r="BQ12" s="26"/>
      <c r="BR12" s="26"/>
      <c r="BS12" s="29"/>
      <c r="BT12" s="28"/>
      <c r="BU12" s="26"/>
      <c r="BV12" s="26"/>
      <c r="BW12" s="29"/>
      <c r="BX12" s="28"/>
      <c r="BY12" s="26"/>
      <c r="BZ12" s="26"/>
      <c r="CA12" s="29"/>
      <c r="CB12" s="28"/>
      <c r="CC12" s="26">
        <v>1</v>
      </c>
      <c r="CD12" s="26"/>
      <c r="CE12" s="29"/>
      <c r="CF12" s="28"/>
      <c r="CG12" s="26">
        <v>1</v>
      </c>
      <c r="CH12" s="26"/>
      <c r="CI12" s="29"/>
      <c r="CJ12" s="28"/>
      <c r="CK12" s="26"/>
      <c r="CL12" s="26"/>
      <c r="CM12" s="29"/>
      <c r="CN12" s="28">
        <v>1</v>
      </c>
      <c r="CO12" s="26">
        <v>1</v>
      </c>
      <c r="CP12" s="26"/>
      <c r="CQ12" s="29"/>
      <c r="CR12" s="28"/>
      <c r="CS12" s="26"/>
      <c r="CT12" s="26"/>
      <c r="CU12" s="29"/>
      <c r="CV12" s="28"/>
      <c r="CW12" s="26"/>
      <c r="CX12" s="26"/>
      <c r="CY12" s="29"/>
      <c r="CZ12" s="28"/>
      <c r="DA12" s="26"/>
      <c r="DB12" s="26"/>
      <c r="DC12" s="29"/>
    </row>
    <row r="13" spans="1:107" ht="19.899999999999999" customHeight="1" x14ac:dyDescent="0.25">
      <c r="A13" s="178"/>
      <c r="B13" s="154" t="str">
        <f>Jugadores!M12</f>
        <v>John Jairo Jiménez</v>
      </c>
      <c r="C13" s="155"/>
      <c r="D13" s="24">
        <f t="shared" si="0"/>
        <v>1</v>
      </c>
      <c r="E13" s="24">
        <f t="shared" si="1"/>
        <v>0</v>
      </c>
      <c r="F13" s="115">
        <f t="shared" si="2"/>
        <v>1</v>
      </c>
      <c r="G13" s="115">
        <f t="shared" si="3"/>
        <v>0</v>
      </c>
      <c r="H13" s="28">
        <v>1</v>
      </c>
      <c r="I13" s="26"/>
      <c r="J13" s="26"/>
      <c r="K13" s="29"/>
      <c r="L13" s="28"/>
      <c r="M13" s="26"/>
      <c r="N13" s="26">
        <v>1</v>
      </c>
      <c r="O13" s="29"/>
      <c r="P13" s="28"/>
      <c r="Q13" s="26"/>
      <c r="R13" s="105"/>
      <c r="S13" s="106"/>
      <c r="T13" s="28"/>
      <c r="U13" s="26"/>
      <c r="V13" s="26"/>
      <c r="W13" s="29"/>
      <c r="X13" s="28"/>
      <c r="Y13" s="26"/>
      <c r="Z13" s="26"/>
      <c r="AA13" s="29"/>
      <c r="AB13" s="28"/>
      <c r="AC13" s="26"/>
      <c r="AD13" s="26"/>
      <c r="AE13" s="29"/>
      <c r="AF13" s="28"/>
      <c r="AG13" s="26"/>
      <c r="AH13" s="26"/>
      <c r="AI13" s="29"/>
      <c r="AJ13" s="28"/>
      <c r="AK13" s="26"/>
      <c r="AL13" s="26"/>
      <c r="AM13" s="29"/>
      <c r="AN13" s="28"/>
      <c r="AO13" s="26"/>
      <c r="AP13" s="26"/>
      <c r="AQ13" s="29"/>
      <c r="AR13" s="28"/>
      <c r="AS13" s="26"/>
      <c r="AT13" s="26"/>
      <c r="AU13" s="29"/>
      <c r="AV13" s="28"/>
      <c r="AW13" s="26"/>
      <c r="AX13" s="26"/>
      <c r="AY13" s="29"/>
      <c r="AZ13" s="28"/>
      <c r="BA13" s="26"/>
      <c r="BB13" s="26"/>
      <c r="BC13" s="29"/>
      <c r="BD13" s="28"/>
      <c r="BE13" s="26"/>
      <c r="BF13" s="26"/>
      <c r="BG13" s="29"/>
      <c r="BH13" s="28"/>
      <c r="BI13" s="26"/>
      <c r="BJ13" s="26"/>
      <c r="BK13" s="29"/>
      <c r="BL13" s="28"/>
      <c r="BM13" s="26"/>
      <c r="BN13" s="26"/>
      <c r="BO13" s="29"/>
      <c r="BP13" s="28"/>
      <c r="BQ13" s="26"/>
      <c r="BR13" s="26"/>
      <c r="BS13" s="29"/>
      <c r="BT13" s="28"/>
      <c r="BU13" s="26"/>
      <c r="BV13" s="26"/>
      <c r="BW13" s="29"/>
      <c r="BX13" s="28"/>
      <c r="BY13" s="26"/>
      <c r="BZ13" s="26"/>
      <c r="CA13" s="29"/>
      <c r="CB13" s="28"/>
      <c r="CC13" s="26"/>
      <c r="CD13" s="26"/>
      <c r="CE13" s="29"/>
      <c r="CF13" s="28"/>
      <c r="CG13" s="26"/>
      <c r="CH13" s="26"/>
      <c r="CI13" s="29"/>
      <c r="CJ13" s="28"/>
      <c r="CK13" s="26"/>
      <c r="CL13" s="26"/>
      <c r="CM13" s="29"/>
      <c r="CN13" s="28"/>
      <c r="CO13" s="26"/>
      <c r="CP13" s="26"/>
      <c r="CQ13" s="29"/>
      <c r="CR13" s="28"/>
      <c r="CS13" s="26"/>
      <c r="CT13" s="26"/>
      <c r="CU13" s="29"/>
      <c r="CV13" s="28"/>
      <c r="CW13" s="26"/>
      <c r="CX13" s="26"/>
      <c r="CY13" s="29"/>
      <c r="CZ13" s="28"/>
      <c r="DA13" s="26"/>
      <c r="DB13" s="26"/>
      <c r="DC13" s="29"/>
    </row>
    <row r="14" spans="1:107" ht="19.899999999999999" customHeight="1" x14ac:dyDescent="0.25">
      <c r="A14" s="178"/>
      <c r="B14" s="154" t="str">
        <f>Jugadores!M13</f>
        <v>José Gregorio Hernández</v>
      </c>
      <c r="C14" s="155"/>
      <c r="D14" s="24">
        <f t="shared" si="0"/>
        <v>13</v>
      </c>
      <c r="E14" s="24">
        <f t="shared" si="1"/>
        <v>0</v>
      </c>
      <c r="F14" s="115">
        <f t="shared" si="2"/>
        <v>4</v>
      </c>
      <c r="G14" s="115">
        <f t="shared" si="3"/>
        <v>0</v>
      </c>
      <c r="H14" s="28">
        <v>1</v>
      </c>
      <c r="I14" s="26"/>
      <c r="J14" s="26"/>
      <c r="K14" s="29"/>
      <c r="L14" s="28"/>
      <c r="M14" s="26"/>
      <c r="N14" s="26"/>
      <c r="O14" s="29"/>
      <c r="P14" s="28"/>
      <c r="Q14" s="26"/>
      <c r="R14" s="105"/>
      <c r="S14" s="106"/>
      <c r="T14" s="28"/>
      <c r="U14" s="26"/>
      <c r="V14" s="26"/>
      <c r="W14" s="29"/>
      <c r="X14" s="28">
        <v>1</v>
      </c>
      <c r="Y14" s="26"/>
      <c r="Z14" s="26"/>
      <c r="AA14" s="29"/>
      <c r="AB14" s="28"/>
      <c r="AC14" s="26"/>
      <c r="AD14" s="26"/>
      <c r="AE14" s="29"/>
      <c r="AF14" s="28">
        <v>1</v>
      </c>
      <c r="AG14" s="26"/>
      <c r="AH14" s="26"/>
      <c r="AI14" s="29"/>
      <c r="AJ14" s="28"/>
      <c r="AK14" s="26"/>
      <c r="AL14" s="26"/>
      <c r="AM14" s="29"/>
      <c r="AN14" s="28">
        <v>1</v>
      </c>
      <c r="AO14" s="26"/>
      <c r="AP14" s="26"/>
      <c r="AQ14" s="29"/>
      <c r="AR14" s="28"/>
      <c r="AS14" s="26"/>
      <c r="AT14" s="26"/>
      <c r="AU14" s="29"/>
      <c r="AV14" s="28">
        <v>2</v>
      </c>
      <c r="AW14" s="26"/>
      <c r="AX14" s="26"/>
      <c r="AY14" s="29"/>
      <c r="AZ14" s="28"/>
      <c r="BA14" s="26"/>
      <c r="BB14" s="26"/>
      <c r="BC14" s="29"/>
      <c r="BD14" s="28"/>
      <c r="BE14" s="26"/>
      <c r="BF14" s="26"/>
      <c r="BG14" s="29"/>
      <c r="BH14" s="28">
        <v>1</v>
      </c>
      <c r="BI14" s="26"/>
      <c r="BJ14" s="26"/>
      <c r="BK14" s="29"/>
      <c r="BL14" s="28">
        <v>2</v>
      </c>
      <c r="BM14" s="26"/>
      <c r="BN14" s="26"/>
      <c r="BO14" s="29"/>
      <c r="BP14" s="28"/>
      <c r="BQ14" s="26"/>
      <c r="BR14" s="26"/>
      <c r="BS14" s="29"/>
      <c r="BT14" s="28">
        <v>1</v>
      </c>
      <c r="BU14" s="26"/>
      <c r="BV14" s="26"/>
      <c r="BW14" s="29"/>
      <c r="BX14" s="28">
        <v>2</v>
      </c>
      <c r="BY14" s="26"/>
      <c r="BZ14" s="26"/>
      <c r="CA14" s="29"/>
      <c r="CB14" s="28"/>
      <c r="CC14" s="26"/>
      <c r="CD14" s="26"/>
      <c r="CE14" s="29"/>
      <c r="CF14" s="28"/>
      <c r="CG14" s="26"/>
      <c r="CH14" s="26"/>
      <c r="CI14" s="29"/>
      <c r="CJ14" s="28"/>
      <c r="CK14" s="26"/>
      <c r="CL14" s="26"/>
      <c r="CM14" s="29"/>
      <c r="CN14" s="28">
        <v>1</v>
      </c>
      <c r="CO14" s="26"/>
      <c r="CP14" s="26"/>
      <c r="CQ14" s="29"/>
      <c r="CR14" s="28"/>
      <c r="CS14" s="26"/>
      <c r="CT14" s="26"/>
      <c r="CU14" s="29"/>
      <c r="CV14" s="28"/>
      <c r="CW14" s="26"/>
      <c r="CX14" s="26"/>
      <c r="CY14" s="29"/>
      <c r="CZ14" s="28"/>
      <c r="DA14" s="26"/>
      <c r="DB14" s="26"/>
      <c r="DC14" s="29"/>
    </row>
    <row r="15" spans="1:107" ht="19.899999999999999" customHeight="1" x14ac:dyDescent="0.25">
      <c r="A15" s="178"/>
      <c r="B15" s="154" t="str">
        <f>Jugadores!M14</f>
        <v>Edinsón Molina</v>
      </c>
      <c r="C15" s="155"/>
      <c r="D15" s="24">
        <f t="shared" si="0"/>
        <v>7</v>
      </c>
      <c r="E15" s="24">
        <f t="shared" si="1"/>
        <v>1</v>
      </c>
      <c r="F15" s="115">
        <f t="shared" si="2"/>
        <v>3</v>
      </c>
      <c r="G15" s="115">
        <f t="shared" si="3"/>
        <v>1</v>
      </c>
      <c r="H15" s="28"/>
      <c r="I15" s="26"/>
      <c r="J15" s="26"/>
      <c r="K15" s="29"/>
      <c r="L15" s="28"/>
      <c r="M15" s="26"/>
      <c r="N15" s="26"/>
      <c r="O15" s="29"/>
      <c r="P15" s="28"/>
      <c r="Q15" s="26"/>
      <c r="R15" s="105"/>
      <c r="S15" s="106"/>
      <c r="T15" s="28">
        <v>1</v>
      </c>
      <c r="U15" s="26"/>
      <c r="V15" s="26"/>
      <c r="W15" s="29"/>
      <c r="X15" s="28">
        <v>1</v>
      </c>
      <c r="Y15" s="26"/>
      <c r="Z15" s="26"/>
      <c r="AA15" s="29"/>
      <c r="AB15" s="28">
        <v>1</v>
      </c>
      <c r="AC15" s="26"/>
      <c r="AD15" s="26"/>
      <c r="AE15" s="29"/>
      <c r="AF15" s="28"/>
      <c r="AG15" s="26"/>
      <c r="AH15" s="26"/>
      <c r="AI15" s="29"/>
      <c r="AJ15" s="28"/>
      <c r="AK15" s="26"/>
      <c r="AL15" s="26"/>
      <c r="AM15" s="29"/>
      <c r="AN15" s="28"/>
      <c r="AO15" s="26"/>
      <c r="AP15" s="26"/>
      <c r="AQ15" s="29"/>
      <c r="AR15" s="28"/>
      <c r="AS15" s="26"/>
      <c r="AT15" s="26"/>
      <c r="AU15" s="29"/>
      <c r="AV15" s="28"/>
      <c r="AW15" s="26"/>
      <c r="AX15" s="26"/>
      <c r="AY15" s="29"/>
      <c r="AZ15" s="28"/>
      <c r="BA15" s="26"/>
      <c r="BB15" s="26"/>
      <c r="BC15" s="29"/>
      <c r="BD15" s="28">
        <v>1</v>
      </c>
      <c r="BE15" s="26"/>
      <c r="BF15" s="26"/>
      <c r="BG15" s="29"/>
      <c r="BH15" s="28"/>
      <c r="BI15" s="26"/>
      <c r="BJ15" s="26"/>
      <c r="BK15" s="29"/>
      <c r="BL15" s="28"/>
      <c r="BM15" s="26"/>
      <c r="BN15" s="26"/>
      <c r="BO15" s="29"/>
      <c r="BP15" s="28"/>
      <c r="BQ15" s="26"/>
      <c r="BR15" s="26"/>
      <c r="BS15" s="29"/>
      <c r="BT15" s="28">
        <v>2</v>
      </c>
      <c r="BU15" s="26"/>
      <c r="BV15" s="26"/>
      <c r="BW15" s="29"/>
      <c r="BX15" s="28"/>
      <c r="BY15" s="26">
        <v>1</v>
      </c>
      <c r="BZ15" s="26"/>
      <c r="CA15" s="29"/>
      <c r="CB15" s="28"/>
      <c r="CC15" s="26"/>
      <c r="CD15" s="26"/>
      <c r="CE15" s="29"/>
      <c r="CF15" s="28"/>
      <c r="CG15" s="26"/>
      <c r="CH15" s="26"/>
      <c r="CI15" s="29"/>
      <c r="CJ15" s="28"/>
      <c r="CK15" s="26"/>
      <c r="CL15" s="26"/>
      <c r="CM15" s="29"/>
      <c r="CN15" s="28"/>
      <c r="CO15" s="26"/>
      <c r="CP15" s="26"/>
      <c r="CQ15" s="29"/>
      <c r="CR15" s="28">
        <v>1</v>
      </c>
      <c r="CS15" s="26"/>
      <c r="CT15" s="26"/>
      <c r="CU15" s="29"/>
      <c r="CV15" s="28"/>
      <c r="CW15" s="26"/>
      <c r="CX15" s="26"/>
      <c r="CY15" s="29"/>
      <c r="CZ15" s="28"/>
      <c r="DA15" s="26"/>
      <c r="DB15" s="26"/>
      <c r="DC15" s="29"/>
    </row>
    <row r="16" spans="1:107" ht="19.899999999999999" customHeight="1" x14ac:dyDescent="0.25">
      <c r="A16" s="178"/>
      <c r="B16" s="154" t="str">
        <f>Jugadores!M15</f>
        <v>Luis Fernando Hernández</v>
      </c>
      <c r="C16" s="155"/>
      <c r="D16" s="24">
        <f t="shared" si="0"/>
        <v>3</v>
      </c>
      <c r="E16" s="24">
        <f t="shared" si="1"/>
        <v>2</v>
      </c>
      <c r="F16" s="115">
        <f t="shared" si="2"/>
        <v>2</v>
      </c>
      <c r="G16" s="115">
        <f t="shared" si="3"/>
        <v>1</v>
      </c>
      <c r="H16" s="28"/>
      <c r="I16" s="26"/>
      <c r="J16" s="26"/>
      <c r="K16" s="29"/>
      <c r="L16" s="28"/>
      <c r="M16" s="26"/>
      <c r="N16" s="26"/>
      <c r="O16" s="29"/>
      <c r="P16" s="28"/>
      <c r="Q16" s="26"/>
      <c r="R16" s="105"/>
      <c r="S16" s="106"/>
      <c r="T16" s="28"/>
      <c r="U16" s="26"/>
      <c r="V16" s="26"/>
      <c r="W16" s="29"/>
      <c r="X16" s="28"/>
      <c r="Y16" s="26">
        <v>1</v>
      </c>
      <c r="Z16" s="26"/>
      <c r="AA16" s="29"/>
      <c r="AB16" s="28"/>
      <c r="AC16" s="26"/>
      <c r="AD16" s="26"/>
      <c r="AE16" s="29"/>
      <c r="AF16" s="28">
        <v>1</v>
      </c>
      <c r="AG16" s="26"/>
      <c r="AH16" s="26"/>
      <c r="AI16" s="29"/>
      <c r="AJ16" s="28"/>
      <c r="AK16" s="26"/>
      <c r="AL16" s="26"/>
      <c r="AM16" s="29"/>
      <c r="AN16" s="28"/>
      <c r="AO16" s="26"/>
      <c r="AP16" s="26"/>
      <c r="AQ16" s="29"/>
      <c r="AR16" s="28"/>
      <c r="AS16" s="26"/>
      <c r="AT16" s="26"/>
      <c r="AU16" s="29"/>
      <c r="AV16" s="28"/>
      <c r="AW16" s="26"/>
      <c r="AX16" s="26"/>
      <c r="AY16" s="29"/>
      <c r="AZ16" s="28"/>
      <c r="BA16" s="26"/>
      <c r="BB16" s="26"/>
      <c r="BC16" s="29"/>
      <c r="BD16" s="28"/>
      <c r="BE16" s="26"/>
      <c r="BF16" s="26"/>
      <c r="BG16" s="29"/>
      <c r="BH16" s="28"/>
      <c r="BI16" s="26"/>
      <c r="BJ16" s="26"/>
      <c r="BK16" s="29"/>
      <c r="BL16" s="28"/>
      <c r="BM16" s="26"/>
      <c r="BN16" s="26"/>
      <c r="BO16" s="29"/>
      <c r="BP16" s="28"/>
      <c r="BQ16" s="26"/>
      <c r="BR16" s="26"/>
      <c r="BS16" s="29"/>
      <c r="BT16" s="28"/>
      <c r="BU16" s="26"/>
      <c r="BV16" s="26"/>
      <c r="BW16" s="29"/>
      <c r="BX16" s="28">
        <v>1</v>
      </c>
      <c r="BY16" s="26"/>
      <c r="BZ16" s="26"/>
      <c r="CA16" s="29"/>
      <c r="CB16" s="28"/>
      <c r="CC16" s="26">
        <v>1</v>
      </c>
      <c r="CD16" s="26"/>
      <c r="CE16" s="29"/>
      <c r="CF16" s="28">
        <v>1</v>
      </c>
      <c r="CG16" s="26">
        <v>1</v>
      </c>
      <c r="CH16" s="26"/>
      <c r="CI16" s="29"/>
      <c r="CJ16" s="28"/>
      <c r="CK16" s="26"/>
      <c r="CL16" s="26"/>
      <c r="CM16" s="29"/>
      <c r="CN16" s="28"/>
      <c r="CO16" s="26"/>
      <c r="CP16" s="26"/>
      <c r="CQ16" s="29"/>
      <c r="CR16" s="28"/>
      <c r="CS16" s="26"/>
      <c r="CT16" s="26"/>
      <c r="CU16" s="29"/>
      <c r="CV16" s="28"/>
      <c r="CW16" s="26"/>
      <c r="CX16" s="26"/>
      <c r="CY16" s="29"/>
      <c r="CZ16" s="28"/>
      <c r="DA16" s="26"/>
      <c r="DB16" s="26"/>
      <c r="DC16" s="29"/>
    </row>
    <row r="17" spans="1:107" ht="19.899999999999999" customHeight="1" x14ac:dyDescent="0.25">
      <c r="A17" s="178"/>
      <c r="B17" s="154" t="str">
        <f>Jugadores!M16</f>
        <v xml:space="preserve">Jesús Ortega Jiménez </v>
      </c>
      <c r="C17" s="155"/>
      <c r="D17" s="24">
        <f t="shared" si="0"/>
        <v>4</v>
      </c>
      <c r="E17" s="24">
        <f t="shared" si="1"/>
        <v>2</v>
      </c>
      <c r="F17" s="115">
        <f t="shared" si="2"/>
        <v>4</v>
      </c>
      <c r="G17" s="115">
        <f t="shared" si="3"/>
        <v>2</v>
      </c>
      <c r="H17" s="28"/>
      <c r="I17" s="26"/>
      <c r="J17" s="26"/>
      <c r="K17" s="29"/>
      <c r="L17" s="28"/>
      <c r="M17" s="26"/>
      <c r="N17" s="26"/>
      <c r="O17" s="29"/>
      <c r="P17" s="28"/>
      <c r="Q17" s="26"/>
      <c r="R17" s="105"/>
      <c r="S17" s="106"/>
      <c r="T17" s="28"/>
      <c r="U17" s="26"/>
      <c r="V17" s="26"/>
      <c r="W17" s="29"/>
      <c r="X17" s="28"/>
      <c r="Y17" s="26"/>
      <c r="Z17" s="26"/>
      <c r="AA17" s="29"/>
      <c r="AB17" s="28"/>
      <c r="AC17" s="26"/>
      <c r="AD17" s="26"/>
      <c r="AE17" s="29"/>
      <c r="AF17" s="28"/>
      <c r="AG17" s="26"/>
      <c r="AH17" s="26"/>
      <c r="AI17" s="29"/>
      <c r="AJ17" s="28"/>
      <c r="AK17" s="26"/>
      <c r="AL17" s="26"/>
      <c r="AM17" s="29"/>
      <c r="AN17" s="28"/>
      <c r="AO17" s="26"/>
      <c r="AP17" s="26"/>
      <c r="AQ17" s="29"/>
      <c r="AR17" s="28"/>
      <c r="AS17" s="26"/>
      <c r="AT17" s="26"/>
      <c r="AU17" s="29"/>
      <c r="AV17" s="28"/>
      <c r="AW17" s="26"/>
      <c r="AX17" s="26"/>
      <c r="AY17" s="29"/>
      <c r="AZ17" s="28"/>
      <c r="BA17" s="26"/>
      <c r="BB17" s="26"/>
      <c r="BC17" s="29"/>
      <c r="BD17" s="28"/>
      <c r="BE17" s="26"/>
      <c r="BF17" s="26"/>
      <c r="BG17" s="29"/>
      <c r="BH17" s="28"/>
      <c r="BI17" s="26"/>
      <c r="BJ17" s="26"/>
      <c r="BK17" s="29"/>
      <c r="BL17" s="28"/>
      <c r="BM17" s="26"/>
      <c r="BN17" s="26"/>
      <c r="BO17" s="29"/>
      <c r="BP17" s="28"/>
      <c r="BQ17" s="26"/>
      <c r="BR17" s="26"/>
      <c r="BS17" s="29"/>
      <c r="BT17" s="28"/>
      <c r="BU17" s="26">
        <v>1</v>
      </c>
      <c r="BV17" s="26"/>
      <c r="BW17" s="29"/>
      <c r="BX17" s="28"/>
      <c r="BY17" s="26">
        <v>1</v>
      </c>
      <c r="BZ17" s="26"/>
      <c r="CA17" s="29"/>
      <c r="CB17" s="28"/>
      <c r="CC17" s="26"/>
      <c r="CD17" s="26"/>
      <c r="CE17" s="29"/>
      <c r="CF17" s="28">
        <v>4</v>
      </c>
      <c r="CG17" s="26">
        <v>1</v>
      </c>
      <c r="CH17" s="26"/>
      <c r="CI17" s="29"/>
      <c r="CJ17" s="28"/>
      <c r="CK17" s="26"/>
      <c r="CL17" s="26"/>
      <c r="CM17" s="29"/>
      <c r="CN17" s="28"/>
      <c r="CO17" s="26"/>
      <c r="CP17" s="26"/>
      <c r="CQ17" s="29"/>
      <c r="CR17" s="28"/>
      <c r="CS17" s="26"/>
      <c r="CT17" s="26"/>
      <c r="CU17" s="29"/>
      <c r="CV17" s="28"/>
      <c r="CW17" s="26"/>
      <c r="CX17" s="26"/>
      <c r="CY17" s="29"/>
      <c r="CZ17" s="28"/>
      <c r="DA17" s="26"/>
      <c r="DB17" s="26"/>
      <c r="DC17" s="29"/>
    </row>
    <row r="18" spans="1:107" ht="19.899999999999999" customHeight="1" x14ac:dyDescent="0.25">
      <c r="A18" s="179"/>
      <c r="B18" s="156" t="str">
        <f>Jugadores!M17</f>
        <v xml:space="preserve">Germán Primera </v>
      </c>
      <c r="C18" s="157"/>
      <c r="D18" s="24">
        <f t="shared" si="0"/>
        <v>0</v>
      </c>
      <c r="E18" s="24">
        <f t="shared" si="1"/>
        <v>0</v>
      </c>
      <c r="F18" s="115">
        <f t="shared" si="2"/>
        <v>0</v>
      </c>
      <c r="G18" s="115">
        <f t="shared" si="3"/>
        <v>0</v>
      </c>
      <c r="H18" s="28"/>
      <c r="I18" s="26"/>
      <c r="J18" s="26"/>
      <c r="K18" s="29"/>
      <c r="L18" s="28"/>
      <c r="M18" s="26"/>
      <c r="N18" s="26"/>
      <c r="O18" s="29"/>
      <c r="P18" s="28"/>
      <c r="Q18" s="26"/>
      <c r="R18" s="105"/>
      <c r="S18" s="106"/>
      <c r="T18" s="28"/>
      <c r="U18" s="26"/>
      <c r="V18" s="26"/>
      <c r="W18" s="29"/>
      <c r="X18" s="28"/>
      <c r="Y18" s="26"/>
      <c r="Z18" s="26"/>
      <c r="AA18" s="29"/>
      <c r="AB18" s="28"/>
      <c r="AC18" s="26"/>
      <c r="AD18" s="26"/>
      <c r="AE18" s="29"/>
      <c r="AF18" s="28"/>
      <c r="AG18" s="26"/>
      <c r="AH18" s="26"/>
      <c r="AI18" s="29"/>
      <c r="AJ18" s="28"/>
      <c r="AK18" s="26"/>
      <c r="AL18" s="26"/>
      <c r="AM18" s="29"/>
      <c r="AN18" s="28"/>
      <c r="AO18" s="26"/>
      <c r="AP18" s="26"/>
      <c r="AQ18" s="29"/>
      <c r="AR18" s="28"/>
      <c r="AS18" s="26"/>
      <c r="AT18" s="26"/>
      <c r="AU18" s="29"/>
      <c r="AV18" s="28"/>
      <c r="AW18" s="26"/>
      <c r="AX18" s="26"/>
      <c r="AY18" s="29"/>
      <c r="AZ18" s="28"/>
      <c r="BA18" s="26"/>
      <c r="BB18" s="26"/>
      <c r="BC18" s="29"/>
      <c r="BD18" s="28"/>
      <c r="BE18" s="26"/>
      <c r="BF18" s="26"/>
      <c r="BG18" s="29"/>
      <c r="BH18" s="28"/>
      <c r="BI18" s="26"/>
      <c r="BJ18" s="26"/>
      <c r="BK18" s="29"/>
      <c r="BL18" s="28"/>
      <c r="BM18" s="26"/>
      <c r="BN18" s="26"/>
      <c r="BO18" s="29"/>
      <c r="BP18" s="28"/>
      <c r="BQ18" s="26"/>
      <c r="BR18" s="26"/>
      <c r="BS18" s="29"/>
      <c r="BT18" s="28"/>
      <c r="BU18" s="26"/>
      <c r="BV18" s="26"/>
      <c r="BW18" s="29"/>
      <c r="BX18" s="28"/>
      <c r="BY18" s="26"/>
      <c r="BZ18" s="26"/>
      <c r="CA18" s="29"/>
      <c r="CB18" s="28"/>
      <c r="CC18" s="26"/>
      <c r="CD18" s="26"/>
      <c r="CE18" s="29"/>
      <c r="CF18" s="28"/>
      <c r="CG18" s="26"/>
      <c r="CH18" s="26"/>
      <c r="CI18" s="29"/>
      <c r="CJ18" s="28"/>
      <c r="CK18" s="26"/>
      <c r="CL18" s="26"/>
      <c r="CM18" s="29"/>
      <c r="CN18" s="28"/>
      <c r="CO18" s="26"/>
      <c r="CP18" s="26"/>
      <c r="CQ18" s="29"/>
      <c r="CR18" s="28"/>
      <c r="CS18" s="26"/>
      <c r="CT18" s="26"/>
      <c r="CU18" s="29"/>
      <c r="CV18" s="28"/>
      <c r="CW18" s="26"/>
      <c r="CX18" s="26"/>
      <c r="CY18" s="29"/>
      <c r="CZ18" s="28"/>
      <c r="DA18" s="26"/>
      <c r="DB18" s="26"/>
      <c r="DC18" s="29"/>
    </row>
    <row r="19" spans="1:107" ht="14.45" customHeight="1" x14ac:dyDescent="0.25">
      <c r="B19" s="158" t="s">
        <v>105</v>
      </c>
      <c r="C19" s="159"/>
      <c r="D19" s="160"/>
      <c r="E19" s="160"/>
      <c r="F19" s="160"/>
      <c r="G19" s="160"/>
      <c r="H19" s="28"/>
      <c r="I19" s="26"/>
      <c r="J19" s="26"/>
      <c r="K19" s="29"/>
      <c r="L19" s="28"/>
      <c r="M19" s="26"/>
      <c r="N19" s="26"/>
      <c r="O19" s="29"/>
      <c r="P19" s="28"/>
      <c r="Q19" s="26"/>
      <c r="R19" s="26"/>
      <c r="S19" s="29"/>
      <c r="T19" s="28"/>
      <c r="U19" s="26"/>
      <c r="V19" s="26"/>
      <c r="W19" s="29"/>
      <c r="X19" s="28"/>
      <c r="Y19" s="26"/>
      <c r="Z19" s="26"/>
      <c r="AA19" s="29"/>
      <c r="AB19" s="28"/>
      <c r="AC19" s="26"/>
      <c r="AD19" s="26"/>
      <c r="AE19" s="29"/>
      <c r="AF19" s="28"/>
      <c r="AG19" s="26"/>
      <c r="AH19" s="26"/>
      <c r="AI19" s="29"/>
      <c r="AJ19" s="28"/>
      <c r="AK19" s="26"/>
      <c r="AL19" s="26"/>
      <c r="AM19" s="29"/>
      <c r="AN19" s="28"/>
      <c r="AO19" s="26"/>
      <c r="AP19" s="26"/>
      <c r="AQ19" s="29"/>
      <c r="AR19" s="28">
        <v>1</v>
      </c>
      <c r="AS19" s="26"/>
      <c r="AT19" s="26"/>
      <c r="AU19" s="29"/>
      <c r="AV19" s="28"/>
      <c r="AW19" s="26"/>
      <c r="AX19" s="26"/>
      <c r="AY19" s="29"/>
      <c r="AZ19" s="28"/>
      <c r="BA19" s="26"/>
      <c r="BB19" s="26"/>
      <c r="BC19" s="29"/>
      <c r="BD19" s="28"/>
      <c r="BE19" s="26"/>
      <c r="BF19" s="26"/>
      <c r="BG19" s="29"/>
      <c r="BH19" s="28"/>
      <c r="BI19" s="26"/>
      <c r="BJ19" s="26"/>
      <c r="BK19" s="29"/>
      <c r="BL19" s="28"/>
      <c r="BM19" s="26"/>
      <c r="BN19" s="26"/>
      <c r="BO19" s="29"/>
      <c r="BP19" s="28"/>
      <c r="BQ19" s="26"/>
      <c r="BR19" s="26"/>
      <c r="BS19" s="29"/>
      <c r="BT19" s="28"/>
      <c r="BU19" s="26"/>
      <c r="BV19" s="26"/>
      <c r="BW19" s="29"/>
      <c r="BX19" s="28"/>
      <c r="BY19" s="26"/>
      <c r="BZ19" s="26"/>
      <c r="CA19" s="29"/>
      <c r="CB19" s="28"/>
      <c r="CC19" s="26"/>
      <c r="CD19" s="26"/>
      <c r="CE19" s="29"/>
      <c r="CF19" s="28"/>
      <c r="CG19" s="26"/>
      <c r="CH19" s="26"/>
      <c r="CI19" s="29"/>
      <c r="CJ19" s="28"/>
      <c r="CK19" s="26"/>
      <c r="CL19" s="26"/>
      <c r="CM19" s="29"/>
      <c r="CN19" s="28"/>
      <c r="CO19" s="26"/>
      <c r="CP19" s="26"/>
      <c r="CQ19" s="29"/>
      <c r="CR19" s="28"/>
      <c r="CS19" s="26"/>
      <c r="CT19" s="26"/>
      <c r="CU19" s="29"/>
      <c r="CV19" s="28"/>
      <c r="CW19" s="26"/>
      <c r="CX19" s="26"/>
      <c r="CY19" s="29"/>
      <c r="CZ19" s="28"/>
      <c r="DA19" s="26"/>
      <c r="DB19" s="26"/>
      <c r="DC19" s="29"/>
    </row>
    <row r="20" spans="1:107" x14ac:dyDescent="0.25">
      <c r="B20" s="158" t="s">
        <v>104</v>
      </c>
      <c r="C20" s="159"/>
      <c r="D20" s="159"/>
      <c r="E20" s="159"/>
      <c r="F20" s="159"/>
      <c r="G20" s="159"/>
      <c r="H20" s="28"/>
      <c r="I20" s="26"/>
      <c r="J20" s="26"/>
      <c r="K20" s="29"/>
      <c r="L20" s="28"/>
      <c r="M20" s="26"/>
      <c r="N20" s="26"/>
      <c r="O20" s="29"/>
      <c r="P20" s="28"/>
      <c r="Q20" s="26"/>
      <c r="R20" s="26"/>
      <c r="S20" s="29"/>
      <c r="T20" s="28"/>
      <c r="U20" s="26"/>
      <c r="V20" s="26"/>
      <c r="W20" s="29"/>
      <c r="X20" s="28"/>
      <c r="Y20" s="26"/>
      <c r="Z20" s="26"/>
      <c r="AA20" s="29"/>
      <c r="AB20" s="28"/>
      <c r="AC20" s="26"/>
      <c r="AD20" s="26"/>
      <c r="AE20" s="29"/>
      <c r="AF20" s="28"/>
      <c r="AG20" s="26"/>
      <c r="AH20" s="26"/>
      <c r="AI20" s="29"/>
      <c r="AJ20" s="28">
        <v>3</v>
      </c>
      <c r="AK20" s="26"/>
      <c r="AL20" s="26"/>
      <c r="AM20" s="29"/>
      <c r="AN20" s="28"/>
      <c r="AO20" s="26"/>
      <c r="AP20" s="26"/>
      <c r="AQ20" s="29"/>
      <c r="AR20" s="28"/>
      <c r="AS20" s="26"/>
      <c r="AT20" s="26"/>
      <c r="AU20" s="29"/>
      <c r="AV20" s="28"/>
      <c r="AW20" s="26"/>
      <c r="AX20" s="26"/>
      <c r="AY20" s="29"/>
      <c r="AZ20" s="28"/>
      <c r="BA20" s="26"/>
      <c r="BB20" s="26"/>
      <c r="BC20" s="29"/>
      <c r="BD20" s="28"/>
      <c r="BE20" s="26"/>
      <c r="BF20" s="26"/>
      <c r="BG20" s="29"/>
      <c r="BH20" s="28"/>
      <c r="BI20" s="26"/>
      <c r="BJ20" s="26"/>
      <c r="BK20" s="29"/>
      <c r="BL20" s="28"/>
      <c r="BM20" s="26"/>
      <c r="BN20" s="26"/>
      <c r="BO20" s="29"/>
      <c r="BP20" s="28"/>
      <c r="BQ20" s="26"/>
      <c r="BR20" s="26"/>
      <c r="BS20" s="29"/>
      <c r="BT20" s="28"/>
      <c r="BU20" s="26"/>
      <c r="BV20" s="26"/>
      <c r="BW20" s="29"/>
      <c r="BX20" s="28"/>
      <c r="BY20" s="26"/>
      <c r="BZ20" s="26"/>
      <c r="CA20" s="29"/>
      <c r="CB20" s="28"/>
      <c r="CC20" s="26"/>
      <c r="CD20" s="26"/>
      <c r="CE20" s="29"/>
      <c r="CF20" s="28"/>
      <c r="CG20" s="26"/>
      <c r="CH20" s="26"/>
      <c r="CI20" s="29"/>
      <c r="CJ20" s="28">
        <v>3</v>
      </c>
      <c r="CK20" s="26"/>
      <c r="CL20" s="26"/>
      <c r="CM20" s="29"/>
      <c r="CN20" s="28"/>
      <c r="CO20" s="26"/>
      <c r="CP20" s="26"/>
      <c r="CQ20" s="29"/>
      <c r="CR20" s="28"/>
      <c r="CS20" s="26"/>
      <c r="CT20" s="26"/>
      <c r="CU20" s="29"/>
      <c r="CV20" s="28"/>
      <c r="CW20" s="26"/>
      <c r="CX20" s="26"/>
      <c r="CY20" s="29"/>
      <c r="CZ20" s="28"/>
      <c r="DA20" s="26"/>
      <c r="DB20" s="26"/>
      <c r="DC20" s="29"/>
    </row>
    <row r="21" spans="1:107" ht="15.75" thickBot="1" x14ac:dyDescent="0.3">
      <c r="B21" s="161" t="s">
        <v>106</v>
      </c>
      <c r="C21" s="162"/>
      <c r="D21" s="162"/>
      <c r="E21" s="162"/>
      <c r="F21" s="162"/>
      <c r="G21" s="162"/>
      <c r="H21" s="30"/>
      <c r="I21" s="31"/>
      <c r="J21" s="31"/>
      <c r="K21" s="32"/>
      <c r="L21" s="30"/>
      <c r="M21" s="31"/>
      <c r="N21" s="31"/>
      <c r="O21" s="32"/>
      <c r="P21" s="30"/>
      <c r="Q21" s="31"/>
      <c r="R21" s="31"/>
      <c r="S21" s="32"/>
      <c r="T21" s="30"/>
      <c r="U21" s="31"/>
      <c r="V21" s="31"/>
      <c r="W21" s="32"/>
      <c r="X21" s="30"/>
      <c r="Y21" s="31"/>
      <c r="Z21" s="31"/>
      <c r="AA21" s="32"/>
      <c r="AB21" s="30"/>
      <c r="AC21" s="31"/>
      <c r="AD21" s="31"/>
      <c r="AE21" s="32"/>
      <c r="AF21" s="30"/>
      <c r="AG21" s="31"/>
      <c r="AH21" s="31"/>
      <c r="AI21" s="32"/>
      <c r="AJ21" s="30"/>
      <c r="AK21" s="31"/>
      <c r="AL21" s="31"/>
      <c r="AM21" s="32"/>
      <c r="AN21" s="30"/>
      <c r="AO21" s="31"/>
      <c r="AP21" s="31"/>
      <c r="AQ21" s="32"/>
      <c r="AR21" s="30"/>
      <c r="AS21" s="31"/>
      <c r="AT21" s="31"/>
      <c r="AU21" s="32"/>
      <c r="AV21" s="30"/>
      <c r="AW21" s="31"/>
      <c r="AX21" s="31"/>
      <c r="AY21" s="32"/>
      <c r="AZ21" s="30"/>
      <c r="BA21" s="31"/>
      <c r="BB21" s="31"/>
      <c r="BC21" s="32"/>
      <c r="BD21" s="30"/>
      <c r="BE21" s="31"/>
      <c r="BF21" s="31"/>
      <c r="BG21" s="32"/>
      <c r="BH21" s="30"/>
      <c r="BI21" s="31"/>
      <c r="BJ21" s="31"/>
      <c r="BK21" s="32"/>
      <c r="BL21" s="30"/>
      <c r="BM21" s="31"/>
      <c r="BN21" s="31"/>
      <c r="BO21" s="32"/>
      <c r="BP21" s="30"/>
      <c r="BQ21" s="31"/>
      <c r="BR21" s="31"/>
      <c r="BS21" s="32"/>
      <c r="BT21" s="30"/>
      <c r="BU21" s="31"/>
      <c r="BV21" s="31"/>
      <c r="BW21" s="32"/>
      <c r="BX21" s="30"/>
      <c r="BY21" s="31"/>
      <c r="BZ21" s="31"/>
      <c r="CA21" s="32"/>
      <c r="CB21" s="30"/>
      <c r="CC21" s="31"/>
      <c r="CD21" s="31"/>
      <c r="CE21" s="32"/>
      <c r="CF21" s="30"/>
      <c r="CG21" s="31"/>
      <c r="CH21" s="31"/>
      <c r="CI21" s="32"/>
      <c r="CJ21" s="30"/>
      <c r="CK21" s="31"/>
      <c r="CL21" s="31"/>
      <c r="CM21" s="32"/>
      <c r="CN21" s="30"/>
      <c r="CO21" s="31"/>
      <c r="CP21" s="31"/>
      <c r="CQ21" s="32"/>
      <c r="CR21" s="30"/>
      <c r="CS21" s="31"/>
      <c r="CT21" s="31"/>
      <c r="CU21" s="32"/>
      <c r="CV21" s="30"/>
      <c r="CW21" s="31"/>
      <c r="CX21" s="31"/>
      <c r="CY21" s="32"/>
      <c r="CZ21" s="30"/>
      <c r="DA21" s="31"/>
      <c r="DB21" s="31"/>
      <c r="DC21" s="32"/>
    </row>
    <row r="22" spans="1:107" x14ac:dyDescent="0.25">
      <c r="B22" s="3"/>
      <c r="C22" s="27"/>
      <c r="D22" s="23">
        <f>H22+L22+P22+T22+X22+AB22+AF22+AJ22+AN22+AR22+AV22+AZ22+BD22+BH22+BL22+BP22+BT22+BX22+CB22+CF22+CJ22+CN22+CR22+CV22+CZ22</f>
        <v>121</v>
      </c>
      <c r="E22" s="23">
        <f>I22+M22+Q22+U22+Y22+AC22+AG22+AK22+AO22+AS22+AW22+BA22+BE22+BI22+BM22+BQ22+BV22+BY22+CD22+CG22+CL22+CO22+CT22+CW22+DB22</f>
        <v>23</v>
      </c>
      <c r="F22" s="23">
        <f>J22+N22+R22+V22+Z22+AD22+AH22+AL22+AP22+AT22+AX22+BB22+BF22+BJ22+BN22+BT22+BX22+CB22+CF22+CJ22+CN22+CR22+CV22+CZ22</f>
        <v>34</v>
      </c>
      <c r="G22" s="23">
        <f>K22+O22+S22+W22+AA22+AE22+AI22+AM22+AQ22+AU22+AY22+BC22+BG22+BK22+BO22+BV22+BY22+CD22+CG22+CL22+CO22+CT22+CW22+DB22</f>
        <v>8</v>
      </c>
      <c r="H22" s="33">
        <f>SUM(H4:H21)</f>
        <v>7</v>
      </c>
      <c r="I22" s="34">
        <f>SUM(I4:I18)</f>
        <v>2</v>
      </c>
      <c r="J22" s="34">
        <f>SUM(J4:J18)</f>
        <v>0</v>
      </c>
      <c r="K22" s="35">
        <f>SUM(K4:K20)</f>
        <v>0</v>
      </c>
      <c r="L22" s="33">
        <f t="shared" ref="L22" si="4">SUM(L4:L21)</f>
        <v>4</v>
      </c>
      <c r="M22" s="34">
        <f t="shared" ref="M22:N22" si="5">SUM(M4:M18)</f>
        <v>0</v>
      </c>
      <c r="N22" s="34">
        <f t="shared" si="5"/>
        <v>1</v>
      </c>
      <c r="O22" s="35">
        <f t="shared" ref="O22" si="6">SUM(O4:O20)</f>
        <v>0</v>
      </c>
      <c r="P22" s="33">
        <f t="shared" ref="P22" si="7">SUM(P4:P21)</f>
        <v>3</v>
      </c>
      <c r="Q22" s="34">
        <f t="shared" ref="Q22:R22" si="8">SUM(Q4:Q18)</f>
        <v>3</v>
      </c>
      <c r="R22" s="34">
        <f t="shared" si="8"/>
        <v>0</v>
      </c>
      <c r="S22" s="35">
        <f t="shared" ref="S22" si="9">SUM(S4:S20)</f>
        <v>0</v>
      </c>
      <c r="T22" s="33">
        <f t="shared" ref="T22" si="10">SUM(T4:T21)</f>
        <v>7</v>
      </c>
      <c r="U22" s="34">
        <f t="shared" ref="U22:V22" si="11">SUM(U4:U18)</f>
        <v>1</v>
      </c>
      <c r="V22" s="34">
        <f t="shared" si="11"/>
        <v>0</v>
      </c>
      <c r="W22" s="35">
        <f t="shared" ref="W22" si="12">SUM(W4:W20)</f>
        <v>0</v>
      </c>
      <c r="X22" s="33">
        <f t="shared" ref="X22" si="13">SUM(X4:X21)</f>
        <v>10</v>
      </c>
      <c r="Y22" s="34">
        <f t="shared" ref="Y22:Z22" si="14">SUM(Y4:Y18)</f>
        <v>2</v>
      </c>
      <c r="Z22" s="34">
        <f t="shared" si="14"/>
        <v>0</v>
      </c>
      <c r="AA22" s="35">
        <f t="shared" ref="AA22" si="15">SUM(AA4:AA20)</f>
        <v>0</v>
      </c>
      <c r="AB22" s="33">
        <f t="shared" ref="AB22" si="16">SUM(AB4:AB21)</f>
        <v>3</v>
      </c>
      <c r="AC22" s="34">
        <f t="shared" ref="AC22:AD22" si="17">SUM(AC4:AC18)</f>
        <v>1</v>
      </c>
      <c r="AD22" s="34">
        <f t="shared" si="17"/>
        <v>0</v>
      </c>
      <c r="AE22" s="35">
        <f t="shared" ref="AE22" si="18">SUM(AE4:AE20)</f>
        <v>0</v>
      </c>
      <c r="AF22" s="33">
        <f t="shared" ref="AF22" si="19">SUM(AF4:AF21)</f>
        <v>10</v>
      </c>
      <c r="AG22" s="34">
        <f t="shared" ref="AG22:AH22" si="20">SUM(AG4:AG18)</f>
        <v>0</v>
      </c>
      <c r="AH22" s="34">
        <f t="shared" si="20"/>
        <v>0</v>
      </c>
      <c r="AI22" s="35">
        <f t="shared" ref="AI22" si="21">SUM(AI4:AI20)</f>
        <v>0</v>
      </c>
      <c r="AJ22" s="33">
        <f t="shared" ref="AJ22" si="22">SUM(AJ4:AJ21)</f>
        <v>3</v>
      </c>
      <c r="AK22" s="34">
        <f t="shared" ref="AK22:AL22" si="23">SUM(AK4:AK18)</f>
        <v>0</v>
      </c>
      <c r="AL22" s="34">
        <f t="shared" si="23"/>
        <v>0</v>
      </c>
      <c r="AM22" s="35">
        <f t="shared" ref="AM22" si="24">SUM(AM4:AM20)</f>
        <v>0</v>
      </c>
      <c r="AN22" s="33">
        <f t="shared" ref="AN22" si="25">SUM(AN4:AN21)</f>
        <v>3</v>
      </c>
      <c r="AO22" s="34">
        <f t="shared" ref="AO22:AP22" si="26">SUM(AO4:AO18)</f>
        <v>2</v>
      </c>
      <c r="AP22" s="34">
        <f t="shared" si="26"/>
        <v>0</v>
      </c>
      <c r="AQ22" s="35">
        <f t="shared" ref="AQ22" si="27">SUM(AQ4:AQ20)</f>
        <v>0</v>
      </c>
      <c r="AR22" s="33">
        <f t="shared" ref="AR22" si="28">SUM(AR4:AR21)</f>
        <v>4</v>
      </c>
      <c r="AS22" s="34">
        <f t="shared" ref="AS22:AT22" si="29">SUM(AS4:AS18)</f>
        <v>1</v>
      </c>
      <c r="AT22" s="34">
        <f t="shared" si="29"/>
        <v>0</v>
      </c>
      <c r="AU22" s="35">
        <f t="shared" ref="AU22" si="30">SUM(AU4:AU20)</f>
        <v>0</v>
      </c>
      <c r="AV22" s="33">
        <f t="shared" ref="AV22" si="31">SUM(AV4:AV21)</f>
        <v>6</v>
      </c>
      <c r="AW22" s="34">
        <f t="shared" ref="AW22:AX22" si="32">SUM(AW4:AW18)</f>
        <v>0</v>
      </c>
      <c r="AX22" s="34">
        <f t="shared" si="32"/>
        <v>0</v>
      </c>
      <c r="AY22" s="35">
        <f t="shared" ref="AY22" si="33">SUM(AY4:AY20)</f>
        <v>0</v>
      </c>
      <c r="AZ22" s="33">
        <f t="shared" ref="AZ22:BC22" si="34">SUM(AZ4:AZ21)</f>
        <v>5</v>
      </c>
      <c r="BA22" s="33">
        <f t="shared" si="34"/>
        <v>1</v>
      </c>
      <c r="BB22" s="33">
        <f t="shared" si="34"/>
        <v>0</v>
      </c>
      <c r="BC22" s="33">
        <f t="shared" si="34"/>
        <v>0</v>
      </c>
      <c r="BD22" s="33">
        <f t="shared" ref="BD22" si="35">SUM(BD4:BD21)</f>
        <v>9</v>
      </c>
      <c r="BE22" s="34">
        <f t="shared" ref="BE22:BF22" si="36">SUM(BE4:BE18)</f>
        <v>0</v>
      </c>
      <c r="BF22" s="34">
        <f t="shared" si="36"/>
        <v>0</v>
      </c>
      <c r="BG22" s="35">
        <f t="shared" ref="BG22" si="37">SUM(BG4:BG20)</f>
        <v>0</v>
      </c>
      <c r="BH22" s="33">
        <f t="shared" ref="BH22" si="38">SUM(BH4:BH21)</f>
        <v>4</v>
      </c>
      <c r="BI22" s="34">
        <f t="shared" ref="BI22:BJ22" si="39">SUM(BI4:BI18)</f>
        <v>1</v>
      </c>
      <c r="BJ22" s="34">
        <f t="shared" si="39"/>
        <v>0</v>
      </c>
      <c r="BK22" s="35">
        <f t="shared" ref="BK22" si="40">SUM(BK4:BK20)</f>
        <v>0</v>
      </c>
      <c r="BL22" s="33">
        <f t="shared" ref="BL22" si="41">SUM(BL4:BL21)</f>
        <v>5</v>
      </c>
      <c r="BM22" s="34">
        <f t="shared" ref="BM22:BN22" si="42">SUM(BM4:BM18)</f>
        <v>1</v>
      </c>
      <c r="BN22" s="34">
        <f t="shared" si="42"/>
        <v>0</v>
      </c>
      <c r="BO22" s="35">
        <f t="shared" ref="BO22" si="43">SUM(BO4:BO20)</f>
        <v>0</v>
      </c>
      <c r="BP22" s="33">
        <f t="shared" ref="BP22" si="44">SUM(BP4:BP21)</f>
        <v>5</v>
      </c>
      <c r="BQ22" s="34">
        <f t="shared" ref="BQ22:BR22" si="45">SUM(BQ4:BQ18)</f>
        <v>0</v>
      </c>
      <c r="BR22" s="34">
        <f t="shared" si="45"/>
        <v>0</v>
      </c>
      <c r="BS22" s="35">
        <f t="shared" ref="BS22" si="46">SUM(BS4:BS20)</f>
        <v>0</v>
      </c>
      <c r="BT22" s="33">
        <f>SUM(BT4:BT21)</f>
        <v>8</v>
      </c>
      <c r="BU22" s="34">
        <f>SUM(BU4:BU21)</f>
        <v>2</v>
      </c>
      <c r="BV22" s="34">
        <f>SUM(BV4:BV21)</f>
        <v>0</v>
      </c>
      <c r="BW22" s="35">
        <f>SUM(BW4:BW21)</f>
        <v>0</v>
      </c>
      <c r="BX22" s="33">
        <f t="shared" ref="BX22:DC22" si="47">SUM(BX4:BX21)</f>
        <v>6</v>
      </c>
      <c r="BY22" s="34">
        <f t="shared" si="47"/>
        <v>2</v>
      </c>
      <c r="BZ22" s="34">
        <f t="shared" si="47"/>
        <v>0</v>
      </c>
      <c r="CA22" s="35">
        <f t="shared" si="47"/>
        <v>0</v>
      </c>
      <c r="CB22" s="33">
        <f t="shared" si="47"/>
        <v>0</v>
      </c>
      <c r="CC22" s="34">
        <f t="shared" si="47"/>
        <v>4</v>
      </c>
      <c r="CD22" s="34">
        <f t="shared" si="47"/>
        <v>0</v>
      </c>
      <c r="CE22" s="35">
        <f t="shared" si="47"/>
        <v>0</v>
      </c>
      <c r="CF22" s="33">
        <f t="shared" si="47"/>
        <v>10</v>
      </c>
      <c r="CG22" s="34">
        <f t="shared" si="47"/>
        <v>4</v>
      </c>
      <c r="CH22" s="34">
        <f t="shared" si="47"/>
        <v>0</v>
      </c>
      <c r="CI22" s="35">
        <f t="shared" si="47"/>
        <v>0</v>
      </c>
      <c r="CJ22" s="33">
        <f t="shared" si="47"/>
        <v>3</v>
      </c>
      <c r="CK22" s="34">
        <f t="shared" si="47"/>
        <v>0</v>
      </c>
      <c r="CL22" s="34">
        <f t="shared" si="47"/>
        <v>0</v>
      </c>
      <c r="CM22" s="35">
        <f t="shared" si="47"/>
        <v>0</v>
      </c>
      <c r="CN22" s="33">
        <f t="shared" si="47"/>
        <v>3</v>
      </c>
      <c r="CO22" s="34">
        <f t="shared" si="47"/>
        <v>2</v>
      </c>
      <c r="CP22" s="34">
        <f t="shared" si="47"/>
        <v>0</v>
      </c>
      <c r="CQ22" s="35">
        <f t="shared" si="47"/>
        <v>0</v>
      </c>
      <c r="CR22" s="33">
        <f t="shared" si="47"/>
        <v>3</v>
      </c>
      <c r="CS22" s="34">
        <f t="shared" si="47"/>
        <v>1</v>
      </c>
      <c r="CT22" s="34">
        <f t="shared" si="47"/>
        <v>0</v>
      </c>
      <c r="CU22" s="35">
        <f t="shared" si="47"/>
        <v>0</v>
      </c>
      <c r="CV22" s="33">
        <f t="shared" si="47"/>
        <v>0</v>
      </c>
      <c r="CW22" s="34">
        <f t="shared" si="47"/>
        <v>0</v>
      </c>
      <c r="CX22" s="34">
        <f t="shared" si="47"/>
        <v>0</v>
      </c>
      <c r="CY22" s="35">
        <f t="shared" si="47"/>
        <v>0</v>
      </c>
      <c r="CZ22" s="33">
        <f t="shared" si="47"/>
        <v>0</v>
      </c>
      <c r="DA22" s="34">
        <f t="shared" si="47"/>
        <v>0</v>
      </c>
      <c r="DB22" s="34">
        <f t="shared" si="47"/>
        <v>0</v>
      </c>
      <c r="DC22" s="35">
        <f t="shared" si="47"/>
        <v>0</v>
      </c>
    </row>
    <row r="23" spans="1:107" ht="14.45" customHeight="1" x14ac:dyDescent="0.25">
      <c r="B23" s="3"/>
      <c r="C23" s="27"/>
      <c r="D23" s="148" t="s">
        <v>86</v>
      </c>
      <c r="E23" s="148" t="s">
        <v>97</v>
      </c>
      <c r="F23" s="148" t="s">
        <v>99</v>
      </c>
      <c r="G23" s="148" t="s">
        <v>98</v>
      </c>
      <c r="H23" s="145" t="s">
        <v>86</v>
      </c>
      <c r="I23" s="148" t="s">
        <v>97</v>
      </c>
      <c r="J23" s="148" t="s">
        <v>99</v>
      </c>
      <c r="K23" s="151" t="s">
        <v>98</v>
      </c>
      <c r="L23" s="145" t="s">
        <v>86</v>
      </c>
      <c r="M23" s="148" t="s">
        <v>97</v>
      </c>
      <c r="N23" s="148" t="s">
        <v>99</v>
      </c>
      <c r="O23" s="151" t="s">
        <v>98</v>
      </c>
      <c r="P23" s="145" t="s">
        <v>86</v>
      </c>
      <c r="Q23" s="148" t="s">
        <v>97</v>
      </c>
      <c r="R23" s="148" t="s">
        <v>99</v>
      </c>
      <c r="S23" s="151" t="s">
        <v>98</v>
      </c>
      <c r="T23" s="145" t="s">
        <v>86</v>
      </c>
      <c r="U23" s="148" t="s">
        <v>97</v>
      </c>
      <c r="V23" s="148" t="s">
        <v>99</v>
      </c>
      <c r="W23" s="151" t="s">
        <v>98</v>
      </c>
      <c r="X23" s="145" t="s">
        <v>86</v>
      </c>
      <c r="Y23" s="148" t="s">
        <v>97</v>
      </c>
      <c r="Z23" s="148" t="s">
        <v>99</v>
      </c>
      <c r="AA23" s="151" t="s">
        <v>98</v>
      </c>
      <c r="AB23" s="145" t="s">
        <v>86</v>
      </c>
      <c r="AC23" s="148" t="s">
        <v>97</v>
      </c>
      <c r="AD23" s="148" t="s">
        <v>99</v>
      </c>
      <c r="AE23" s="151" t="s">
        <v>98</v>
      </c>
      <c r="AF23" s="145" t="s">
        <v>86</v>
      </c>
      <c r="AG23" s="148" t="s">
        <v>97</v>
      </c>
      <c r="AH23" s="148" t="s">
        <v>99</v>
      </c>
      <c r="AI23" s="151" t="s">
        <v>98</v>
      </c>
      <c r="AJ23" s="145" t="s">
        <v>86</v>
      </c>
      <c r="AK23" s="148" t="s">
        <v>97</v>
      </c>
      <c r="AL23" s="148" t="s">
        <v>99</v>
      </c>
      <c r="AM23" s="151" t="s">
        <v>98</v>
      </c>
      <c r="AN23" s="145" t="s">
        <v>86</v>
      </c>
      <c r="AO23" s="148" t="s">
        <v>97</v>
      </c>
      <c r="AP23" s="148" t="s">
        <v>99</v>
      </c>
      <c r="AQ23" s="151" t="s">
        <v>98</v>
      </c>
      <c r="AR23" s="145" t="s">
        <v>86</v>
      </c>
      <c r="AS23" s="148" t="s">
        <v>97</v>
      </c>
      <c r="AT23" s="148" t="s">
        <v>99</v>
      </c>
      <c r="AU23" s="151" t="s">
        <v>98</v>
      </c>
      <c r="AV23" s="145" t="s">
        <v>86</v>
      </c>
      <c r="AW23" s="148" t="s">
        <v>97</v>
      </c>
      <c r="AX23" s="148" t="s">
        <v>99</v>
      </c>
      <c r="AY23" s="151" t="s">
        <v>98</v>
      </c>
      <c r="AZ23" s="145" t="s">
        <v>86</v>
      </c>
      <c r="BA23" s="148" t="s">
        <v>97</v>
      </c>
      <c r="BB23" s="148" t="s">
        <v>99</v>
      </c>
      <c r="BC23" s="151" t="s">
        <v>98</v>
      </c>
      <c r="BD23" s="145" t="s">
        <v>86</v>
      </c>
      <c r="BE23" s="148" t="s">
        <v>97</v>
      </c>
      <c r="BF23" s="148" t="s">
        <v>99</v>
      </c>
      <c r="BG23" s="151" t="s">
        <v>98</v>
      </c>
      <c r="BH23" s="145" t="s">
        <v>86</v>
      </c>
      <c r="BI23" s="148" t="s">
        <v>97</v>
      </c>
      <c r="BJ23" s="148" t="s">
        <v>99</v>
      </c>
      <c r="BK23" s="151" t="s">
        <v>98</v>
      </c>
      <c r="BL23" s="145" t="s">
        <v>86</v>
      </c>
      <c r="BM23" s="148" t="s">
        <v>97</v>
      </c>
      <c r="BN23" s="148" t="s">
        <v>99</v>
      </c>
      <c r="BO23" s="151" t="s">
        <v>98</v>
      </c>
      <c r="BP23" s="145" t="s">
        <v>86</v>
      </c>
      <c r="BQ23" s="148" t="s">
        <v>97</v>
      </c>
      <c r="BR23" s="148" t="s">
        <v>99</v>
      </c>
      <c r="BS23" s="151" t="s">
        <v>98</v>
      </c>
      <c r="BT23" s="145" t="s">
        <v>86</v>
      </c>
      <c r="BU23" s="148" t="s">
        <v>97</v>
      </c>
      <c r="BV23" s="148" t="s">
        <v>99</v>
      </c>
      <c r="BW23" s="151" t="s">
        <v>98</v>
      </c>
      <c r="BX23" s="145" t="s">
        <v>86</v>
      </c>
      <c r="BY23" s="148" t="s">
        <v>97</v>
      </c>
      <c r="BZ23" s="148" t="s">
        <v>99</v>
      </c>
      <c r="CA23" s="151" t="s">
        <v>98</v>
      </c>
      <c r="CB23" s="145" t="s">
        <v>86</v>
      </c>
      <c r="CC23" s="148" t="s">
        <v>97</v>
      </c>
      <c r="CD23" s="148" t="s">
        <v>99</v>
      </c>
      <c r="CE23" s="151" t="s">
        <v>98</v>
      </c>
      <c r="CF23" s="145" t="s">
        <v>86</v>
      </c>
      <c r="CG23" s="148" t="s">
        <v>97</v>
      </c>
      <c r="CH23" s="148" t="s">
        <v>99</v>
      </c>
      <c r="CI23" s="151" t="s">
        <v>98</v>
      </c>
      <c r="CJ23" s="145" t="s">
        <v>86</v>
      </c>
      <c r="CK23" s="148" t="s">
        <v>97</v>
      </c>
      <c r="CL23" s="148" t="s">
        <v>99</v>
      </c>
      <c r="CM23" s="151" t="s">
        <v>98</v>
      </c>
      <c r="CN23" s="145" t="s">
        <v>86</v>
      </c>
      <c r="CO23" s="148" t="s">
        <v>97</v>
      </c>
      <c r="CP23" s="148" t="s">
        <v>99</v>
      </c>
      <c r="CQ23" s="151" t="s">
        <v>98</v>
      </c>
      <c r="CR23" s="145" t="s">
        <v>86</v>
      </c>
      <c r="CS23" s="148" t="s">
        <v>97</v>
      </c>
      <c r="CT23" s="148" t="s">
        <v>99</v>
      </c>
      <c r="CU23" s="151" t="s">
        <v>98</v>
      </c>
      <c r="CV23" s="145" t="s">
        <v>86</v>
      </c>
      <c r="CW23" s="148" t="s">
        <v>97</v>
      </c>
      <c r="CX23" s="148" t="s">
        <v>99</v>
      </c>
      <c r="CY23" s="151" t="s">
        <v>98</v>
      </c>
      <c r="CZ23" s="145" t="s">
        <v>86</v>
      </c>
      <c r="DA23" s="148" t="s">
        <v>97</v>
      </c>
      <c r="DB23" s="148" t="s">
        <v>99</v>
      </c>
      <c r="DC23" s="151" t="s">
        <v>98</v>
      </c>
    </row>
    <row r="24" spans="1:107" x14ac:dyDescent="0.25">
      <c r="B24" s="3"/>
      <c r="C24" s="27"/>
      <c r="D24" s="149"/>
      <c r="E24" s="149"/>
      <c r="F24" s="149"/>
      <c r="G24" s="149"/>
      <c r="H24" s="146"/>
      <c r="I24" s="149"/>
      <c r="J24" s="149"/>
      <c r="K24" s="152"/>
      <c r="L24" s="146"/>
      <c r="M24" s="149"/>
      <c r="N24" s="149"/>
      <c r="O24" s="152"/>
      <c r="P24" s="146"/>
      <c r="Q24" s="149"/>
      <c r="R24" s="149"/>
      <c r="S24" s="152"/>
      <c r="T24" s="146"/>
      <c r="U24" s="149"/>
      <c r="V24" s="149"/>
      <c r="W24" s="152"/>
      <c r="X24" s="146"/>
      <c r="Y24" s="149"/>
      <c r="Z24" s="149"/>
      <c r="AA24" s="152"/>
      <c r="AB24" s="146"/>
      <c r="AC24" s="149"/>
      <c r="AD24" s="149"/>
      <c r="AE24" s="152"/>
      <c r="AF24" s="146"/>
      <c r="AG24" s="149"/>
      <c r="AH24" s="149"/>
      <c r="AI24" s="152"/>
      <c r="AJ24" s="146"/>
      <c r="AK24" s="149"/>
      <c r="AL24" s="149"/>
      <c r="AM24" s="152"/>
      <c r="AN24" s="146"/>
      <c r="AO24" s="149"/>
      <c r="AP24" s="149"/>
      <c r="AQ24" s="152"/>
      <c r="AR24" s="146"/>
      <c r="AS24" s="149"/>
      <c r="AT24" s="149"/>
      <c r="AU24" s="152"/>
      <c r="AV24" s="146"/>
      <c r="AW24" s="149"/>
      <c r="AX24" s="149"/>
      <c r="AY24" s="152"/>
      <c r="AZ24" s="146"/>
      <c r="BA24" s="149"/>
      <c r="BB24" s="149"/>
      <c r="BC24" s="152"/>
      <c r="BD24" s="146"/>
      <c r="BE24" s="149"/>
      <c r="BF24" s="149"/>
      <c r="BG24" s="152"/>
      <c r="BH24" s="146"/>
      <c r="BI24" s="149"/>
      <c r="BJ24" s="149"/>
      <c r="BK24" s="152"/>
      <c r="BL24" s="146"/>
      <c r="BM24" s="149"/>
      <c r="BN24" s="149"/>
      <c r="BO24" s="152"/>
      <c r="BP24" s="146"/>
      <c r="BQ24" s="149"/>
      <c r="BR24" s="149"/>
      <c r="BS24" s="152"/>
      <c r="BT24" s="146"/>
      <c r="BU24" s="149"/>
      <c r="BV24" s="149"/>
      <c r="BW24" s="152"/>
      <c r="BX24" s="146"/>
      <c r="BY24" s="149"/>
      <c r="BZ24" s="149"/>
      <c r="CA24" s="152"/>
      <c r="CB24" s="146"/>
      <c r="CC24" s="149"/>
      <c r="CD24" s="149"/>
      <c r="CE24" s="152"/>
      <c r="CF24" s="146"/>
      <c r="CG24" s="149"/>
      <c r="CH24" s="149"/>
      <c r="CI24" s="152"/>
      <c r="CJ24" s="146"/>
      <c r="CK24" s="149"/>
      <c r="CL24" s="149"/>
      <c r="CM24" s="152"/>
      <c r="CN24" s="146"/>
      <c r="CO24" s="149"/>
      <c r="CP24" s="149"/>
      <c r="CQ24" s="152"/>
      <c r="CR24" s="146"/>
      <c r="CS24" s="149"/>
      <c r="CT24" s="149"/>
      <c r="CU24" s="152"/>
      <c r="CV24" s="146"/>
      <c r="CW24" s="149"/>
      <c r="CX24" s="149"/>
      <c r="CY24" s="152"/>
      <c r="CZ24" s="146"/>
      <c r="DA24" s="149"/>
      <c r="DB24" s="149"/>
      <c r="DC24" s="152"/>
    </row>
    <row r="25" spans="1:107" x14ac:dyDescent="0.25">
      <c r="D25" s="149"/>
      <c r="E25" s="149"/>
      <c r="F25" s="149"/>
      <c r="G25" s="149"/>
      <c r="H25" s="146"/>
      <c r="I25" s="149"/>
      <c r="J25" s="149"/>
      <c r="K25" s="152"/>
      <c r="L25" s="146"/>
      <c r="M25" s="149"/>
      <c r="N25" s="149"/>
      <c r="O25" s="152"/>
      <c r="P25" s="146"/>
      <c r="Q25" s="149"/>
      <c r="R25" s="149"/>
      <c r="S25" s="152"/>
      <c r="T25" s="146"/>
      <c r="U25" s="149"/>
      <c r="V25" s="149"/>
      <c r="W25" s="152"/>
      <c r="X25" s="146"/>
      <c r="Y25" s="149"/>
      <c r="Z25" s="149"/>
      <c r="AA25" s="152"/>
      <c r="AB25" s="146"/>
      <c r="AC25" s="149"/>
      <c r="AD25" s="149"/>
      <c r="AE25" s="152"/>
      <c r="AF25" s="146"/>
      <c r="AG25" s="149"/>
      <c r="AH25" s="149"/>
      <c r="AI25" s="152"/>
      <c r="AJ25" s="146"/>
      <c r="AK25" s="149"/>
      <c r="AL25" s="149"/>
      <c r="AM25" s="152"/>
      <c r="AN25" s="146"/>
      <c r="AO25" s="149"/>
      <c r="AP25" s="149"/>
      <c r="AQ25" s="152"/>
      <c r="AR25" s="146"/>
      <c r="AS25" s="149"/>
      <c r="AT25" s="149"/>
      <c r="AU25" s="152"/>
      <c r="AV25" s="146"/>
      <c r="AW25" s="149"/>
      <c r="AX25" s="149"/>
      <c r="AY25" s="152"/>
      <c r="AZ25" s="146"/>
      <c r="BA25" s="149"/>
      <c r="BB25" s="149"/>
      <c r="BC25" s="152"/>
      <c r="BD25" s="146"/>
      <c r="BE25" s="149"/>
      <c r="BF25" s="149"/>
      <c r="BG25" s="152"/>
      <c r="BH25" s="146"/>
      <c r="BI25" s="149"/>
      <c r="BJ25" s="149"/>
      <c r="BK25" s="152"/>
      <c r="BL25" s="146"/>
      <c r="BM25" s="149"/>
      <c r="BN25" s="149"/>
      <c r="BO25" s="152"/>
      <c r="BP25" s="146"/>
      <c r="BQ25" s="149"/>
      <c r="BR25" s="149"/>
      <c r="BS25" s="152"/>
      <c r="BT25" s="146"/>
      <c r="BU25" s="149"/>
      <c r="BV25" s="149"/>
      <c r="BW25" s="152"/>
      <c r="BX25" s="146"/>
      <c r="BY25" s="149"/>
      <c r="BZ25" s="149"/>
      <c r="CA25" s="152"/>
      <c r="CB25" s="146"/>
      <c r="CC25" s="149"/>
      <c r="CD25" s="149"/>
      <c r="CE25" s="152"/>
      <c r="CF25" s="146"/>
      <c r="CG25" s="149"/>
      <c r="CH25" s="149"/>
      <c r="CI25" s="152"/>
      <c r="CJ25" s="146"/>
      <c r="CK25" s="149"/>
      <c r="CL25" s="149"/>
      <c r="CM25" s="152"/>
      <c r="CN25" s="146"/>
      <c r="CO25" s="149"/>
      <c r="CP25" s="149"/>
      <c r="CQ25" s="152"/>
      <c r="CR25" s="146"/>
      <c r="CS25" s="149"/>
      <c r="CT25" s="149"/>
      <c r="CU25" s="152"/>
      <c r="CV25" s="146"/>
      <c r="CW25" s="149"/>
      <c r="CX25" s="149"/>
      <c r="CY25" s="152"/>
      <c r="CZ25" s="146"/>
      <c r="DA25" s="149"/>
      <c r="DB25" s="149"/>
      <c r="DC25" s="152"/>
    </row>
    <row r="26" spans="1:107" ht="15.75" thickBot="1" x14ac:dyDescent="0.3">
      <c r="D26" s="149"/>
      <c r="E26" s="149"/>
      <c r="F26" s="149"/>
      <c r="G26" s="149"/>
      <c r="H26" s="147"/>
      <c r="I26" s="150"/>
      <c r="J26" s="150"/>
      <c r="K26" s="153"/>
      <c r="L26" s="147"/>
      <c r="M26" s="150"/>
      <c r="N26" s="150"/>
      <c r="O26" s="153"/>
      <c r="P26" s="147"/>
      <c r="Q26" s="150"/>
      <c r="R26" s="150"/>
      <c r="S26" s="153"/>
      <c r="T26" s="147"/>
      <c r="U26" s="150"/>
      <c r="V26" s="150"/>
      <c r="W26" s="153"/>
      <c r="X26" s="147"/>
      <c r="Y26" s="150"/>
      <c r="Z26" s="150"/>
      <c r="AA26" s="153"/>
      <c r="AB26" s="147"/>
      <c r="AC26" s="150"/>
      <c r="AD26" s="150"/>
      <c r="AE26" s="153"/>
      <c r="AF26" s="147"/>
      <c r="AG26" s="150"/>
      <c r="AH26" s="150"/>
      <c r="AI26" s="153"/>
      <c r="AJ26" s="147"/>
      <c r="AK26" s="150"/>
      <c r="AL26" s="150"/>
      <c r="AM26" s="153"/>
      <c r="AN26" s="147"/>
      <c r="AO26" s="150"/>
      <c r="AP26" s="150"/>
      <c r="AQ26" s="153"/>
      <c r="AR26" s="147"/>
      <c r="AS26" s="150"/>
      <c r="AT26" s="150"/>
      <c r="AU26" s="153"/>
      <c r="AV26" s="147"/>
      <c r="AW26" s="150"/>
      <c r="AX26" s="150"/>
      <c r="AY26" s="153"/>
      <c r="AZ26" s="147"/>
      <c r="BA26" s="150"/>
      <c r="BB26" s="150"/>
      <c r="BC26" s="153"/>
      <c r="BD26" s="147"/>
      <c r="BE26" s="150"/>
      <c r="BF26" s="150"/>
      <c r="BG26" s="153"/>
      <c r="BH26" s="147"/>
      <c r="BI26" s="150"/>
      <c r="BJ26" s="150"/>
      <c r="BK26" s="153"/>
      <c r="BL26" s="147"/>
      <c r="BM26" s="150"/>
      <c r="BN26" s="150"/>
      <c r="BO26" s="153"/>
      <c r="BP26" s="147"/>
      <c r="BQ26" s="150"/>
      <c r="BR26" s="150"/>
      <c r="BS26" s="153"/>
      <c r="BT26" s="147"/>
      <c r="BU26" s="150"/>
      <c r="BV26" s="150"/>
      <c r="BW26" s="153"/>
      <c r="BX26" s="147"/>
      <c r="BY26" s="150"/>
      <c r="BZ26" s="150"/>
      <c r="CA26" s="153"/>
      <c r="CB26" s="147"/>
      <c r="CC26" s="150"/>
      <c r="CD26" s="150"/>
      <c r="CE26" s="153"/>
      <c r="CF26" s="147"/>
      <c r="CG26" s="150"/>
      <c r="CH26" s="150"/>
      <c r="CI26" s="153"/>
      <c r="CJ26" s="147"/>
      <c r="CK26" s="150"/>
      <c r="CL26" s="150"/>
      <c r="CM26" s="153"/>
      <c r="CN26" s="147"/>
      <c r="CO26" s="150"/>
      <c r="CP26" s="150"/>
      <c r="CQ26" s="153"/>
      <c r="CR26" s="147"/>
      <c r="CS26" s="150"/>
      <c r="CT26" s="150"/>
      <c r="CU26" s="153"/>
      <c r="CV26" s="147"/>
      <c r="CW26" s="150"/>
      <c r="CX26" s="150"/>
      <c r="CY26" s="153"/>
      <c r="CZ26" s="147"/>
      <c r="DA26" s="150"/>
      <c r="DB26" s="150"/>
      <c r="DC26" s="153"/>
    </row>
    <row r="27" spans="1:107" x14ac:dyDescent="0.25">
      <c r="B27" s="158" t="s">
        <v>238</v>
      </c>
      <c r="C27" s="196"/>
    </row>
  </sheetData>
  <mergeCells count="201">
    <mergeCell ref="B27:C27"/>
    <mergeCell ref="P1:S1"/>
    <mergeCell ref="T1:W1"/>
    <mergeCell ref="X1:AA1"/>
    <mergeCell ref="BH1:BK1"/>
    <mergeCell ref="BL1:BO1"/>
    <mergeCell ref="BP1:BS1"/>
    <mergeCell ref="BT1:BW1"/>
    <mergeCell ref="AB1:AE1"/>
    <mergeCell ref="AF1:AI1"/>
    <mergeCell ref="AJ1:AM1"/>
    <mergeCell ref="AN1:AQ1"/>
    <mergeCell ref="AR1:AU1"/>
    <mergeCell ref="AV1:AY1"/>
    <mergeCell ref="B10:C10"/>
    <mergeCell ref="B11:C11"/>
    <mergeCell ref="B12:C12"/>
    <mergeCell ref="B13:C13"/>
    <mergeCell ref="B14:C14"/>
    <mergeCell ref="B15:C15"/>
    <mergeCell ref="B19:G19"/>
    <mergeCell ref="B20:G20"/>
    <mergeCell ref="B21:G21"/>
    <mergeCell ref="D23:D26"/>
    <mergeCell ref="CV1:CY1"/>
    <mergeCell ref="CZ1:DC1"/>
    <mergeCell ref="BX1:CA1"/>
    <mergeCell ref="CB1:CE1"/>
    <mergeCell ref="CF1:CI1"/>
    <mergeCell ref="CJ1:CM1"/>
    <mergeCell ref="CN1:CQ1"/>
    <mergeCell ref="CR1:CU1"/>
    <mergeCell ref="AZ1:BC1"/>
    <mergeCell ref="BD1:BG1"/>
    <mergeCell ref="BH3:BK3"/>
    <mergeCell ref="BL3:BO3"/>
    <mergeCell ref="A1:C3"/>
    <mergeCell ref="H1:K1"/>
    <mergeCell ref="L1:O1"/>
    <mergeCell ref="H3:K3"/>
    <mergeCell ref="L3:O3"/>
    <mergeCell ref="P3:S3"/>
    <mergeCell ref="T3:W3"/>
    <mergeCell ref="X3:AA3"/>
    <mergeCell ref="AB3:AE3"/>
    <mergeCell ref="AF3:AI3"/>
    <mergeCell ref="AJ3:AM3"/>
    <mergeCell ref="AN3:AQ3"/>
    <mergeCell ref="D2:G2"/>
    <mergeCell ref="H2:K2"/>
    <mergeCell ref="L2:O2"/>
    <mergeCell ref="P2:S2"/>
    <mergeCell ref="T2:W2"/>
    <mergeCell ref="X2:AA2"/>
    <mergeCell ref="AB2:AE2"/>
    <mergeCell ref="AF2:AI2"/>
    <mergeCell ref="AJ2:AM2"/>
    <mergeCell ref="CV3:CY3"/>
    <mergeCell ref="CZ3:DC3"/>
    <mergeCell ref="B16:C16"/>
    <mergeCell ref="B18:C18"/>
    <mergeCell ref="B17:C17"/>
    <mergeCell ref="A4:A18"/>
    <mergeCell ref="B4:C4"/>
    <mergeCell ref="B5:C5"/>
    <mergeCell ref="B6:C6"/>
    <mergeCell ref="B7:C7"/>
    <mergeCell ref="B8:C8"/>
    <mergeCell ref="B9:C9"/>
    <mergeCell ref="CN3:CQ3"/>
    <mergeCell ref="CR3:CU3"/>
    <mergeCell ref="BP3:BS3"/>
    <mergeCell ref="BT3:BW3"/>
    <mergeCell ref="BX3:CA3"/>
    <mergeCell ref="CB3:CE3"/>
    <mergeCell ref="CF3:CI3"/>
    <mergeCell ref="CJ3:CM3"/>
    <mergeCell ref="AR3:AU3"/>
    <mergeCell ref="AV3:AY3"/>
    <mergeCell ref="AZ3:BC3"/>
    <mergeCell ref="BD3:BG3"/>
    <mergeCell ref="T23:T26"/>
    <mergeCell ref="U23:U26"/>
    <mergeCell ref="V23:V26"/>
    <mergeCell ref="W23:W26"/>
    <mergeCell ref="X23:X26"/>
    <mergeCell ref="Y23:Y26"/>
    <mergeCell ref="E23:E26"/>
    <mergeCell ref="F23:F26"/>
    <mergeCell ref="G23:G26"/>
    <mergeCell ref="N23:N26"/>
    <mergeCell ref="O23:O26"/>
    <mergeCell ref="P23:P26"/>
    <mergeCell ref="Q23:Q26"/>
    <mergeCell ref="R23:R26"/>
    <mergeCell ref="S23:S26"/>
    <mergeCell ref="H23:H26"/>
    <mergeCell ref="I23:I26"/>
    <mergeCell ref="J23:J26"/>
    <mergeCell ref="K23:K26"/>
    <mergeCell ref="L23:L26"/>
    <mergeCell ref="M23:M26"/>
    <mergeCell ref="AF23:AF26"/>
    <mergeCell ref="AG23:AG26"/>
    <mergeCell ref="AH23:AH26"/>
    <mergeCell ref="AI23:AI26"/>
    <mergeCell ref="AJ23:AJ26"/>
    <mergeCell ref="AK23:AK26"/>
    <mergeCell ref="Z23:Z26"/>
    <mergeCell ref="AA23:AA26"/>
    <mergeCell ref="AB23:AB26"/>
    <mergeCell ref="AC23:AC26"/>
    <mergeCell ref="AD23:AD26"/>
    <mergeCell ref="AE23:AE26"/>
    <mergeCell ref="AR23:AR26"/>
    <mergeCell ref="AS23:AS26"/>
    <mergeCell ref="AT23:AT26"/>
    <mergeCell ref="AU23:AU26"/>
    <mergeCell ref="AV23:AV26"/>
    <mergeCell ref="AW23:AW26"/>
    <mergeCell ref="AL23:AL26"/>
    <mergeCell ref="AM23:AM26"/>
    <mergeCell ref="AN23:AN26"/>
    <mergeCell ref="AO23:AO26"/>
    <mergeCell ref="AP23:AP26"/>
    <mergeCell ref="AQ23:AQ26"/>
    <mergeCell ref="BD23:BD26"/>
    <mergeCell ref="BE23:BE26"/>
    <mergeCell ref="BF23:BF26"/>
    <mergeCell ref="BG23:BG26"/>
    <mergeCell ref="BH23:BH26"/>
    <mergeCell ref="BI23:BI26"/>
    <mergeCell ref="AX23:AX26"/>
    <mergeCell ref="AY23:AY26"/>
    <mergeCell ref="AZ23:AZ26"/>
    <mergeCell ref="BA23:BA26"/>
    <mergeCell ref="BB23:BB26"/>
    <mergeCell ref="BC23:BC26"/>
    <mergeCell ref="BP23:BP26"/>
    <mergeCell ref="BQ23:BQ26"/>
    <mergeCell ref="BR23:BR26"/>
    <mergeCell ref="BS23:BS26"/>
    <mergeCell ref="BT23:BT26"/>
    <mergeCell ref="BU23:BU26"/>
    <mergeCell ref="BJ23:BJ26"/>
    <mergeCell ref="BK23:BK26"/>
    <mergeCell ref="BL23:BL26"/>
    <mergeCell ref="BM23:BM26"/>
    <mergeCell ref="BN23:BN26"/>
    <mergeCell ref="BO23:BO26"/>
    <mergeCell ref="CB23:CB26"/>
    <mergeCell ref="CC23:CC26"/>
    <mergeCell ref="CD23:CD26"/>
    <mergeCell ref="CE23:CE26"/>
    <mergeCell ref="CF23:CF26"/>
    <mergeCell ref="CG23:CG26"/>
    <mergeCell ref="BV23:BV26"/>
    <mergeCell ref="BW23:BW26"/>
    <mergeCell ref="BX23:BX26"/>
    <mergeCell ref="BY23:BY26"/>
    <mergeCell ref="BZ23:BZ26"/>
    <mergeCell ref="CA23:CA26"/>
    <mergeCell ref="CN23:CN26"/>
    <mergeCell ref="CO23:CO26"/>
    <mergeCell ref="CP23:CP26"/>
    <mergeCell ref="CQ23:CQ26"/>
    <mergeCell ref="CR23:CR26"/>
    <mergeCell ref="CS23:CS26"/>
    <mergeCell ref="CH23:CH26"/>
    <mergeCell ref="CI23:CI26"/>
    <mergeCell ref="CJ23:CJ26"/>
    <mergeCell ref="CK23:CK26"/>
    <mergeCell ref="CL23:CL26"/>
    <mergeCell ref="CM23:CM26"/>
    <mergeCell ref="CZ23:CZ26"/>
    <mergeCell ref="DA23:DA26"/>
    <mergeCell ref="DB23:DB26"/>
    <mergeCell ref="DC23:DC26"/>
    <mergeCell ref="CT23:CT26"/>
    <mergeCell ref="CU23:CU26"/>
    <mergeCell ref="CV23:CV26"/>
    <mergeCell ref="CW23:CW26"/>
    <mergeCell ref="CX23:CX26"/>
    <mergeCell ref="CY23:CY26"/>
    <mergeCell ref="BX2:CA2"/>
    <mergeCell ref="CB2:CE2"/>
    <mergeCell ref="CF2:CI2"/>
    <mergeCell ref="CJ2:CM2"/>
    <mergeCell ref="CN2:CQ2"/>
    <mergeCell ref="CR2:CU2"/>
    <mergeCell ref="CV2:CY2"/>
    <mergeCell ref="CZ2:DC2"/>
    <mergeCell ref="AN2:AQ2"/>
    <mergeCell ref="AR2:AU2"/>
    <mergeCell ref="AV2:AY2"/>
    <mergeCell ref="AZ2:BC2"/>
    <mergeCell ref="BD2:BG2"/>
    <mergeCell ref="BH2:BK2"/>
    <mergeCell ref="BL2:BO2"/>
    <mergeCell ref="BP2:BS2"/>
    <mergeCell ref="BT2:BW2"/>
  </mergeCells>
  <hyperlinks>
    <hyperlink ref="A1:C3" location="Equipos!A1" display="Equipos!A1" xr:uid="{00000000-0004-0000-0500-000000000000}"/>
    <hyperlink ref="A4:A18" location="Jugadores!A1" display="Jugador" xr:uid="{F7453892-55E7-43C8-96F0-CB187E603B49}"/>
  </hyperlinks>
  <pageMargins left="0.7" right="0.7" top="0.75" bottom="0.75" header="0.3" footer="0.3"/>
  <pageSetup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C27"/>
  <sheetViews>
    <sheetView zoomScale="90" zoomScaleNormal="90" zoomScaleSheetLayoutView="90" workbookViewId="0">
      <pane xSplit="7" ySplit="3" topLeftCell="AX4" activePane="bottomRight" state="frozen"/>
      <selection pane="topRight" activeCell="H1" sqref="H1"/>
      <selection pane="bottomLeft" activeCell="A3" sqref="A3"/>
      <selection pane="bottomRight" sqref="A1:C3"/>
    </sheetView>
  </sheetViews>
  <sheetFormatPr baseColWidth="10" defaultColWidth="11.42578125" defaultRowHeight="15" x14ac:dyDescent="0.25"/>
  <cols>
    <col min="1" max="1" width="4.85546875" customWidth="1"/>
    <col min="2" max="2" width="9.42578125" customWidth="1"/>
    <col min="3" max="3" width="11.5703125" style="3" customWidth="1"/>
    <col min="4" max="7" width="4.28515625" style="3" customWidth="1"/>
    <col min="8" max="8" width="2.85546875" style="3" customWidth="1"/>
    <col min="9" max="107" width="2.7109375" style="3" customWidth="1"/>
    <col min="108" max="16384" width="11.42578125" style="3"/>
  </cols>
  <sheetData>
    <row r="1" spans="1:107" ht="13.9" customHeight="1" x14ac:dyDescent="0.25">
      <c r="A1" s="180" t="str">
        <f>Equipos!B16</f>
        <v>Los Aliados</v>
      </c>
      <c r="B1" s="180"/>
      <c r="C1" s="180"/>
      <c r="H1" s="172" t="s">
        <v>5</v>
      </c>
      <c r="I1" s="173"/>
      <c r="J1" s="173"/>
      <c r="K1" s="174"/>
      <c r="L1" s="172" t="s">
        <v>6</v>
      </c>
      <c r="M1" s="173"/>
      <c r="N1" s="173"/>
      <c r="O1" s="174"/>
      <c r="P1" s="172" t="s">
        <v>7</v>
      </c>
      <c r="Q1" s="173"/>
      <c r="R1" s="173"/>
      <c r="S1" s="174"/>
      <c r="T1" s="172" t="s">
        <v>8</v>
      </c>
      <c r="U1" s="173"/>
      <c r="V1" s="173"/>
      <c r="W1" s="174"/>
      <c r="X1" s="172" t="s">
        <v>9</v>
      </c>
      <c r="Y1" s="173"/>
      <c r="Z1" s="173"/>
      <c r="AA1" s="174"/>
      <c r="AB1" s="172" t="s">
        <v>10</v>
      </c>
      <c r="AC1" s="173"/>
      <c r="AD1" s="173"/>
      <c r="AE1" s="174"/>
      <c r="AF1" s="172" t="s">
        <v>11</v>
      </c>
      <c r="AG1" s="173"/>
      <c r="AH1" s="173"/>
      <c r="AI1" s="174"/>
      <c r="AJ1" s="172" t="s">
        <v>12</v>
      </c>
      <c r="AK1" s="173"/>
      <c r="AL1" s="173"/>
      <c r="AM1" s="174"/>
      <c r="AN1" s="172" t="s">
        <v>13</v>
      </c>
      <c r="AO1" s="173"/>
      <c r="AP1" s="173"/>
      <c r="AQ1" s="174"/>
      <c r="AR1" s="172" t="s">
        <v>14</v>
      </c>
      <c r="AS1" s="173"/>
      <c r="AT1" s="173"/>
      <c r="AU1" s="174"/>
      <c r="AV1" s="172" t="s">
        <v>15</v>
      </c>
      <c r="AW1" s="173"/>
      <c r="AX1" s="173"/>
      <c r="AY1" s="174"/>
      <c r="AZ1" s="172" t="s">
        <v>16</v>
      </c>
      <c r="BA1" s="173"/>
      <c r="BB1" s="173"/>
      <c r="BC1" s="174"/>
      <c r="BD1" s="172" t="s">
        <v>17</v>
      </c>
      <c r="BE1" s="173"/>
      <c r="BF1" s="173"/>
      <c r="BG1" s="174"/>
      <c r="BH1" s="172" t="s">
        <v>18</v>
      </c>
      <c r="BI1" s="173"/>
      <c r="BJ1" s="173"/>
      <c r="BK1" s="174"/>
      <c r="BL1" s="172" t="s">
        <v>19</v>
      </c>
      <c r="BM1" s="173"/>
      <c r="BN1" s="173"/>
      <c r="BO1" s="174"/>
      <c r="BP1" s="172" t="s">
        <v>20</v>
      </c>
      <c r="BQ1" s="173"/>
      <c r="BR1" s="173"/>
      <c r="BS1" s="174"/>
      <c r="BT1" s="172" t="s">
        <v>51</v>
      </c>
      <c r="BU1" s="173"/>
      <c r="BV1" s="173"/>
      <c r="BW1" s="174"/>
      <c r="BX1" s="172" t="s">
        <v>81</v>
      </c>
      <c r="BY1" s="173"/>
      <c r="BZ1" s="173"/>
      <c r="CA1" s="174"/>
      <c r="CB1" s="172" t="s">
        <v>83</v>
      </c>
      <c r="CC1" s="173"/>
      <c r="CD1" s="173"/>
      <c r="CE1" s="174"/>
      <c r="CF1" s="172" t="s">
        <v>84</v>
      </c>
      <c r="CG1" s="173"/>
      <c r="CH1" s="173"/>
      <c r="CI1" s="174"/>
      <c r="CJ1" s="172" t="s">
        <v>85</v>
      </c>
      <c r="CK1" s="173"/>
      <c r="CL1" s="173"/>
      <c r="CM1" s="174"/>
      <c r="CN1" s="172" t="s">
        <v>93</v>
      </c>
      <c r="CO1" s="173"/>
      <c r="CP1" s="173"/>
      <c r="CQ1" s="174"/>
      <c r="CR1" s="172" t="s">
        <v>94</v>
      </c>
      <c r="CS1" s="173"/>
      <c r="CT1" s="173"/>
      <c r="CU1" s="174"/>
      <c r="CV1" s="172" t="s">
        <v>95</v>
      </c>
      <c r="CW1" s="173"/>
      <c r="CX1" s="173"/>
      <c r="CY1" s="174"/>
      <c r="CZ1" s="172" t="s">
        <v>96</v>
      </c>
      <c r="DA1" s="173"/>
      <c r="DB1" s="173"/>
      <c r="DC1" s="174"/>
    </row>
    <row r="2" spans="1:107" ht="13.9" customHeight="1" x14ac:dyDescent="0.25">
      <c r="A2" s="180"/>
      <c r="B2" s="180"/>
      <c r="C2" s="180"/>
      <c r="D2" s="143" t="s">
        <v>272</v>
      </c>
      <c r="E2" s="143"/>
      <c r="F2" s="143"/>
      <c r="G2" s="144"/>
      <c r="H2" s="140" t="str">
        <f>+_xlfn.XLOOKUP($A$1,Fixture!$D$2:$D$9,Fixture!$F$2:$F$9,_xlfn.XLOOKUP($A$1,Fixture!$F$2:$F$9,Fixture!$D$2:$D$9,"Descansa",FALSE))</f>
        <v>Valentín FC</v>
      </c>
      <c r="I2" s="141"/>
      <c r="J2" s="141"/>
      <c r="K2" s="142"/>
      <c r="L2" s="140" t="str">
        <f>+_xlfn.XLOOKUP($A$1,Fixture!$D$10:$D$17,Fixture!$F$10:$F$17,_xlfn.XLOOKUP($A$1,Fixture!$F$10:$F$17,Fixture!$D$10:$D$17,"Descansa",FALSE))</f>
        <v>Boca Juniors</v>
      </c>
      <c r="M2" s="141"/>
      <c r="N2" s="141"/>
      <c r="O2" s="142"/>
      <c r="P2" s="175" t="str">
        <f>+_xlfn.XLOOKUP($A$1,Fixture!$D$18:$D$25,Fixture!$F$18:$F$25,_xlfn.XLOOKUP($A$1,Fixture!$F$18:$F$25,Fixture!$D$18:$D$25,"Descansa",FALSE))</f>
        <v>Amenadim</v>
      </c>
      <c r="Q2" s="176"/>
      <c r="R2" s="176"/>
      <c r="S2" s="177"/>
      <c r="T2" s="140" t="str">
        <f>+_xlfn.XLOOKUP($A$1,Fixture!$D$26:$D$33,Fixture!$F$26:$F$33,_xlfn.XLOOKUP($A$1,Fixture!$F$26:$F$33,Fixture!$D$26:$D$33,"Descansa",FALSE))</f>
        <v>Rayos FC</v>
      </c>
      <c r="U2" s="141"/>
      <c r="V2" s="141"/>
      <c r="W2" s="142"/>
      <c r="X2" s="140" t="str">
        <f>+_xlfn.XLOOKUP($A$1,Fixture!$D$34:$D$41,Fixture!$F$34:$F$41,_xlfn.XLOOKUP($A$1,Fixture!$F$34:$F$41,Fixture!$D$34:$D$41,"Descansa",FALSE))</f>
        <v>La Unión FC</v>
      </c>
      <c r="Y2" s="141"/>
      <c r="Z2" s="141"/>
      <c r="AA2" s="142"/>
      <c r="AB2" s="140" t="str">
        <f>+_xlfn.XLOOKUP($A$1,Fixture!$D$42:$D$49,Fixture!$F$42:$F$49,_xlfn.XLOOKUP($A$1,Fixture!$F$42:$F$49,Fixture!$D$42:$D$49,"Descansa",FALSE))</f>
        <v>CD El Corozo</v>
      </c>
      <c r="AC2" s="141"/>
      <c r="AD2" s="141"/>
      <c r="AE2" s="142"/>
      <c r="AF2" s="140" t="str">
        <f>+_xlfn.XLOOKUP($A$1,Fixture!$D$50:$D$57,Fixture!$F$50:$F$57,_xlfn.XLOOKUP($A$1,Fixture!$F$50:$F$57,Fixture!$D$50:$D$57,"Descansa",FALSE))</f>
        <v>Atalanta</v>
      </c>
      <c r="AG2" s="141"/>
      <c r="AH2" s="141"/>
      <c r="AI2" s="142"/>
      <c r="AJ2" s="140" t="str">
        <f>+_xlfn.XLOOKUP($A$1,Fixture!$D$58:$D$65,Fixture!$F$58:$F$65,_xlfn.XLOOKUP($A$1,Fixture!$F$58:$F$65,Fixture!$D$58:$D$65,"Descansa",FALSE))</f>
        <v>Los Amigos</v>
      </c>
      <c r="AK2" s="141"/>
      <c r="AL2" s="141"/>
      <c r="AM2" s="142"/>
      <c r="AN2" s="140" t="str">
        <f>+_xlfn.XLOOKUP($A$1,Fixture!$D$66:$D$73,Fixture!$F$66:$F$73,_xlfn.XLOOKUP($A$1,Fixture!$F$66:$F$73,Fixture!$D$66:$D$73,"Descansa",FALSE))</f>
        <v>La Nueva Era</v>
      </c>
      <c r="AO2" s="141"/>
      <c r="AP2" s="141"/>
      <c r="AQ2" s="142"/>
      <c r="AR2" s="140" t="str">
        <f>+_xlfn.XLOOKUP($A$1,Fixture!$D$74:$D$81,Fixture!$F$74:$F$81,_xlfn.XLOOKUP($A$1,Fixture!$F$74:$F$81,Fixture!$D$74:$D$81,"Descansa",FALSE))</f>
        <v>La Amistad</v>
      </c>
      <c r="AS2" s="141"/>
      <c r="AT2" s="141"/>
      <c r="AU2" s="142"/>
      <c r="AV2" s="140" t="str">
        <f>+_xlfn.XLOOKUP($A$1,Fixture!$D$82:$D$89,Fixture!$F$82:$F$89,_xlfn.XLOOKUP($A$1,Fixture!$F$82:$F$89,Fixture!$D$82:$D$89,"Descansa",FALSE))</f>
        <v>Konami</v>
      </c>
      <c r="AW2" s="141"/>
      <c r="AX2" s="141"/>
      <c r="AY2" s="142"/>
      <c r="AZ2" s="140" t="str">
        <f>+_xlfn.XLOOKUP($A$1,Fixture!$D$90:$D$97,Fixture!$F$90:$F$97,_xlfn.XLOOKUP($A$1,Fixture!$F$90:$F$97,Fixture!$D$90:$D$97,"Descansa",FALSE))</f>
        <v>Villanueva</v>
      </c>
      <c r="BA2" s="141"/>
      <c r="BB2" s="141"/>
      <c r="BC2" s="142"/>
      <c r="BD2" s="140" t="str">
        <f>+_xlfn.XLOOKUP($A$1,Fixture!$D$98:$D$105,Fixture!$F$98:$F$105,_xlfn.XLOOKUP($A$1,Fixture!$F$98:$F$105,Fixture!$D$98:$D$105,"Descansa",FALSE))</f>
        <v>Ron Star</v>
      </c>
      <c r="BE2" s="141"/>
      <c r="BF2" s="141"/>
      <c r="BG2" s="142"/>
      <c r="BH2" s="140" t="str">
        <f>+_xlfn.XLOOKUP($A$1,Fixture!$D$106:$D$113,Fixture!$F$106:$F$113,_xlfn.XLOOKUP($A$1,Fixture!$F$106:$F$113,Fixture!$D$106:$D$113,"Descansa",FALSE))</f>
        <v>Deportivo Fénix</v>
      </c>
      <c r="BI2" s="141"/>
      <c r="BJ2" s="141"/>
      <c r="BK2" s="142"/>
      <c r="BL2" s="140" t="str">
        <f>+_xlfn.XLOOKUP($A$1,Fixture!$D$114:$D$121,Fixture!$F$114:$F$121,_xlfn.XLOOKUP($A$1,Fixture!$F$114:$F$121,Fixture!$D$114:$D$121,"Descansa",FALSE))</f>
        <v>Hojas Anchas</v>
      </c>
      <c r="BM2" s="141"/>
      <c r="BN2" s="141"/>
      <c r="BO2" s="142"/>
      <c r="BP2" s="140" t="str">
        <f>+_xlfn.XLOOKUP($A$1,Fixture!$D$122:$D$128,Fixture!$F$122:$F$128,_xlfn.XLOOKUP($A$1,Fixture!$F$122:$F$128,Fixture!$D$122:$D$128,"Descansa",FALSE))</f>
        <v>Hojas Anchas</v>
      </c>
      <c r="BQ2" s="141"/>
      <c r="BR2" s="141"/>
      <c r="BS2" s="142"/>
      <c r="BT2" s="140" t="str">
        <f>+_xlfn.XLOOKUP($A$1,Fixture!$D$129:$D$135,Fixture!$F$129:$F$135,_xlfn.XLOOKUP($A$1,Fixture!$F$129:$F$135,Fixture!$D$129:$D$135,"Descansa",FALSE))</f>
        <v>Atalanta</v>
      </c>
      <c r="BU2" s="141"/>
      <c r="BV2" s="141"/>
      <c r="BW2" s="142"/>
      <c r="BX2" s="140" t="str">
        <f>+_xlfn.XLOOKUP($A$1,Fixture!$D$136:$D$141,Fixture!$F$136:$F$141,_xlfn.XLOOKUP($A$1,Fixture!$F$136:$F$141,Fixture!$D$136:$D$141,"Descansa",FALSE))</f>
        <v>La Unión FC</v>
      </c>
      <c r="BY2" s="141"/>
      <c r="BZ2" s="141"/>
      <c r="CA2" s="142"/>
      <c r="CB2" s="140" t="str">
        <f>+_xlfn.XLOOKUP($A$1,Fixture!$D$142:$D$149,Fixture!$F$142:$F$149,_xlfn.XLOOKUP($A$1,Fixture!$F$142:$F$149,Fixture!$D$142:$D$149,"Descansa",FALSE))</f>
        <v>Los Amigos</v>
      </c>
      <c r="CC2" s="141"/>
      <c r="CD2" s="141"/>
      <c r="CE2" s="142"/>
      <c r="CF2" s="140" t="str">
        <f>+_xlfn.XLOOKUP($A$1,Fixture!$D$150:$D$155,Fixture!$F$150:$F$155,_xlfn.XLOOKUP($A$1,Fixture!$F$150:$F$155,Fixture!$D$150:$D$155,"Descansa",FALSE))</f>
        <v>Ron Star</v>
      </c>
      <c r="CG2" s="141"/>
      <c r="CH2" s="141"/>
      <c r="CI2" s="142"/>
      <c r="CJ2" s="140" t="str">
        <f>+_xlfn.XLOOKUP($A$1,Fixture!$D$156:$D$161,Fixture!$F$156:$F$161,_xlfn.XLOOKUP($A$1,Fixture!$F$156:$F$161,Fixture!$D$156:$D$161,"Descansa",FALSE))</f>
        <v>Valentín FC</v>
      </c>
      <c r="CK2" s="141"/>
      <c r="CL2" s="141"/>
      <c r="CM2" s="142"/>
      <c r="CN2" s="140" t="str">
        <f>+_xlfn.XLOOKUP($A$1,Fixture!$D$162:$D$167,Fixture!$F$162:$F$167,_xlfn.XLOOKUP($A$1,Fixture!$F$162:$F$167,Fixture!$D$162:$D$167,"Descansa",FALSE))</f>
        <v>Descansa</v>
      </c>
      <c r="CO2" s="141"/>
      <c r="CP2" s="141"/>
      <c r="CQ2" s="142"/>
      <c r="CR2" s="140" t="str">
        <f>+_xlfn.XLOOKUP($A$1,Fixture!$D$168:$D$169,Fixture!$F$168:$F$169,_xlfn.XLOOKUP($A$1,Fixture!$F$168:$F$169,Fixture!$D$168:$D$169,"Descanssa",FALSE))</f>
        <v>Boca Juniors</v>
      </c>
      <c r="CS2" s="141"/>
      <c r="CT2" s="141"/>
      <c r="CU2" s="142"/>
      <c r="CV2" s="140" t="str">
        <f>+_xlfn.XLOOKUP($A$1,Fixture!$D$170:$D$171,Fixture!$F$170:$F$171,_xlfn.XLOOKUP($A$1,Fixture!$F$170:$F$171,Fixture!$D$170:$D$171,"Descansa",FALSE))</f>
        <v>Descansa</v>
      </c>
      <c r="CW2" s="141"/>
      <c r="CX2" s="141"/>
      <c r="CY2" s="142"/>
      <c r="CZ2" s="184"/>
      <c r="DA2" s="185"/>
      <c r="DB2" s="185"/>
      <c r="DC2" s="186"/>
    </row>
    <row r="3" spans="1:107" ht="14.45" customHeight="1" x14ac:dyDescent="0.25">
      <c r="A3" s="180"/>
      <c r="B3" s="180"/>
      <c r="C3" s="180"/>
      <c r="D3" s="22" t="s">
        <v>89</v>
      </c>
      <c r="E3" s="22" t="s">
        <v>90</v>
      </c>
      <c r="F3" s="22" t="s">
        <v>91</v>
      </c>
      <c r="G3" s="24" t="s">
        <v>92</v>
      </c>
      <c r="H3" s="166">
        <f>IF(Fixture!$C2=0,"",Fixture!$C2)</f>
        <v>45676</v>
      </c>
      <c r="I3" s="167"/>
      <c r="J3" s="167"/>
      <c r="K3" s="168"/>
      <c r="L3" s="166">
        <f>IF(Fixture!$C17=0,"",Fixture!$C17)</f>
        <v>45704</v>
      </c>
      <c r="M3" s="167"/>
      <c r="N3" s="167"/>
      <c r="O3" s="168"/>
      <c r="P3" s="166">
        <f>IF(Fixture!$C18=0,"",Fixture!$C18)</f>
        <v>45690</v>
      </c>
      <c r="Q3" s="167"/>
      <c r="R3" s="167"/>
      <c r="S3" s="168"/>
      <c r="T3" s="166">
        <f>IF(Fixture!$C26=0,"",Fixture!$C26)</f>
        <v>45697</v>
      </c>
      <c r="U3" s="167"/>
      <c r="V3" s="167"/>
      <c r="W3" s="168"/>
      <c r="X3" s="166">
        <f>IF(Fixture!$C35=0,"",Fixture!$C35)</f>
        <v>45704</v>
      </c>
      <c r="Y3" s="167"/>
      <c r="Z3" s="167"/>
      <c r="AA3" s="168"/>
      <c r="AB3" s="166">
        <f>IF(Fixture!$C43=0,"",Fixture!$C43)</f>
        <v>45711</v>
      </c>
      <c r="AC3" s="167"/>
      <c r="AD3" s="167"/>
      <c r="AE3" s="168"/>
      <c r="AF3" s="166">
        <f>IF(Fixture!$C52=0,"",Fixture!$C52)</f>
        <v>45718</v>
      </c>
      <c r="AG3" s="167"/>
      <c r="AH3" s="167"/>
      <c r="AI3" s="168"/>
      <c r="AJ3" s="166">
        <f>IF(Fixture!$C60=0,"",Fixture!$C60)</f>
        <v>45725</v>
      </c>
      <c r="AK3" s="167"/>
      <c r="AL3" s="167"/>
      <c r="AM3" s="168"/>
      <c r="AN3" s="166">
        <f>IF(Fixture!$C69=0,"",Fixture!$C69)</f>
        <v>45704</v>
      </c>
      <c r="AO3" s="167"/>
      <c r="AP3" s="167"/>
      <c r="AQ3" s="168"/>
      <c r="AR3" s="166">
        <f>IF(Fixture!$C77=0,"",Fixture!$C77)</f>
        <v>45746</v>
      </c>
      <c r="AS3" s="167"/>
      <c r="AT3" s="167"/>
      <c r="AU3" s="168"/>
      <c r="AV3" s="166">
        <f>IF(Fixture!$C86=0,"",Fixture!$C86)</f>
        <v>45753</v>
      </c>
      <c r="AW3" s="167"/>
      <c r="AX3" s="167"/>
      <c r="AY3" s="168"/>
      <c r="AZ3" s="166">
        <f>IF(Fixture!$C94=0,"",Fixture!$C94)</f>
        <v>45774</v>
      </c>
      <c r="BA3" s="167"/>
      <c r="BB3" s="167"/>
      <c r="BC3" s="168"/>
      <c r="BD3" s="166">
        <f>IF(Fixture!$C103=0,"",Fixture!$C103)</f>
        <v>45781</v>
      </c>
      <c r="BE3" s="167"/>
      <c r="BF3" s="167"/>
      <c r="BG3" s="168"/>
      <c r="BH3" s="163" t="e">
        <f>+VLOOKUP(BH1,Resultados!$A$3:$B$71,2,FALSE)</f>
        <v>#N/A</v>
      </c>
      <c r="BI3" s="164"/>
      <c r="BJ3" s="164"/>
      <c r="BK3" s="165"/>
      <c r="BL3" s="163" t="e">
        <f>+VLOOKUP(BL1,Resultados!$A$3:$B$71,2,FALSE)</f>
        <v>#N/A</v>
      </c>
      <c r="BM3" s="164"/>
      <c r="BN3" s="164"/>
      <c r="BO3" s="165"/>
      <c r="BP3" s="163" t="e">
        <f>+VLOOKUP(BP1,Resultados!$A$3:$B$71,2,FALSE)</f>
        <v>#N/A</v>
      </c>
      <c r="BQ3" s="164"/>
      <c r="BR3" s="164"/>
      <c r="BS3" s="165"/>
      <c r="BT3" s="163" t="e">
        <f>+VLOOKUP(BT1,Resultados!$A$3:$B$71,2,FALSE)</f>
        <v>#N/A</v>
      </c>
      <c r="BU3" s="164"/>
      <c r="BV3" s="164"/>
      <c r="BW3" s="165"/>
      <c r="BX3" s="163" t="e">
        <f>+VLOOKUP(BX1,Resultados!$A$3:$B$71,2,FALSE)</f>
        <v>#N/A</v>
      </c>
      <c r="BY3" s="164"/>
      <c r="BZ3" s="164"/>
      <c r="CA3" s="165"/>
      <c r="CB3" s="163" t="e">
        <f>+VLOOKUP(CB1,Resultados!$A$3:$B$71,2,FALSE)</f>
        <v>#N/A</v>
      </c>
      <c r="CC3" s="164"/>
      <c r="CD3" s="164"/>
      <c r="CE3" s="165"/>
      <c r="CF3" s="163" t="e">
        <f>+VLOOKUP(CF1,Resultados!$A$3:$B$71,2,FALSE)</f>
        <v>#N/A</v>
      </c>
      <c r="CG3" s="164"/>
      <c r="CH3" s="164"/>
      <c r="CI3" s="165"/>
      <c r="CJ3" s="163" t="e">
        <f>+VLOOKUP(CJ1,Resultados!$A$3:$B$71,2,FALSE)</f>
        <v>#N/A</v>
      </c>
      <c r="CK3" s="164"/>
      <c r="CL3" s="164"/>
      <c r="CM3" s="165"/>
      <c r="CN3" s="163" t="e">
        <f>+VLOOKUP(CN1,Resultados!$A$3:$B$71,2,FALSE)</f>
        <v>#N/A</v>
      </c>
      <c r="CO3" s="164"/>
      <c r="CP3" s="164"/>
      <c r="CQ3" s="165"/>
      <c r="CR3" s="163" t="e">
        <f>+VLOOKUP(CR1,Resultados!$A$3:$B$71,2,FALSE)</f>
        <v>#N/A</v>
      </c>
      <c r="CS3" s="164"/>
      <c r="CT3" s="164"/>
      <c r="CU3" s="165"/>
      <c r="CV3" s="163" t="e">
        <f>+VLOOKUP(CV1,Resultados!$A$3:$B$71,2,FALSE)</f>
        <v>#N/A</v>
      </c>
      <c r="CW3" s="164"/>
      <c r="CX3" s="164"/>
      <c r="CY3" s="165"/>
      <c r="CZ3" s="163" t="e">
        <f>+VLOOKUP(CZ1,Resultados!$A$3:$B$71,2,FALSE)</f>
        <v>#N/A</v>
      </c>
      <c r="DA3" s="164"/>
      <c r="DB3" s="164"/>
      <c r="DC3" s="165"/>
    </row>
    <row r="4" spans="1:107" ht="19.899999999999999" customHeight="1" x14ac:dyDescent="0.25">
      <c r="A4" s="178" t="s">
        <v>3</v>
      </c>
      <c r="B4" s="154" t="str">
        <f>Jugadores!N3</f>
        <v>Cristián Alejandro Chavarría</v>
      </c>
      <c r="C4" s="155"/>
      <c r="D4" s="24">
        <f>H4+L4+P4+T4+X4+AB4+AF4+AJ4+AN4+AR4+AV4+AZ4+BD4+BH4+BL4+BP4+BT4+BX4+CB4+CF4+CJ4+CN4+CR4+CV4+CZ4</f>
        <v>2</v>
      </c>
      <c r="E4" s="24">
        <f>I4+M4+Q4+U4+Y4+AC4+AG4+AK4+AO4+AS4+AW4+BA4+BE4+BI4+BM4+BQ4+BV4+BY4+CD4+CG4+CL4+CO4+CT4+CW4+DB4</f>
        <v>2</v>
      </c>
      <c r="F4" s="24">
        <f>J4+N4+R4+V4+Z4+AD4+AH4+AL4+AP4+AT4+AX4+BB4+BF4+BJ4+BN4+BT4+BX4+CB4+CF4+CJ4+CN4+CR4+CV4+CZ4</f>
        <v>2</v>
      </c>
      <c r="G4" s="24">
        <f>K4+O4+S4+W4+AA4+AE4+AI4+AM4+AQ4+AU4+AY4+BC4+BG4+BK4+BO4+BV4+BY4+CD4+CG4+CL4+CO4+CT4+CW4+DB4</f>
        <v>0</v>
      </c>
      <c r="H4" s="28"/>
      <c r="I4" s="26"/>
      <c r="J4" s="26"/>
      <c r="K4" s="29"/>
      <c r="L4" s="28"/>
      <c r="M4" s="26">
        <v>1</v>
      </c>
      <c r="N4" s="26"/>
      <c r="O4" s="29"/>
      <c r="P4" s="28"/>
      <c r="Q4" s="26">
        <v>1</v>
      </c>
      <c r="R4" s="26"/>
      <c r="S4" s="29"/>
      <c r="T4" s="28"/>
      <c r="U4" s="26"/>
      <c r="V4" s="26"/>
      <c r="W4" s="29"/>
      <c r="X4" s="28"/>
      <c r="Y4" s="26"/>
      <c r="Z4" s="26"/>
      <c r="AA4" s="29"/>
      <c r="AB4" s="28"/>
      <c r="AC4" s="26"/>
      <c r="AD4" s="26"/>
      <c r="AE4" s="29"/>
      <c r="AF4" s="28"/>
      <c r="AG4" s="26"/>
      <c r="AH4" s="26"/>
      <c r="AI4" s="29"/>
      <c r="AJ4" s="28"/>
      <c r="AK4" s="26"/>
      <c r="AL4" s="26"/>
      <c r="AM4" s="29"/>
      <c r="AN4" s="28"/>
      <c r="AO4" s="26"/>
      <c r="AP4" s="26"/>
      <c r="AQ4" s="29"/>
      <c r="AR4" s="28"/>
      <c r="AS4" s="26"/>
      <c r="AT4" s="26"/>
      <c r="AU4" s="29"/>
      <c r="AV4" s="28">
        <v>1</v>
      </c>
      <c r="AW4" s="26"/>
      <c r="AX4" s="26"/>
      <c r="AY4" s="29"/>
      <c r="AZ4" s="28"/>
      <c r="BA4" s="26"/>
      <c r="BB4" s="26"/>
      <c r="BC4" s="29"/>
      <c r="BD4" s="28"/>
      <c r="BE4" s="26"/>
      <c r="BF4" s="26">
        <v>1</v>
      </c>
      <c r="BG4" s="29"/>
      <c r="BH4" s="28"/>
      <c r="BI4" s="26"/>
      <c r="BJ4" s="26"/>
      <c r="BK4" s="29"/>
      <c r="BL4" s="28"/>
      <c r="BM4" s="26"/>
      <c r="BN4" s="26"/>
      <c r="BO4" s="29"/>
      <c r="BP4" s="28"/>
      <c r="BQ4" s="26"/>
      <c r="BR4" s="26"/>
      <c r="BS4" s="29"/>
      <c r="BT4" s="28"/>
      <c r="BU4" s="26"/>
      <c r="BV4" s="26"/>
      <c r="BW4" s="29"/>
      <c r="BX4" s="28">
        <v>1</v>
      </c>
      <c r="BY4" s="26"/>
      <c r="BZ4" s="26"/>
      <c r="CA4" s="29"/>
      <c r="CB4" s="28"/>
      <c r="CC4" s="26"/>
      <c r="CD4" s="26"/>
      <c r="CE4" s="29"/>
      <c r="CF4" s="28"/>
      <c r="CG4" s="26"/>
      <c r="CH4" s="26"/>
      <c r="CI4" s="29"/>
      <c r="CJ4" s="28"/>
      <c r="CK4" s="26"/>
      <c r="CL4" s="26"/>
      <c r="CM4" s="29"/>
      <c r="CN4" s="28"/>
      <c r="CO4" s="26"/>
      <c r="CP4" s="26"/>
      <c r="CQ4" s="29"/>
      <c r="CR4" s="28"/>
      <c r="CS4" s="26"/>
      <c r="CT4" s="26"/>
      <c r="CU4" s="29"/>
      <c r="CV4" s="28"/>
      <c r="CW4" s="26"/>
      <c r="CX4" s="26"/>
      <c r="CY4" s="29"/>
      <c r="CZ4" s="28"/>
      <c r="DA4" s="26"/>
      <c r="DB4" s="26"/>
      <c r="DC4" s="29"/>
    </row>
    <row r="5" spans="1:107" ht="19.899999999999999" customHeight="1" x14ac:dyDescent="0.25">
      <c r="A5" s="178"/>
      <c r="B5" s="154" t="str">
        <f>Jugadores!N4</f>
        <v>Steven Guevara</v>
      </c>
      <c r="C5" s="155"/>
      <c r="D5" s="24">
        <f t="shared" ref="D5:D18" si="0">H5+L5+P5+T5+X5+AB5+AF5+AJ5+AN5+AR5+AV5+AZ5+BD5+BH5+BL5+BP5+BT5+BX5+CB5+CF5+CJ5+CN5+CR5+CV5+CZ5</f>
        <v>0</v>
      </c>
      <c r="E5" s="24">
        <f t="shared" ref="E5:E18" si="1">I5+M5+Q5+U5+Y5+AC5+AG5+AK5+AO5+AS5+AW5+BA5+BE5+BI5+BM5+BQ5+BV5+BY5+CD5+CG5+CL5+CO5+CT5+CW5+DB5</f>
        <v>0</v>
      </c>
      <c r="F5" s="115">
        <f t="shared" ref="F5:F18" si="2">J5+N5+R5+V5+Z5+AD5+AH5+AL5+AP5+AT5+AX5+BB5+BF5+BJ5+BN5+BT5+BX5+CB5+CF5+CJ5+CN5+CR5+CV5+CZ5</f>
        <v>0</v>
      </c>
      <c r="G5" s="115">
        <f t="shared" ref="G5:G18" si="3">K5+O5+S5+W5+AA5+AE5+AI5+AM5+AQ5+AU5+AY5+BC5+BG5+BK5+BO5+BV5+BY5+CD5+CG5+CL5+CO5+CT5+CW5+DB5</f>
        <v>0</v>
      </c>
      <c r="H5" s="28"/>
      <c r="I5" s="26"/>
      <c r="J5" s="26"/>
      <c r="K5" s="29"/>
      <c r="L5" s="28"/>
      <c r="M5" s="26"/>
      <c r="N5" s="26"/>
      <c r="O5" s="29"/>
      <c r="P5" s="28"/>
      <c r="Q5" s="26"/>
      <c r="R5" s="26"/>
      <c r="S5" s="29"/>
      <c r="T5" s="28"/>
      <c r="U5" s="26"/>
      <c r="V5" s="26"/>
      <c r="W5" s="29"/>
      <c r="X5" s="28"/>
      <c r="Y5" s="26"/>
      <c r="Z5" s="26"/>
      <c r="AA5" s="29"/>
      <c r="AB5" s="28"/>
      <c r="AC5" s="26"/>
      <c r="AD5" s="26"/>
      <c r="AE5" s="29"/>
      <c r="AF5" s="28"/>
      <c r="AG5" s="26"/>
      <c r="AH5" s="26"/>
      <c r="AI5" s="29"/>
      <c r="AJ5" s="28"/>
      <c r="AK5" s="26"/>
      <c r="AL5" s="26"/>
      <c r="AM5" s="29"/>
      <c r="AN5" s="28"/>
      <c r="AO5" s="26"/>
      <c r="AP5" s="26"/>
      <c r="AQ5" s="29"/>
      <c r="AR5" s="28"/>
      <c r="AS5" s="26"/>
      <c r="AT5" s="26"/>
      <c r="AU5" s="29"/>
      <c r="AV5" s="28"/>
      <c r="AW5" s="26"/>
      <c r="AX5" s="26"/>
      <c r="AY5" s="29"/>
      <c r="AZ5" s="28"/>
      <c r="BA5" s="26"/>
      <c r="BB5" s="26"/>
      <c r="BC5" s="29"/>
      <c r="BD5" s="28"/>
      <c r="BE5" s="26"/>
      <c r="BF5" s="26"/>
      <c r="BG5" s="29"/>
      <c r="BH5" s="28"/>
      <c r="BI5" s="26"/>
      <c r="BJ5" s="26"/>
      <c r="BK5" s="29"/>
      <c r="BL5" s="28"/>
      <c r="BM5" s="26"/>
      <c r="BN5" s="26"/>
      <c r="BO5" s="29"/>
      <c r="BP5" s="28"/>
      <c r="BQ5" s="26"/>
      <c r="BR5" s="26"/>
      <c r="BS5" s="29"/>
      <c r="BT5" s="28"/>
      <c r="BU5" s="26"/>
      <c r="BV5" s="26"/>
      <c r="BW5" s="29"/>
      <c r="BX5" s="28"/>
      <c r="BY5" s="26"/>
      <c r="BZ5" s="26"/>
      <c r="CA5" s="29"/>
      <c r="CB5" s="28"/>
      <c r="CC5" s="26"/>
      <c r="CD5" s="26"/>
      <c r="CE5" s="29"/>
      <c r="CF5" s="28"/>
      <c r="CG5" s="26"/>
      <c r="CH5" s="26"/>
      <c r="CI5" s="29"/>
      <c r="CJ5" s="28"/>
      <c r="CK5" s="26"/>
      <c r="CL5" s="26"/>
      <c r="CM5" s="29"/>
      <c r="CN5" s="28"/>
      <c r="CO5" s="26"/>
      <c r="CP5" s="26"/>
      <c r="CQ5" s="29"/>
      <c r="CR5" s="28"/>
      <c r="CS5" s="26"/>
      <c r="CT5" s="26"/>
      <c r="CU5" s="29"/>
      <c r="CV5" s="28"/>
      <c r="CW5" s="26"/>
      <c r="CX5" s="26"/>
      <c r="CY5" s="29"/>
      <c r="CZ5" s="28"/>
      <c r="DA5" s="26"/>
      <c r="DB5" s="26"/>
      <c r="DC5" s="29"/>
    </row>
    <row r="6" spans="1:107" ht="19.899999999999999" customHeight="1" x14ac:dyDescent="0.25">
      <c r="A6" s="178"/>
      <c r="B6" s="154" t="str">
        <f>Jugadores!N5</f>
        <v xml:space="preserve">Jhon Alexander Bejarano Gómez </v>
      </c>
      <c r="C6" s="155"/>
      <c r="D6" s="24">
        <f t="shared" si="0"/>
        <v>0</v>
      </c>
      <c r="E6" s="24">
        <f t="shared" si="1"/>
        <v>0</v>
      </c>
      <c r="F6" s="115">
        <f t="shared" si="2"/>
        <v>0</v>
      </c>
      <c r="G6" s="115">
        <f t="shared" si="3"/>
        <v>0</v>
      </c>
      <c r="H6" s="28"/>
      <c r="I6" s="26"/>
      <c r="J6" s="26"/>
      <c r="K6" s="29"/>
      <c r="L6" s="28"/>
      <c r="M6" s="26"/>
      <c r="N6" s="26"/>
      <c r="O6" s="29"/>
      <c r="P6" s="28"/>
      <c r="Q6" s="26"/>
      <c r="R6" s="26"/>
      <c r="S6" s="29"/>
      <c r="T6" s="28"/>
      <c r="U6" s="26"/>
      <c r="V6" s="26"/>
      <c r="W6" s="29"/>
      <c r="X6" s="28"/>
      <c r="Y6" s="26"/>
      <c r="Z6" s="26"/>
      <c r="AA6" s="29"/>
      <c r="AB6" s="28"/>
      <c r="AC6" s="26"/>
      <c r="AD6" s="26"/>
      <c r="AE6" s="29"/>
      <c r="AF6" s="28"/>
      <c r="AG6" s="26"/>
      <c r="AH6" s="26"/>
      <c r="AI6" s="29"/>
      <c r="AJ6" s="28"/>
      <c r="AK6" s="26"/>
      <c r="AL6" s="26"/>
      <c r="AM6" s="29"/>
      <c r="AN6" s="28"/>
      <c r="AO6" s="26"/>
      <c r="AP6" s="26"/>
      <c r="AQ6" s="29"/>
      <c r="AR6" s="28"/>
      <c r="AS6" s="26"/>
      <c r="AT6" s="26"/>
      <c r="AU6" s="29"/>
      <c r="AV6" s="28"/>
      <c r="AW6" s="26"/>
      <c r="AX6" s="26"/>
      <c r="AY6" s="29"/>
      <c r="AZ6" s="28"/>
      <c r="BA6" s="26"/>
      <c r="BB6" s="26"/>
      <c r="BC6" s="29"/>
      <c r="BD6" s="28"/>
      <c r="BE6" s="26"/>
      <c r="BF6" s="26"/>
      <c r="BG6" s="29"/>
      <c r="BH6" s="28"/>
      <c r="BI6" s="26"/>
      <c r="BJ6" s="26"/>
      <c r="BK6" s="29"/>
      <c r="BL6" s="28"/>
      <c r="BM6" s="26"/>
      <c r="BN6" s="26"/>
      <c r="BO6" s="29"/>
      <c r="BP6" s="28"/>
      <c r="BQ6" s="26"/>
      <c r="BR6" s="26"/>
      <c r="BS6" s="29"/>
      <c r="BT6" s="28"/>
      <c r="BU6" s="26"/>
      <c r="BV6" s="26"/>
      <c r="BW6" s="29"/>
      <c r="BX6" s="28"/>
      <c r="BY6" s="26"/>
      <c r="BZ6" s="26"/>
      <c r="CA6" s="29"/>
      <c r="CB6" s="28"/>
      <c r="CC6" s="26"/>
      <c r="CD6" s="26"/>
      <c r="CE6" s="29"/>
      <c r="CF6" s="28"/>
      <c r="CG6" s="26"/>
      <c r="CH6" s="26"/>
      <c r="CI6" s="29"/>
      <c r="CJ6" s="28"/>
      <c r="CK6" s="26"/>
      <c r="CL6" s="26"/>
      <c r="CM6" s="29"/>
      <c r="CN6" s="28"/>
      <c r="CO6" s="26"/>
      <c r="CP6" s="26"/>
      <c r="CQ6" s="29"/>
      <c r="CR6" s="28"/>
      <c r="CS6" s="26"/>
      <c r="CT6" s="26"/>
      <c r="CU6" s="29"/>
      <c r="CV6" s="28"/>
      <c r="CW6" s="26"/>
      <c r="CX6" s="26"/>
      <c r="CY6" s="29"/>
      <c r="CZ6" s="28"/>
      <c r="DA6" s="26"/>
      <c r="DB6" s="26"/>
      <c r="DC6" s="29"/>
    </row>
    <row r="7" spans="1:107" ht="19.899999999999999" customHeight="1" x14ac:dyDescent="0.25">
      <c r="A7" s="178"/>
      <c r="B7" s="154" t="str">
        <f>Jugadores!N6</f>
        <v>Sergio Reales Zambrano</v>
      </c>
      <c r="C7" s="155"/>
      <c r="D7" s="24">
        <f>H7+L7+P7+T7+X7+AB7+AF7+AJ7+AN7+AR7+AV7+AZ7+BD7+BH7+BL7+BP7+BT7+BX7+CB7+CF7+CJ7+CN7+CR7+CV7+CZ7</f>
        <v>0</v>
      </c>
      <c r="E7" s="24">
        <f t="shared" si="1"/>
        <v>2</v>
      </c>
      <c r="F7" s="115">
        <f t="shared" si="2"/>
        <v>0</v>
      </c>
      <c r="G7" s="115">
        <f t="shared" si="3"/>
        <v>0</v>
      </c>
      <c r="H7" s="28"/>
      <c r="I7" s="26"/>
      <c r="J7" s="26"/>
      <c r="K7" s="29"/>
      <c r="L7" s="28"/>
      <c r="M7" s="26"/>
      <c r="N7" s="26"/>
      <c r="O7" s="29"/>
      <c r="P7" s="28"/>
      <c r="Q7" s="26"/>
      <c r="R7" s="26"/>
      <c r="S7" s="29"/>
      <c r="T7" s="28"/>
      <c r="U7" s="26"/>
      <c r="V7" s="26"/>
      <c r="W7" s="29"/>
      <c r="X7" s="28"/>
      <c r="Y7" s="26"/>
      <c r="Z7" s="26"/>
      <c r="AA7" s="29"/>
      <c r="AB7" s="28"/>
      <c r="AC7" s="26"/>
      <c r="AD7" s="26"/>
      <c r="AE7" s="29"/>
      <c r="AF7" s="28"/>
      <c r="AG7" s="26"/>
      <c r="AH7" s="26"/>
      <c r="AI7" s="29"/>
      <c r="AJ7" s="28"/>
      <c r="AK7" s="26">
        <v>1</v>
      </c>
      <c r="AL7" s="26"/>
      <c r="AM7" s="29"/>
      <c r="AN7" s="28"/>
      <c r="AO7" s="26"/>
      <c r="AP7" s="26"/>
      <c r="AQ7" s="29"/>
      <c r="AR7" s="28"/>
      <c r="AS7" s="26"/>
      <c r="AT7" s="26"/>
      <c r="AU7" s="29"/>
      <c r="AV7" s="28"/>
      <c r="AW7" s="26"/>
      <c r="AX7" s="26"/>
      <c r="AY7" s="29"/>
      <c r="AZ7" s="28"/>
      <c r="BA7" s="26"/>
      <c r="BB7" s="26"/>
      <c r="BC7" s="29"/>
      <c r="BD7" s="28"/>
      <c r="BE7" s="26">
        <v>1</v>
      </c>
      <c r="BF7" s="26"/>
      <c r="BG7" s="29"/>
      <c r="BH7" s="28"/>
      <c r="BI7" s="26"/>
      <c r="BJ7" s="26"/>
      <c r="BK7" s="29"/>
      <c r="BL7" s="28"/>
      <c r="BM7" s="26"/>
      <c r="BN7" s="26"/>
      <c r="BO7" s="29"/>
      <c r="BP7" s="28"/>
      <c r="BQ7" s="26"/>
      <c r="BR7" s="26"/>
      <c r="BS7" s="29"/>
      <c r="BT7" s="28"/>
      <c r="BU7" s="26"/>
      <c r="BV7" s="26"/>
      <c r="BW7" s="29"/>
      <c r="BX7" s="28"/>
      <c r="BY7" s="26"/>
      <c r="BZ7" s="26"/>
      <c r="CA7" s="29"/>
      <c r="CB7" s="28"/>
      <c r="CC7" s="26"/>
      <c r="CD7" s="26"/>
      <c r="CE7" s="29"/>
      <c r="CF7" s="28"/>
      <c r="CG7" s="26"/>
      <c r="CH7" s="26"/>
      <c r="CI7" s="29"/>
      <c r="CJ7" s="28"/>
      <c r="CK7" s="26"/>
      <c r="CL7" s="26"/>
      <c r="CM7" s="29"/>
      <c r="CN7" s="28"/>
      <c r="CO7" s="26"/>
      <c r="CP7" s="26"/>
      <c r="CQ7" s="29"/>
      <c r="CR7" s="28"/>
      <c r="CS7" s="26"/>
      <c r="CT7" s="26"/>
      <c r="CU7" s="29"/>
      <c r="CV7" s="28"/>
      <c r="CW7" s="26"/>
      <c r="CX7" s="26"/>
      <c r="CY7" s="29"/>
      <c r="CZ7" s="28"/>
      <c r="DA7" s="26"/>
      <c r="DB7" s="26"/>
      <c r="DC7" s="29"/>
    </row>
    <row r="8" spans="1:107" ht="19.899999999999999" customHeight="1" x14ac:dyDescent="0.25">
      <c r="A8" s="178"/>
      <c r="B8" s="154" t="str">
        <f>Jugadores!N7</f>
        <v>Gustavo Moscoso</v>
      </c>
      <c r="C8" s="155"/>
      <c r="D8" s="24">
        <f t="shared" si="0"/>
        <v>7</v>
      </c>
      <c r="E8" s="24">
        <f t="shared" si="1"/>
        <v>0</v>
      </c>
      <c r="F8" s="115">
        <f t="shared" si="2"/>
        <v>1</v>
      </c>
      <c r="G8" s="115">
        <f t="shared" si="3"/>
        <v>0</v>
      </c>
      <c r="H8" s="28"/>
      <c r="I8" s="26"/>
      <c r="J8" s="26"/>
      <c r="K8" s="29"/>
      <c r="L8" s="28"/>
      <c r="M8" s="26"/>
      <c r="N8" s="26"/>
      <c r="O8" s="29"/>
      <c r="P8" s="28"/>
      <c r="Q8" s="26"/>
      <c r="R8" s="26"/>
      <c r="S8" s="29"/>
      <c r="T8" s="28"/>
      <c r="U8" s="26"/>
      <c r="V8" s="26"/>
      <c r="W8" s="29"/>
      <c r="X8" s="28">
        <v>1</v>
      </c>
      <c r="Y8" s="26"/>
      <c r="Z8" s="26"/>
      <c r="AA8" s="29"/>
      <c r="AB8" s="28"/>
      <c r="AC8" s="26"/>
      <c r="AD8" s="26"/>
      <c r="AE8" s="29"/>
      <c r="AF8" s="28">
        <v>2</v>
      </c>
      <c r="AG8" s="26"/>
      <c r="AH8" s="26"/>
      <c r="AI8" s="29"/>
      <c r="AJ8" s="28"/>
      <c r="AK8" s="26"/>
      <c r="AL8" s="26"/>
      <c r="AM8" s="29"/>
      <c r="AN8" s="28"/>
      <c r="AO8" s="26"/>
      <c r="AP8" s="26"/>
      <c r="AQ8" s="29"/>
      <c r="AR8" s="28"/>
      <c r="AS8" s="26"/>
      <c r="AT8" s="26"/>
      <c r="AU8" s="29"/>
      <c r="AV8" s="28"/>
      <c r="AW8" s="26"/>
      <c r="AX8" s="26"/>
      <c r="AY8" s="29"/>
      <c r="AZ8" s="28"/>
      <c r="BA8" s="26"/>
      <c r="BB8" s="26"/>
      <c r="BC8" s="29"/>
      <c r="BD8" s="28">
        <v>2</v>
      </c>
      <c r="BE8" s="26"/>
      <c r="BF8" s="26"/>
      <c r="BG8" s="29"/>
      <c r="BH8" s="28"/>
      <c r="BI8" s="26"/>
      <c r="BJ8" s="26"/>
      <c r="BK8" s="29"/>
      <c r="BL8" s="28"/>
      <c r="BM8" s="26"/>
      <c r="BN8" s="26"/>
      <c r="BO8" s="29"/>
      <c r="BP8" s="28">
        <v>1</v>
      </c>
      <c r="BQ8" s="26"/>
      <c r="BR8" s="26"/>
      <c r="BS8" s="29"/>
      <c r="BT8" s="28">
        <v>1</v>
      </c>
      <c r="BU8" s="26"/>
      <c r="BV8" s="26"/>
      <c r="BW8" s="29"/>
      <c r="BX8" s="28"/>
      <c r="BY8" s="26"/>
      <c r="BZ8" s="26"/>
      <c r="CA8" s="29"/>
      <c r="CB8" s="28"/>
      <c r="CC8" s="26"/>
      <c r="CD8" s="26"/>
      <c r="CE8" s="29"/>
      <c r="CF8" s="28"/>
      <c r="CG8" s="26"/>
      <c r="CH8" s="26"/>
      <c r="CI8" s="29"/>
      <c r="CJ8" s="28"/>
      <c r="CK8" s="26"/>
      <c r="CL8" s="26"/>
      <c r="CM8" s="29"/>
      <c r="CN8" s="28"/>
      <c r="CO8" s="26"/>
      <c r="CP8" s="26"/>
      <c r="CQ8" s="29"/>
      <c r="CR8" s="28"/>
      <c r="CS8" s="26"/>
      <c r="CT8" s="26"/>
      <c r="CU8" s="29"/>
      <c r="CV8" s="28"/>
      <c r="CW8" s="26"/>
      <c r="CX8" s="26"/>
      <c r="CY8" s="29"/>
      <c r="CZ8" s="28"/>
      <c r="DA8" s="26"/>
      <c r="DB8" s="26"/>
      <c r="DC8" s="29"/>
    </row>
    <row r="9" spans="1:107" ht="19.899999999999999" customHeight="1" x14ac:dyDescent="0.25">
      <c r="A9" s="178"/>
      <c r="B9" s="154" t="str">
        <f>Jugadores!N8</f>
        <v>Jhoan Sebastián Ossa</v>
      </c>
      <c r="C9" s="155"/>
      <c r="D9" s="24">
        <f t="shared" si="0"/>
        <v>2</v>
      </c>
      <c r="E9" s="24">
        <f t="shared" si="1"/>
        <v>3</v>
      </c>
      <c r="F9" s="115">
        <f t="shared" si="2"/>
        <v>0</v>
      </c>
      <c r="G9" s="115">
        <f t="shared" si="3"/>
        <v>0</v>
      </c>
      <c r="H9" s="28"/>
      <c r="I9" s="26"/>
      <c r="J9" s="26"/>
      <c r="K9" s="29"/>
      <c r="L9" s="28">
        <v>1</v>
      </c>
      <c r="M9" s="26"/>
      <c r="N9" s="26"/>
      <c r="O9" s="29"/>
      <c r="P9" s="28"/>
      <c r="Q9" s="26"/>
      <c r="R9" s="26"/>
      <c r="S9" s="29"/>
      <c r="T9" s="28"/>
      <c r="U9" s="26"/>
      <c r="V9" s="26"/>
      <c r="W9" s="29"/>
      <c r="X9" s="28"/>
      <c r="Y9" s="26">
        <v>1</v>
      </c>
      <c r="Z9" s="26"/>
      <c r="AA9" s="29"/>
      <c r="AB9" s="28"/>
      <c r="AC9" s="26"/>
      <c r="AD9" s="26"/>
      <c r="AE9" s="29"/>
      <c r="AF9" s="28"/>
      <c r="AG9" s="26"/>
      <c r="AH9" s="26"/>
      <c r="AI9" s="29"/>
      <c r="AJ9" s="28"/>
      <c r="AK9" s="26"/>
      <c r="AL9" s="26"/>
      <c r="AM9" s="29"/>
      <c r="AN9" s="28">
        <v>1</v>
      </c>
      <c r="AO9" s="26"/>
      <c r="AP9" s="26"/>
      <c r="AQ9" s="29"/>
      <c r="AR9" s="28"/>
      <c r="AS9" s="26"/>
      <c r="AT9" s="26"/>
      <c r="AU9" s="29"/>
      <c r="AV9" s="28"/>
      <c r="AW9" s="26"/>
      <c r="AX9" s="26"/>
      <c r="AY9" s="29"/>
      <c r="AZ9" s="28"/>
      <c r="BA9" s="26"/>
      <c r="BB9" s="26"/>
      <c r="BC9" s="29"/>
      <c r="BD9" s="28"/>
      <c r="BE9" s="26">
        <v>1</v>
      </c>
      <c r="BF9" s="26"/>
      <c r="BG9" s="29"/>
      <c r="BH9" s="28"/>
      <c r="BI9" s="26"/>
      <c r="BJ9" s="26"/>
      <c r="BK9" s="29"/>
      <c r="BL9" s="28"/>
      <c r="BM9" s="26"/>
      <c r="BN9" s="26"/>
      <c r="BO9" s="29"/>
      <c r="BP9" s="28"/>
      <c r="BQ9" s="26">
        <v>1</v>
      </c>
      <c r="BR9" s="26"/>
      <c r="BS9" s="29"/>
      <c r="BT9" s="28"/>
      <c r="BU9" s="26"/>
      <c r="BV9" s="26"/>
      <c r="BW9" s="29"/>
      <c r="BX9" s="28"/>
      <c r="BY9" s="26"/>
      <c r="BZ9" s="26"/>
      <c r="CA9" s="29"/>
      <c r="CB9" s="28"/>
      <c r="CC9" s="26"/>
      <c r="CD9" s="26"/>
      <c r="CE9" s="29"/>
      <c r="CF9" s="28"/>
      <c r="CG9" s="26"/>
      <c r="CH9" s="26"/>
      <c r="CI9" s="29"/>
      <c r="CJ9" s="28"/>
      <c r="CK9" s="26"/>
      <c r="CL9" s="26"/>
      <c r="CM9" s="29"/>
      <c r="CN9" s="28"/>
      <c r="CO9" s="26"/>
      <c r="CP9" s="26"/>
      <c r="CQ9" s="29"/>
      <c r="CR9" s="28"/>
      <c r="CS9" s="26"/>
      <c r="CT9" s="26"/>
      <c r="CU9" s="29"/>
      <c r="CV9" s="28"/>
      <c r="CW9" s="26"/>
      <c r="CX9" s="26"/>
      <c r="CY9" s="29"/>
      <c r="CZ9" s="28"/>
      <c r="DA9" s="26"/>
      <c r="DB9" s="26"/>
      <c r="DC9" s="29"/>
    </row>
    <row r="10" spans="1:107" ht="19.899999999999999" customHeight="1" x14ac:dyDescent="0.25">
      <c r="A10" s="178"/>
      <c r="B10" s="154" t="str">
        <f>Jugadores!N9</f>
        <v>Marcos Muñoz</v>
      </c>
      <c r="C10" s="155"/>
      <c r="D10" s="24">
        <f t="shared" si="0"/>
        <v>9</v>
      </c>
      <c r="E10" s="24">
        <f t="shared" si="1"/>
        <v>2</v>
      </c>
      <c r="F10" s="115">
        <f t="shared" si="2"/>
        <v>1</v>
      </c>
      <c r="G10" s="115">
        <f t="shared" si="3"/>
        <v>0</v>
      </c>
      <c r="H10" s="28"/>
      <c r="I10" s="26"/>
      <c r="J10" s="26"/>
      <c r="K10" s="29"/>
      <c r="L10" s="28"/>
      <c r="M10" s="26"/>
      <c r="N10" s="26"/>
      <c r="O10" s="29"/>
      <c r="P10" s="28"/>
      <c r="Q10" s="26"/>
      <c r="R10" s="26"/>
      <c r="S10" s="29"/>
      <c r="T10" s="28"/>
      <c r="U10" s="26"/>
      <c r="V10" s="26"/>
      <c r="W10" s="29"/>
      <c r="X10" s="28">
        <v>3</v>
      </c>
      <c r="Y10" s="26"/>
      <c r="Z10" s="26"/>
      <c r="AA10" s="29"/>
      <c r="AB10" s="28">
        <v>2</v>
      </c>
      <c r="AC10" s="26"/>
      <c r="AD10" s="26"/>
      <c r="AE10" s="29"/>
      <c r="AF10" s="28"/>
      <c r="AG10" s="26"/>
      <c r="AH10" s="26"/>
      <c r="AI10" s="29"/>
      <c r="AJ10" s="28"/>
      <c r="AK10" s="26">
        <v>1</v>
      </c>
      <c r="AL10" s="26"/>
      <c r="AM10" s="29"/>
      <c r="AN10" s="28"/>
      <c r="AO10" s="26"/>
      <c r="AP10" s="26"/>
      <c r="AQ10" s="29"/>
      <c r="AR10" s="28"/>
      <c r="AS10" s="26"/>
      <c r="AT10" s="26"/>
      <c r="AU10" s="29"/>
      <c r="AV10" s="28"/>
      <c r="AW10" s="26"/>
      <c r="AX10" s="26"/>
      <c r="AY10" s="29"/>
      <c r="AZ10" s="28"/>
      <c r="BA10" s="26"/>
      <c r="BB10" s="26"/>
      <c r="BC10" s="29"/>
      <c r="BD10" s="28">
        <v>1</v>
      </c>
      <c r="BE10" s="26">
        <v>1</v>
      </c>
      <c r="BF10" s="26"/>
      <c r="BG10" s="29"/>
      <c r="BH10" s="28"/>
      <c r="BI10" s="26"/>
      <c r="BJ10" s="26"/>
      <c r="BK10" s="29"/>
      <c r="BL10" s="28">
        <v>1</v>
      </c>
      <c r="BM10" s="26"/>
      <c r="BN10" s="26"/>
      <c r="BO10" s="29"/>
      <c r="BP10" s="28">
        <v>1</v>
      </c>
      <c r="BQ10" s="26"/>
      <c r="BR10" s="26"/>
      <c r="BS10" s="29"/>
      <c r="BT10" s="28"/>
      <c r="BU10" s="26"/>
      <c r="BV10" s="26"/>
      <c r="BW10" s="29"/>
      <c r="BX10" s="28"/>
      <c r="BY10" s="26"/>
      <c r="BZ10" s="26"/>
      <c r="CA10" s="29"/>
      <c r="CB10" s="28">
        <v>1</v>
      </c>
      <c r="CC10" s="26"/>
      <c r="CD10" s="26"/>
      <c r="CE10" s="29"/>
      <c r="CF10" s="28"/>
      <c r="CG10" s="26"/>
      <c r="CH10" s="26"/>
      <c r="CI10" s="29"/>
      <c r="CJ10" s="28"/>
      <c r="CK10" s="26"/>
      <c r="CL10" s="26"/>
      <c r="CM10" s="29"/>
      <c r="CN10" s="28"/>
      <c r="CO10" s="26"/>
      <c r="CP10" s="26"/>
      <c r="CQ10" s="29"/>
      <c r="CR10" s="28"/>
      <c r="CS10" s="26"/>
      <c r="CT10" s="26"/>
      <c r="CU10" s="29"/>
      <c r="CV10" s="28"/>
      <c r="CW10" s="26"/>
      <c r="CX10" s="26"/>
      <c r="CY10" s="29"/>
      <c r="CZ10" s="28"/>
      <c r="DA10" s="26"/>
      <c r="DB10" s="26"/>
      <c r="DC10" s="29"/>
    </row>
    <row r="11" spans="1:107" ht="19.899999999999999" customHeight="1" x14ac:dyDescent="0.25">
      <c r="A11" s="178"/>
      <c r="B11" s="154" t="str">
        <f>Jugadores!N10</f>
        <v xml:space="preserve">Miguel Ángel González </v>
      </c>
      <c r="C11" s="155"/>
      <c r="D11" s="24">
        <f t="shared" si="0"/>
        <v>0</v>
      </c>
      <c r="E11" s="24">
        <f t="shared" si="1"/>
        <v>0</v>
      </c>
      <c r="F11" s="115">
        <f t="shared" si="2"/>
        <v>0</v>
      </c>
      <c r="G11" s="115">
        <f t="shared" si="3"/>
        <v>0</v>
      </c>
      <c r="H11" s="28"/>
      <c r="I11" s="26"/>
      <c r="J11" s="26"/>
      <c r="K11" s="29"/>
      <c r="L11" s="28"/>
      <c r="M11" s="26"/>
      <c r="N11" s="26"/>
      <c r="O11" s="29"/>
      <c r="P11" s="28"/>
      <c r="Q11" s="26"/>
      <c r="R11" s="26"/>
      <c r="S11" s="29"/>
      <c r="T11" s="28"/>
      <c r="U11" s="26"/>
      <c r="V11" s="26"/>
      <c r="W11" s="29"/>
      <c r="X11" s="28"/>
      <c r="Y11" s="26"/>
      <c r="Z11" s="26"/>
      <c r="AA11" s="29"/>
      <c r="AB11" s="28"/>
      <c r="AC11" s="26"/>
      <c r="AD11" s="26"/>
      <c r="AE11" s="29"/>
      <c r="AF11" s="28"/>
      <c r="AG11" s="26"/>
      <c r="AH11" s="26"/>
      <c r="AI11" s="29"/>
      <c r="AJ11" s="28"/>
      <c r="AK11" s="26"/>
      <c r="AL11" s="26"/>
      <c r="AM11" s="29"/>
      <c r="AN11" s="28"/>
      <c r="AO11" s="26"/>
      <c r="AP11" s="26"/>
      <c r="AQ11" s="29"/>
      <c r="AR11" s="28"/>
      <c r="AS11" s="26"/>
      <c r="AT11" s="26"/>
      <c r="AU11" s="29"/>
      <c r="AV11" s="28"/>
      <c r="AW11" s="26"/>
      <c r="AX11" s="26"/>
      <c r="AY11" s="29"/>
      <c r="AZ11" s="28"/>
      <c r="BA11" s="26"/>
      <c r="BB11" s="26"/>
      <c r="BC11" s="29"/>
      <c r="BD11" s="28"/>
      <c r="BE11" s="26"/>
      <c r="BF11" s="26"/>
      <c r="BG11" s="29"/>
      <c r="BH11" s="28"/>
      <c r="BI11" s="26"/>
      <c r="BJ11" s="26"/>
      <c r="BK11" s="29"/>
      <c r="BL11" s="28"/>
      <c r="BM11" s="26"/>
      <c r="BN11" s="26"/>
      <c r="BO11" s="29"/>
      <c r="BP11" s="28"/>
      <c r="BQ11" s="26"/>
      <c r="BR11" s="26"/>
      <c r="BS11" s="29"/>
      <c r="BT11" s="28"/>
      <c r="BU11" s="26"/>
      <c r="BV11" s="26"/>
      <c r="BW11" s="29"/>
      <c r="BX11" s="28"/>
      <c r="BY11" s="26"/>
      <c r="BZ11" s="26"/>
      <c r="CA11" s="29"/>
      <c r="CB11" s="28"/>
      <c r="CC11" s="26"/>
      <c r="CD11" s="26"/>
      <c r="CE11" s="29"/>
      <c r="CF11" s="28"/>
      <c r="CG11" s="26"/>
      <c r="CH11" s="26"/>
      <c r="CI11" s="29"/>
      <c r="CJ11" s="28"/>
      <c r="CK11" s="26"/>
      <c r="CL11" s="26"/>
      <c r="CM11" s="29"/>
      <c r="CN11" s="28"/>
      <c r="CO11" s="26"/>
      <c r="CP11" s="26"/>
      <c r="CQ11" s="29"/>
      <c r="CR11" s="28"/>
      <c r="CS11" s="26"/>
      <c r="CT11" s="26"/>
      <c r="CU11" s="29"/>
      <c r="CV11" s="28"/>
      <c r="CW11" s="26"/>
      <c r="CX11" s="26"/>
      <c r="CY11" s="29"/>
      <c r="CZ11" s="28"/>
      <c r="DA11" s="26"/>
      <c r="DB11" s="26"/>
      <c r="DC11" s="29"/>
    </row>
    <row r="12" spans="1:107" ht="19.899999999999999" customHeight="1" x14ac:dyDescent="0.25">
      <c r="A12" s="178"/>
      <c r="B12" s="154" t="str">
        <f>Jugadores!N11</f>
        <v xml:space="preserve">Samuel Cardénas </v>
      </c>
      <c r="C12" s="155"/>
      <c r="D12" s="24">
        <f t="shared" si="0"/>
        <v>1</v>
      </c>
      <c r="E12" s="24">
        <f t="shared" si="1"/>
        <v>0</v>
      </c>
      <c r="F12" s="115">
        <f t="shared" si="2"/>
        <v>0</v>
      </c>
      <c r="G12" s="115">
        <f t="shared" si="3"/>
        <v>0</v>
      </c>
      <c r="H12" s="28"/>
      <c r="I12" s="26"/>
      <c r="J12" s="26"/>
      <c r="K12" s="29"/>
      <c r="L12" s="28"/>
      <c r="M12" s="26"/>
      <c r="N12" s="26"/>
      <c r="O12" s="29"/>
      <c r="P12" s="28"/>
      <c r="Q12" s="26"/>
      <c r="R12" s="26"/>
      <c r="S12" s="29"/>
      <c r="T12" s="28"/>
      <c r="U12" s="26"/>
      <c r="V12" s="26"/>
      <c r="W12" s="29"/>
      <c r="X12" s="28"/>
      <c r="Y12" s="26"/>
      <c r="Z12" s="26"/>
      <c r="AA12" s="29"/>
      <c r="AB12" s="28"/>
      <c r="AC12" s="26"/>
      <c r="AD12" s="26"/>
      <c r="AE12" s="29"/>
      <c r="AF12" s="28"/>
      <c r="AG12" s="26"/>
      <c r="AH12" s="26"/>
      <c r="AI12" s="29"/>
      <c r="AJ12" s="28"/>
      <c r="AK12" s="26"/>
      <c r="AL12" s="26"/>
      <c r="AM12" s="29"/>
      <c r="AN12" s="28"/>
      <c r="AO12" s="26"/>
      <c r="AP12" s="26"/>
      <c r="AQ12" s="29"/>
      <c r="AR12" s="28"/>
      <c r="AS12" s="26"/>
      <c r="AT12" s="26"/>
      <c r="AU12" s="29"/>
      <c r="AV12" s="28"/>
      <c r="AW12" s="26"/>
      <c r="AX12" s="26"/>
      <c r="AY12" s="29"/>
      <c r="AZ12" s="28"/>
      <c r="BA12" s="26"/>
      <c r="BB12" s="26"/>
      <c r="BC12" s="29"/>
      <c r="BD12" s="28"/>
      <c r="BE12" s="26"/>
      <c r="BF12" s="26"/>
      <c r="BG12" s="29"/>
      <c r="BH12" s="28"/>
      <c r="BI12" s="26"/>
      <c r="BJ12" s="26"/>
      <c r="BK12" s="29"/>
      <c r="BL12" s="28"/>
      <c r="BM12" s="26"/>
      <c r="BN12" s="26"/>
      <c r="BO12" s="29"/>
      <c r="BP12" s="28">
        <v>1</v>
      </c>
      <c r="BQ12" s="26"/>
      <c r="BR12" s="26"/>
      <c r="BS12" s="29"/>
      <c r="BT12" s="28"/>
      <c r="BU12" s="26"/>
      <c r="BV12" s="26"/>
      <c r="BW12" s="29"/>
      <c r="BX12" s="28"/>
      <c r="BY12" s="26"/>
      <c r="BZ12" s="26"/>
      <c r="CA12" s="29"/>
      <c r="CB12" s="28"/>
      <c r="CC12" s="26"/>
      <c r="CD12" s="26"/>
      <c r="CE12" s="29"/>
      <c r="CF12" s="28"/>
      <c r="CG12" s="26"/>
      <c r="CH12" s="26"/>
      <c r="CI12" s="29"/>
      <c r="CJ12" s="28"/>
      <c r="CK12" s="26"/>
      <c r="CL12" s="26"/>
      <c r="CM12" s="29"/>
      <c r="CN12" s="28"/>
      <c r="CO12" s="26"/>
      <c r="CP12" s="26"/>
      <c r="CQ12" s="29"/>
      <c r="CR12" s="28"/>
      <c r="CS12" s="26"/>
      <c r="CT12" s="26"/>
      <c r="CU12" s="29"/>
      <c r="CV12" s="28"/>
      <c r="CW12" s="26"/>
      <c r="CX12" s="26"/>
      <c r="CY12" s="29"/>
      <c r="CZ12" s="28"/>
      <c r="DA12" s="26"/>
      <c r="DB12" s="26"/>
      <c r="DC12" s="29"/>
    </row>
    <row r="13" spans="1:107" ht="19.899999999999999" customHeight="1" x14ac:dyDescent="0.25">
      <c r="A13" s="178"/>
      <c r="B13" s="154" t="str">
        <f>Jugadores!N12</f>
        <v xml:space="preserve">Daniel Ospina </v>
      </c>
      <c r="C13" s="155"/>
      <c r="D13" s="24">
        <f t="shared" si="0"/>
        <v>0</v>
      </c>
      <c r="E13" s="24">
        <f t="shared" si="1"/>
        <v>1</v>
      </c>
      <c r="F13" s="115">
        <f t="shared" si="2"/>
        <v>0</v>
      </c>
      <c r="G13" s="115">
        <f t="shared" si="3"/>
        <v>0</v>
      </c>
      <c r="H13" s="28"/>
      <c r="I13" s="26"/>
      <c r="J13" s="26"/>
      <c r="K13" s="29"/>
      <c r="L13" s="28"/>
      <c r="M13" s="26"/>
      <c r="N13" s="26"/>
      <c r="O13" s="29"/>
      <c r="P13" s="28"/>
      <c r="Q13" s="26"/>
      <c r="R13" s="26"/>
      <c r="S13" s="29"/>
      <c r="T13" s="28"/>
      <c r="U13" s="26"/>
      <c r="V13" s="26"/>
      <c r="W13" s="29"/>
      <c r="X13" s="28"/>
      <c r="Y13" s="26"/>
      <c r="Z13" s="26"/>
      <c r="AA13" s="29"/>
      <c r="AB13" s="28"/>
      <c r="AC13" s="26">
        <v>1</v>
      </c>
      <c r="AD13" s="26"/>
      <c r="AE13" s="29"/>
      <c r="AF13" s="28"/>
      <c r="AG13" s="26"/>
      <c r="AH13" s="26"/>
      <c r="AI13" s="29"/>
      <c r="AJ13" s="28"/>
      <c r="AK13" s="26"/>
      <c r="AL13" s="26"/>
      <c r="AM13" s="29"/>
      <c r="AN13" s="28"/>
      <c r="AO13" s="26"/>
      <c r="AP13" s="26"/>
      <c r="AQ13" s="29"/>
      <c r="AR13" s="28"/>
      <c r="AS13" s="26"/>
      <c r="AT13" s="26"/>
      <c r="AU13" s="29"/>
      <c r="AV13" s="28"/>
      <c r="AW13" s="26"/>
      <c r="AX13" s="26"/>
      <c r="AY13" s="29"/>
      <c r="AZ13" s="28"/>
      <c r="BA13" s="26"/>
      <c r="BB13" s="26"/>
      <c r="BC13" s="29"/>
      <c r="BD13" s="28"/>
      <c r="BE13" s="26"/>
      <c r="BF13" s="26"/>
      <c r="BG13" s="29"/>
      <c r="BH13" s="28"/>
      <c r="BI13" s="26"/>
      <c r="BJ13" s="26"/>
      <c r="BK13" s="29"/>
      <c r="BL13" s="28"/>
      <c r="BM13" s="26"/>
      <c r="BN13" s="26"/>
      <c r="BO13" s="29"/>
      <c r="BP13" s="28"/>
      <c r="BQ13" s="26"/>
      <c r="BR13" s="26"/>
      <c r="BS13" s="29"/>
      <c r="BT13" s="28"/>
      <c r="BU13" s="26"/>
      <c r="BV13" s="26"/>
      <c r="BW13" s="29"/>
      <c r="BX13" s="28"/>
      <c r="BY13" s="26"/>
      <c r="BZ13" s="26"/>
      <c r="CA13" s="29"/>
      <c r="CB13" s="28"/>
      <c r="CC13" s="26"/>
      <c r="CD13" s="26"/>
      <c r="CE13" s="29"/>
      <c r="CF13" s="28"/>
      <c r="CG13" s="26"/>
      <c r="CH13" s="26"/>
      <c r="CI13" s="29"/>
      <c r="CJ13" s="28"/>
      <c r="CK13" s="26"/>
      <c r="CL13" s="26"/>
      <c r="CM13" s="29"/>
      <c r="CN13" s="28"/>
      <c r="CO13" s="26"/>
      <c r="CP13" s="26"/>
      <c r="CQ13" s="29"/>
      <c r="CR13" s="28"/>
      <c r="CS13" s="26"/>
      <c r="CT13" s="26"/>
      <c r="CU13" s="29"/>
      <c r="CV13" s="28"/>
      <c r="CW13" s="26"/>
      <c r="CX13" s="26"/>
      <c r="CY13" s="29"/>
      <c r="CZ13" s="28"/>
      <c r="DA13" s="26"/>
      <c r="DB13" s="26"/>
      <c r="DC13" s="29"/>
    </row>
    <row r="14" spans="1:107" ht="19.899999999999999" customHeight="1" x14ac:dyDescent="0.25">
      <c r="A14" s="178"/>
      <c r="B14" s="154" t="str">
        <f>Jugadores!N13</f>
        <v xml:space="preserve">Jhonatan Andrés Morales </v>
      </c>
      <c r="C14" s="155"/>
      <c r="D14" s="24">
        <f t="shared" si="0"/>
        <v>3</v>
      </c>
      <c r="E14" s="24">
        <f t="shared" si="1"/>
        <v>0</v>
      </c>
      <c r="F14" s="115">
        <f t="shared" si="2"/>
        <v>2</v>
      </c>
      <c r="G14" s="115">
        <f t="shared" si="3"/>
        <v>0</v>
      </c>
      <c r="H14" s="28"/>
      <c r="I14" s="26"/>
      <c r="J14" s="26">
        <v>1</v>
      </c>
      <c r="K14" s="29"/>
      <c r="L14" s="28"/>
      <c r="M14" s="26"/>
      <c r="N14" s="26"/>
      <c r="O14" s="29"/>
      <c r="P14" s="28"/>
      <c r="Q14" s="26"/>
      <c r="R14" s="26"/>
      <c r="S14" s="29"/>
      <c r="T14" s="28"/>
      <c r="U14" s="26"/>
      <c r="V14" s="26"/>
      <c r="W14" s="29"/>
      <c r="X14" s="28"/>
      <c r="Y14" s="26"/>
      <c r="Z14" s="26"/>
      <c r="AA14" s="29"/>
      <c r="AB14" s="28"/>
      <c r="AC14" s="26"/>
      <c r="AD14" s="26"/>
      <c r="AE14" s="29"/>
      <c r="AF14" s="28"/>
      <c r="AG14" s="26"/>
      <c r="AH14" s="26"/>
      <c r="AI14" s="29"/>
      <c r="AJ14" s="28"/>
      <c r="AK14" s="26"/>
      <c r="AL14" s="26"/>
      <c r="AM14" s="29"/>
      <c r="AN14" s="28"/>
      <c r="AO14" s="26"/>
      <c r="AP14" s="26"/>
      <c r="AQ14" s="29"/>
      <c r="AR14" s="28"/>
      <c r="AS14" s="26"/>
      <c r="AT14" s="26"/>
      <c r="AU14" s="29"/>
      <c r="AV14" s="28"/>
      <c r="AW14" s="26"/>
      <c r="AX14" s="26"/>
      <c r="AY14" s="29"/>
      <c r="AZ14" s="28"/>
      <c r="BA14" s="26"/>
      <c r="BB14" s="26"/>
      <c r="BC14" s="29"/>
      <c r="BD14" s="28"/>
      <c r="BE14" s="26"/>
      <c r="BF14" s="26"/>
      <c r="BG14" s="29"/>
      <c r="BH14" s="28"/>
      <c r="BI14" s="26"/>
      <c r="BJ14" s="26"/>
      <c r="BK14" s="29"/>
      <c r="BL14" s="28">
        <v>2</v>
      </c>
      <c r="BM14" s="26"/>
      <c r="BN14" s="26"/>
      <c r="BO14" s="29"/>
      <c r="BP14" s="28"/>
      <c r="BQ14" s="26"/>
      <c r="BR14" s="26"/>
      <c r="BS14" s="29"/>
      <c r="BT14" s="28"/>
      <c r="BU14" s="26"/>
      <c r="BV14" s="26"/>
      <c r="BW14" s="29"/>
      <c r="BX14" s="28"/>
      <c r="BY14" s="26"/>
      <c r="BZ14" s="26"/>
      <c r="CA14" s="29"/>
      <c r="CB14" s="28">
        <v>1</v>
      </c>
      <c r="CC14" s="26"/>
      <c r="CD14" s="26"/>
      <c r="CE14" s="29"/>
      <c r="CF14" s="28"/>
      <c r="CG14" s="26"/>
      <c r="CH14" s="26"/>
      <c r="CI14" s="29"/>
      <c r="CJ14" s="28"/>
      <c r="CK14" s="26"/>
      <c r="CL14" s="26"/>
      <c r="CM14" s="29"/>
      <c r="CN14" s="28"/>
      <c r="CO14" s="26"/>
      <c r="CP14" s="26"/>
      <c r="CQ14" s="29"/>
      <c r="CR14" s="28"/>
      <c r="CS14" s="26"/>
      <c r="CT14" s="26"/>
      <c r="CU14" s="29"/>
      <c r="CV14" s="28"/>
      <c r="CW14" s="26"/>
      <c r="CX14" s="26"/>
      <c r="CY14" s="29"/>
      <c r="CZ14" s="28"/>
      <c r="DA14" s="26"/>
      <c r="DB14" s="26"/>
      <c r="DC14" s="29"/>
    </row>
    <row r="15" spans="1:107" ht="19.899999999999999" customHeight="1" x14ac:dyDescent="0.25">
      <c r="A15" s="178"/>
      <c r="B15" s="154" t="str">
        <f>Jugadores!N14</f>
        <v xml:space="preserve">José Joaquín García </v>
      </c>
      <c r="C15" s="155"/>
      <c r="D15" s="24">
        <f t="shared" si="0"/>
        <v>1</v>
      </c>
      <c r="E15" s="24">
        <f t="shared" si="1"/>
        <v>0</v>
      </c>
      <c r="F15" s="115">
        <f t="shared" si="2"/>
        <v>0</v>
      </c>
      <c r="G15" s="115">
        <f t="shared" si="3"/>
        <v>0</v>
      </c>
      <c r="H15" s="28"/>
      <c r="I15" s="26"/>
      <c r="J15" s="26"/>
      <c r="K15" s="29"/>
      <c r="L15" s="28"/>
      <c r="M15" s="26"/>
      <c r="N15" s="26"/>
      <c r="O15" s="29"/>
      <c r="P15" s="28"/>
      <c r="Q15" s="26"/>
      <c r="R15" s="26"/>
      <c r="S15" s="29"/>
      <c r="T15" s="28"/>
      <c r="U15" s="26"/>
      <c r="V15" s="26"/>
      <c r="W15" s="29"/>
      <c r="X15" s="28"/>
      <c r="Y15" s="26"/>
      <c r="Z15" s="26"/>
      <c r="AA15" s="29"/>
      <c r="AB15" s="28"/>
      <c r="AC15" s="26"/>
      <c r="AD15" s="26"/>
      <c r="AE15" s="29"/>
      <c r="AF15" s="28"/>
      <c r="AG15" s="26"/>
      <c r="AH15" s="26"/>
      <c r="AI15" s="29"/>
      <c r="AJ15" s="28"/>
      <c r="AK15" s="26"/>
      <c r="AL15" s="26"/>
      <c r="AM15" s="29"/>
      <c r="AN15" s="28"/>
      <c r="AO15" s="26"/>
      <c r="AP15" s="26"/>
      <c r="AQ15" s="29"/>
      <c r="AR15" s="28"/>
      <c r="AS15" s="26"/>
      <c r="AT15" s="26"/>
      <c r="AU15" s="29"/>
      <c r="AV15" s="28"/>
      <c r="AW15" s="26"/>
      <c r="AX15" s="26"/>
      <c r="AY15" s="29"/>
      <c r="AZ15" s="28"/>
      <c r="BA15" s="26"/>
      <c r="BB15" s="26"/>
      <c r="BC15" s="29"/>
      <c r="BD15" s="28"/>
      <c r="BE15" s="26"/>
      <c r="BF15" s="26"/>
      <c r="BG15" s="29"/>
      <c r="BH15" s="28">
        <v>1</v>
      </c>
      <c r="BI15" s="26"/>
      <c r="BJ15" s="26"/>
      <c r="BK15" s="29"/>
      <c r="BL15" s="28"/>
      <c r="BM15" s="26"/>
      <c r="BN15" s="26"/>
      <c r="BO15" s="29"/>
      <c r="BP15" s="28"/>
      <c r="BQ15" s="26"/>
      <c r="BR15" s="26"/>
      <c r="BS15" s="29"/>
      <c r="BT15" s="28"/>
      <c r="BU15" s="26"/>
      <c r="BV15" s="26"/>
      <c r="BW15" s="29"/>
      <c r="BX15" s="28"/>
      <c r="BY15" s="26"/>
      <c r="BZ15" s="26"/>
      <c r="CA15" s="29"/>
      <c r="CB15" s="28"/>
      <c r="CC15" s="26"/>
      <c r="CD15" s="26"/>
      <c r="CE15" s="29"/>
      <c r="CF15" s="28"/>
      <c r="CG15" s="26"/>
      <c r="CH15" s="26"/>
      <c r="CI15" s="29"/>
      <c r="CJ15" s="28"/>
      <c r="CK15" s="26"/>
      <c r="CL15" s="26"/>
      <c r="CM15" s="29"/>
      <c r="CN15" s="28"/>
      <c r="CO15" s="26"/>
      <c r="CP15" s="26"/>
      <c r="CQ15" s="29"/>
      <c r="CR15" s="28"/>
      <c r="CS15" s="26"/>
      <c r="CT15" s="26"/>
      <c r="CU15" s="29"/>
      <c r="CV15" s="28"/>
      <c r="CW15" s="26"/>
      <c r="CX15" s="26"/>
      <c r="CY15" s="29"/>
      <c r="CZ15" s="28"/>
      <c r="DA15" s="26"/>
      <c r="DB15" s="26"/>
      <c r="DC15" s="29"/>
    </row>
    <row r="16" spans="1:107" ht="19.899999999999999" customHeight="1" x14ac:dyDescent="0.25">
      <c r="A16" s="178"/>
      <c r="B16" s="154" t="str">
        <f>Jugadores!N15</f>
        <v xml:space="preserve">Cristian Alejandro Chavarría </v>
      </c>
      <c r="C16" s="155"/>
      <c r="D16" s="24">
        <f t="shared" si="0"/>
        <v>1</v>
      </c>
      <c r="E16" s="24">
        <f t="shared" si="1"/>
        <v>1</v>
      </c>
      <c r="F16" s="115">
        <f t="shared" si="2"/>
        <v>0</v>
      </c>
      <c r="G16" s="115">
        <f t="shared" si="3"/>
        <v>1</v>
      </c>
      <c r="H16" s="28"/>
      <c r="I16" s="26"/>
      <c r="J16" s="26"/>
      <c r="K16" s="29"/>
      <c r="L16" s="28"/>
      <c r="M16" s="26"/>
      <c r="N16" s="26"/>
      <c r="O16" s="29"/>
      <c r="P16" s="28"/>
      <c r="Q16" s="26"/>
      <c r="R16" s="26"/>
      <c r="S16" s="29"/>
      <c r="T16" s="28"/>
      <c r="U16" s="26"/>
      <c r="V16" s="26"/>
      <c r="W16" s="29"/>
      <c r="X16" s="28"/>
      <c r="Y16" s="26"/>
      <c r="Z16" s="26"/>
      <c r="AA16" s="29"/>
      <c r="AB16" s="28">
        <v>1</v>
      </c>
      <c r="AC16" s="26"/>
      <c r="AD16" s="26"/>
      <c r="AE16" s="29"/>
      <c r="AF16" s="28"/>
      <c r="AG16" s="26"/>
      <c r="AH16" s="26"/>
      <c r="AI16" s="29"/>
      <c r="AJ16" s="28"/>
      <c r="AK16" s="26"/>
      <c r="AL16" s="26"/>
      <c r="AM16" s="29"/>
      <c r="AN16" s="28"/>
      <c r="AO16" s="26"/>
      <c r="AP16" s="26"/>
      <c r="AQ16" s="29"/>
      <c r="AR16" s="28"/>
      <c r="AS16" s="26"/>
      <c r="AT16" s="26"/>
      <c r="AU16" s="29"/>
      <c r="AV16" s="28"/>
      <c r="AW16" s="26"/>
      <c r="AX16" s="26"/>
      <c r="AY16" s="29"/>
      <c r="AZ16" s="28"/>
      <c r="BA16" s="26"/>
      <c r="BB16" s="26"/>
      <c r="BC16" s="29"/>
      <c r="BD16" s="28"/>
      <c r="BE16" s="26"/>
      <c r="BF16" s="26"/>
      <c r="BG16" s="29"/>
      <c r="BH16" s="28"/>
      <c r="BI16" s="26"/>
      <c r="BJ16" s="26"/>
      <c r="BK16" s="29"/>
      <c r="BL16" s="28"/>
      <c r="BM16" s="26"/>
      <c r="BN16" s="26"/>
      <c r="BO16" s="29"/>
      <c r="BP16" s="28"/>
      <c r="BQ16" s="26"/>
      <c r="BR16" s="26"/>
      <c r="BS16" s="29"/>
      <c r="BT16" s="28"/>
      <c r="BU16" s="26">
        <v>1</v>
      </c>
      <c r="BV16" s="26"/>
      <c r="BW16" s="29"/>
      <c r="BX16" s="28"/>
      <c r="BY16" s="26"/>
      <c r="BZ16" s="26"/>
      <c r="CA16" s="29"/>
      <c r="CB16" s="28"/>
      <c r="CC16" s="26"/>
      <c r="CD16" s="26"/>
      <c r="CE16" s="29"/>
      <c r="CF16" s="28"/>
      <c r="CG16" s="26">
        <v>1</v>
      </c>
      <c r="CH16" s="26"/>
      <c r="CI16" s="29"/>
      <c r="CJ16" s="28"/>
      <c r="CK16" s="26"/>
      <c r="CL16" s="26"/>
      <c r="CM16" s="29"/>
      <c r="CN16" s="28"/>
      <c r="CO16" s="26"/>
      <c r="CP16" s="26"/>
      <c r="CQ16" s="29"/>
      <c r="CR16" s="28"/>
      <c r="CS16" s="26"/>
      <c r="CT16" s="26"/>
      <c r="CU16" s="29"/>
      <c r="CV16" s="28"/>
      <c r="CW16" s="26"/>
      <c r="CX16" s="26"/>
      <c r="CY16" s="29"/>
      <c r="CZ16" s="28"/>
      <c r="DA16" s="26"/>
      <c r="DB16" s="26"/>
      <c r="DC16" s="29"/>
    </row>
    <row r="17" spans="1:107" ht="19.899999999999999" customHeight="1" x14ac:dyDescent="0.25">
      <c r="A17" s="178"/>
      <c r="B17" s="154" t="str">
        <f>Jugadores!N16</f>
        <v xml:space="preserve">Arley Castrillón </v>
      </c>
      <c r="C17" s="155"/>
      <c r="D17" s="24">
        <f t="shared" si="0"/>
        <v>1</v>
      </c>
      <c r="E17" s="24">
        <f t="shared" si="1"/>
        <v>0</v>
      </c>
      <c r="F17" s="115">
        <f t="shared" si="2"/>
        <v>0</v>
      </c>
      <c r="G17" s="115">
        <f t="shared" si="3"/>
        <v>0</v>
      </c>
      <c r="H17" s="28"/>
      <c r="I17" s="26"/>
      <c r="J17" s="26"/>
      <c r="K17" s="29"/>
      <c r="L17" s="28"/>
      <c r="M17" s="26"/>
      <c r="N17" s="26"/>
      <c r="O17" s="29"/>
      <c r="P17" s="28"/>
      <c r="Q17" s="26"/>
      <c r="R17" s="26"/>
      <c r="S17" s="29"/>
      <c r="T17" s="28"/>
      <c r="U17" s="26"/>
      <c r="V17" s="26"/>
      <c r="W17" s="29"/>
      <c r="X17" s="28"/>
      <c r="Y17" s="26"/>
      <c r="Z17" s="26"/>
      <c r="AA17" s="29"/>
      <c r="AB17" s="28"/>
      <c r="AC17" s="26"/>
      <c r="AD17" s="26"/>
      <c r="AE17" s="29"/>
      <c r="AF17" s="28"/>
      <c r="AG17" s="26"/>
      <c r="AH17" s="26"/>
      <c r="AI17" s="29"/>
      <c r="AJ17" s="28"/>
      <c r="AK17" s="26"/>
      <c r="AL17" s="26"/>
      <c r="AM17" s="29"/>
      <c r="AN17" s="28"/>
      <c r="AO17" s="26"/>
      <c r="AP17" s="26"/>
      <c r="AQ17" s="29"/>
      <c r="AR17" s="28"/>
      <c r="AS17" s="26"/>
      <c r="AT17" s="26"/>
      <c r="AU17" s="29"/>
      <c r="AV17" s="28"/>
      <c r="AW17" s="26"/>
      <c r="AX17" s="26"/>
      <c r="AY17" s="29"/>
      <c r="AZ17" s="28"/>
      <c r="BA17" s="26"/>
      <c r="BB17" s="26"/>
      <c r="BC17" s="29"/>
      <c r="BD17" s="28"/>
      <c r="BE17" s="26"/>
      <c r="BF17" s="26"/>
      <c r="BG17" s="29"/>
      <c r="BH17" s="28">
        <v>1</v>
      </c>
      <c r="BI17" s="26"/>
      <c r="BJ17" s="26"/>
      <c r="BK17" s="29"/>
      <c r="BL17" s="28"/>
      <c r="BM17" s="26"/>
      <c r="BN17" s="26"/>
      <c r="BO17" s="29"/>
      <c r="BP17" s="28"/>
      <c r="BQ17" s="26"/>
      <c r="BR17" s="26"/>
      <c r="BS17" s="29"/>
      <c r="BT17" s="28"/>
      <c r="BU17" s="26"/>
      <c r="BV17" s="26"/>
      <c r="BW17" s="29"/>
      <c r="BX17" s="28"/>
      <c r="BY17" s="26"/>
      <c r="BZ17" s="26"/>
      <c r="CA17" s="29"/>
      <c r="CB17" s="28"/>
      <c r="CC17" s="26"/>
      <c r="CD17" s="26"/>
      <c r="CE17" s="29"/>
      <c r="CF17" s="28"/>
      <c r="CG17" s="26"/>
      <c r="CH17" s="26"/>
      <c r="CI17" s="29"/>
      <c r="CJ17" s="28"/>
      <c r="CK17" s="26"/>
      <c r="CL17" s="26"/>
      <c r="CM17" s="29"/>
      <c r="CN17" s="28"/>
      <c r="CO17" s="26"/>
      <c r="CP17" s="26"/>
      <c r="CQ17" s="29"/>
      <c r="CR17" s="28"/>
      <c r="CS17" s="26"/>
      <c r="CT17" s="26"/>
      <c r="CU17" s="29"/>
      <c r="CV17" s="28"/>
      <c r="CW17" s="26"/>
      <c r="CX17" s="26"/>
      <c r="CY17" s="29"/>
      <c r="CZ17" s="28"/>
      <c r="DA17" s="26"/>
      <c r="DB17" s="26"/>
      <c r="DC17" s="29"/>
    </row>
    <row r="18" spans="1:107" ht="19.899999999999999" customHeight="1" x14ac:dyDescent="0.25">
      <c r="A18" s="179"/>
      <c r="B18" s="156" t="str">
        <f>Jugadores!N17</f>
        <v xml:space="preserve">Wilson Arango </v>
      </c>
      <c r="C18" s="157"/>
      <c r="D18" s="24">
        <f t="shared" si="0"/>
        <v>2</v>
      </c>
      <c r="E18" s="24">
        <f t="shared" si="1"/>
        <v>2</v>
      </c>
      <c r="F18" s="115">
        <f t="shared" si="2"/>
        <v>0</v>
      </c>
      <c r="G18" s="115">
        <f t="shared" si="3"/>
        <v>0</v>
      </c>
      <c r="H18" s="28">
        <v>2</v>
      </c>
      <c r="I18" s="26">
        <v>1</v>
      </c>
      <c r="J18" s="26"/>
      <c r="K18" s="29"/>
      <c r="L18" s="28"/>
      <c r="M18" s="26"/>
      <c r="N18" s="26"/>
      <c r="O18" s="29"/>
      <c r="P18" s="28"/>
      <c r="Q18" s="26"/>
      <c r="R18" s="26"/>
      <c r="S18" s="29"/>
      <c r="T18" s="28"/>
      <c r="U18" s="26"/>
      <c r="V18" s="26"/>
      <c r="W18" s="29"/>
      <c r="X18" s="28"/>
      <c r="Y18" s="26"/>
      <c r="Z18" s="26"/>
      <c r="AA18" s="29"/>
      <c r="AB18" s="28"/>
      <c r="AC18" s="26"/>
      <c r="AD18" s="26"/>
      <c r="AE18" s="29"/>
      <c r="AF18" s="28"/>
      <c r="AG18" s="26"/>
      <c r="AH18" s="26"/>
      <c r="AI18" s="29"/>
      <c r="AJ18" s="28"/>
      <c r="AK18" s="26"/>
      <c r="AL18" s="26"/>
      <c r="AM18" s="29"/>
      <c r="AN18" s="28"/>
      <c r="AO18" s="26"/>
      <c r="AP18" s="26"/>
      <c r="AQ18" s="29"/>
      <c r="AR18" s="28"/>
      <c r="AS18" s="26"/>
      <c r="AT18" s="26"/>
      <c r="AU18" s="29"/>
      <c r="AV18" s="28"/>
      <c r="AW18" s="26"/>
      <c r="AX18" s="26"/>
      <c r="AY18" s="29"/>
      <c r="AZ18" s="28"/>
      <c r="BA18" s="26"/>
      <c r="BB18" s="26"/>
      <c r="BC18" s="29"/>
      <c r="BD18" s="28"/>
      <c r="BE18" s="26"/>
      <c r="BF18" s="26"/>
      <c r="BG18" s="29"/>
      <c r="BH18" s="28"/>
      <c r="BI18" s="26">
        <v>1</v>
      </c>
      <c r="BJ18" s="26"/>
      <c r="BK18" s="29"/>
      <c r="BL18" s="28"/>
      <c r="BM18" s="26"/>
      <c r="BN18" s="26"/>
      <c r="BO18" s="29"/>
      <c r="BP18" s="28"/>
      <c r="BQ18" s="26"/>
      <c r="BR18" s="26"/>
      <c r="BS18" s="29"/>
      <c r="BT18" s="28"/>
      <c r="BU18" s="26"/>
      <c r="BV18" s="26"/>
      <c r="BW18" s="29"/>
      <c r="BX18" s="28"/>
      <c r="BY18" s="26"/>
      <c r="BZ18" s="26"/>
      <c r="CA18" s="29"/>
      <c r="CB18" s="28"/>
      <c r="CC18" s="26"/>
      <c r="CD18" s="26"/>
      <c r="CE18" s="29"/>
      <c r="CF18" s="28"/>
      <c r="CG18" s="26"/>
      <c r="CH18" s="26"/>
      <c r="CI18" s="29"/>
      <c r="CJ18" s="28"/>
      <c r="CK18" s="26"/>
      <c r="CL18" s="26"/>
      <c r="CM18" s="29"/>
      <c r="CN18" s="28"/>
      <c r="CO18" s="26"/>
      <c r="CP18" s="26"/>
      <c r="CQ18" s="29"/>
      <c r="CR18" s="28"/>
      <c r="CS18" s="26"/>
      <c r="CT18" s="26"/>
      <c r="CU18" s="29"/>
      <c r="CV18" s="28"/>
      <c r="CW18" s="26"/>
      <c r="CX18" s="26"/>
      <c r="CY18" s="29"/>
      <c r="CZ18" s="28"/>
      <c r="DA18" s="26"/>
      <c r="DB18" s="26"/>
      <c r="DC18" s="29"/>
    </row>
    <row r="19" spans="1:107" ht="14.45" customHeight="1" x14ac:dyDescent="0.25">
      <c r="B19" s="158" t="s">
        <v>105</v>
      </c>
      <c r="C19" s="159"/>
      <c r="D19" s="160"/>
      <c r="E19" s="160"/>
      <c r="F19" s="160"/>
      <c r="G19" s="160"/>
      <c r="H19" s="28"/>
      <c r="I19" s="26"/>
      <c r="J19" s="26"/>
      <c r="K19" s="29"/>
      <c r="L19" s="28"/>
      <c r="M19" s="26"/>
      <c r="N19" s="26"/>
      <c r="O19" s="29"/>
      <c r="P19" s="28"/>
      <c r="Q19" s="26"/>
      <c r="R19" s="26"/>
      <c r="S19" s="29"/>
      <c r="T19" s="28"/>
      <c r="U19" s="26"/>
      <c r="V19" s="26"/>
      <c r="W19" s="29"/>
      <c r="X19" s="28"/>
      <c r="Y19" s="26"/>
      <c r="Z19" s="26"/>
      <c r="AA19" s="29"/>
      <c r="AB19" s="28"/>
      <c r="AC19" s="26">
        <v>1</v>
      </c>
      <c r="AD19" s="26"/>
      <c r="AE19" s="29"/>
      <c r="AF19" s="28"/>
      <c r="AG19" s="26"/>
      <c r="AH19" s="26"/>
      <c r="AI19" s="29">
        <v>1</v>
      </c>
      <c r="AJ19" s="28"/>
      <c r="AK19" s="26"/>
      <c r="AL19" s="26"/>
      <c r="AM19" s="29"/>
      <c r="AN19" s="28"/>
      <c r="AO19" s="26"/>
      <c r="AP19" s="26"/>
      <c r="AQ19" s="29"/>
      <c r="AR19" s="28"/>
      <c r="AS19" s="26"/>
      <c r="AT19" s="26"/>
      <c r="AU19" s="29"/>
      <c r="AV19" s="28"/>
      <c r="AW19" s="26"/>
      <c r="AX19" s="26"/>
      <c r="AY19" s="29"/>
      <c r="AZ19" s="28"/>
      <c r="BA19" s="26"/>
      <c r="BB19" s="26"/>
      <c r="BC19" s="29"/>
      <c r="BD19" s="28"/>
      <c r="BE19" s="26">
        <v>1</v>
      </c>
      <c r="BF19" s="26"/>
      <c r="BG19" s="29"/>
      <c r="BH19" s="28"/>
      <c r="BI19" s="26"/>
      <c r="BJ19" s="26"/>
      <c r="BK19" s="29"/>
      <c r="BL19" s="28"/>
      <c r="BM19" s="26"/>
      <c r="BN19" s="26"/>
      <c r="BO19" s="29"/>
      <c r="BP19" s="28"/>
      <c r="BQ19" s="26"/>
      <c r="BR19" s="26"/>
      <c r="BS19" s="29"/>
      <c r="BT19" s="28"/>
      <c r="BU19" s="26"/>
      <c r="BV19" s="26"/>
      <c r="BW19" s="29"/>
      <c r="BX19" s="28"/>
      <c r="BY19" s="26"/>
      <c r="BZ19" s="26"/>
      <c r="CA19" s="29"/>
      <c r="CB19" s="28"/>
      <c r="CC19" s="26"/>
      <c r="CD19" s="26"/>
      <c r="CE19" s="29"/>
      <c r="CF19" s="28"/>
      <c r="CG19" s="26"/>
      <c r="CH19" s="26"/>
      <c r="CI19" s="29"/>
      <c r="CJ19" s="28"/>
      <c r="CK19" s="26"/>
      <c r="CL19" s="26"/>
      <c r="CM19" s="29"/>
      <c r="CN19" s="28"/>
      <c r="CO19" s="26"/>
      <c r="CP19" s="26"/>
      <c r="CQ19" s="29"/>
      <c r="CR19" s="28"/>
      <c r="CS19" s="26"/>
      <c r="CT19" s="26"/>
      <c r="CU19" s="29"/>
      <c r="CV19" s="28"/>
      <c r="CW19" s="26"/>
      <c r="CX19" s="26"/>
      <c r="CY19" s="29"/>
      <c r="CZ19" s="28"/>
      <c r="DA19" s="26"/>
      <c r="DB19" s="26"/>
      <c r="DC19" s="29"/>
    </row>
    <row r="20" spans="1:107" x14ac:dyDescent="0.25">
      <c r="B20" s="158" t="s">
        <v>104</v>
      </c>
      <c r="C20" s="159"/>
      <c r="D20" s="159"/>
      <c r="E20" s="159"/>
      <c r="F20" s="159"/>
      <c r="G20" s="159"/>
      <c r="H20" s="28"/>
      <c r="I20" s="26"/>
      <c r="J20" s="26"/>
      <c r="K20" s="29"/>
      <c r="L20" s="28"/>
      <c r="M20" s="26"/>
      <c r="N20" s="26"/>
      <c r="O20" s="29"/>
      <c r="P20" s="28"/>
      <c r="Q20" s="26"/>
      <c r="R20" s="26"/>
      <c r="S20" s="29"/>
      <c r="T20" s="28">
        <v>3</v>
      </c>
      <c r="U20" s="26"/>
      <c r="V20" s="26"/>
      <c r="W20" s="29"/>
      <c r="X20" s="28"/>
      <c r="Y20" s="26"/>
      <c r="Z20" s="26"/>
      <c r="AA20" s="29"/>
      <c r="AB20" s="28"/>
      <c r="AC20" s="26"/>
      <c r="AD20" s="26"/>
      <c r="AE20" s="29"/>
      <c r="AF20" s="28">
        <v>1</v>
      </c>
      <c r="AG20" s="26"/>
      <c r="AH20" s="26"/>
      <c r="AI20" s="29"/>
      <c r="AJ20" s="28"/>
      <c r="AK20" s="26"/>
      <c r="AL20" s="26"/>
      <c r="AM20" s="29"/>
      <c r="AN20" s="28"/>
      <c r="AO20" s="26"/>
      <c r="AP20" s="26"/>
      <c r="AQ20" s="29"/>
      <c r="AR20" s="28"/>
      <c r="AS20" s="26"/>
      <c r="AT20" s="26"/>
      <c r="AU20" s="29">
        <v>3</v>
      </c>
      <c r="AV20" s="28"/>
      <c r="AW20" s="26"/>
      <c r="AX20" s="26"/>
      <c r="AY20" s="29"/>
      <c r="AZ20" s="28">
        <v>3</v>
      </c>
      <c r="BA20" s="26"/>
      <c r="BB20" s="26"/>
      <c r="BC20" s="29"/>
      <c r="BD20" s="28"/>
      <c r="BE20" s="26"/>
      <c r="BF20" s="26"/>
      <c r="BG20" s="29"/>
      <c r="BH20" s="28"/>
      <c r="BI20" s="26"/>
      <c r="BJ20" s="26"/>
      <c r="BK20" s="29"/>
      <c r="BL20" s="28"/>
      <c r="BM20" s="26"/>
      <c r="BN20" s="26"/>
      <c r="BO20" s="29"/>
      <c r="BP20" s="28"/>
      <c r="BQ20" s="26"/>
      <c r="BR20" s="26"/>
      <c r="BS20" s="29"/>
      <c r="BT20" s="28"/>
      <c r="BU20" s="26"/>
      <c r="BV20" s="26"/>
      <c r="BW20" s="29"/>
      <c r="BX20" s="28"/>
      <c r="BY20" s="26"/>
      <c r="BZ20" s="26"/>
      <c r="CA20" s="29"/>
      <c r="CB20" s="28"/>
      <c r="CC20" s="26"/>
      <c r="CD20" s="26"/>
      <c r="CE20" s="29"/>
      <c r="CF20" s="28"/>
      <c r="CG20" s="26"/>
      <c r="CH20" s="26"/>
      <c r="CI20" s="29">
        <v>3</v>
      </c>
      <c r="CJ20" s="28"/>
      <c r="CK20" s="26"/>
      <c r="CL20" s="26"/>
      <c r="CM20" s="29">
        <v>3</v>
      </c>
      <c r="CN20" s="28">
        <v>3</v>
      </c>
      <c r="CO20" s="26"/>
      <c r="CP20" s="26"/>
      <c r="CQ20" s="29"/>
      <c r="CR20" s="28"/>
      <c r="CS20" s="26"/>
      <c r="CT20" s="26"/>
      <c r="CU20" s="29"/>
      <c r="CV20" s="28"/>
      <c r="CW20" s="26"/>
      <c r="CX20" s="26"/>
      <c r="CY20" s="29"/>
      <c r="CZ20" s="28"/>
      <c r="DA20" s="26"/>
      <c r="DB20" s="26"/>
      <c r="DC20" s="29"/>
    </row>
    <row r="21" spans="1:107" ht="15.75" thickBot="1" x14ac:dyDescent="0.3">
      <c r="B21" s="161" t="s">
        <v>106</v>
      </c>
      <c r="C21" s="162"/>
      <c r="D21" s="162"/>
      <c r="E21" s="162"/>
      <c r="F21" s="162"/>
      <c r="G21" s="162"/>
      <c r="H21" s="30"/>
      <c r="I21" s="31"/>
      <c r="J21" s="31"/>
      <c r="K21" s="32"/>
      <c r="L21" s="30"/>
      <c r="M21" s="31"/>
      <c r="N21" s="31"/>
      <c r="O21" s="32"/>
      <c r="P21" s="30"/>
      <c r="Q21" s="31"/>
      <c r="R21" s="31"/>
      <c r="S21" s="32"/>
      <c r="T21" s="30"/>
      <c r="U21" s="31"/>
      <c r="V21" s="31"/>
      <c r="W21" s="32"/>
      <c r="X21" s="30"/>
      <c r="Y21" s="31"/>
      <c r="Z21" s="31"/>
      <c r="AA21" s="32"/>
      <c r="AB21" s="30"/>
      <c r="AC21" s="31"/>
      <c r="AD21" s="31"/>
      <c r="AE21" s="32"/>
      <c r="AF21" s="30"/>
      <c r="AG21" s="31"/>
      <c r="AH21" s="31"/>
      <c r="AI21" s="32"/>
      <c r="AJ21" s="30"/>
      <c r="AK21" s="31"/>
      <c r="AL21" s="31"/>
      <c r="AM21" s="32"/>
      <c r="AN21" s="30"/>
      <c r="AO21" s="31"/>
      <c r="AP21" s="31"/>
      <c r="AQ21" s="32"/>
      <c r="AR21" s="30"/>
      <c r="AS21" s="31"/>
      <c r="AT21" s="31"/>
      <c r="AU21" s="32"/>
      <c r="AV21" s="30"/>
      <c r="AW21" s="31"/>
      <c r="AX21" s="31"/>
      <c r="AY21" s="32"/>
      <c r="AZ21" s="30"/>
      <c r="BA21" s="31"/>
      <c r="BB21" s="31"/>
      <c r="BC21" s="32"/>
      <c r="BD21" s="30"/>
      <c r="BE21" s="31"/>
      <c r="BF21" s="31"/>
      <c r="BG21" s="32"/>
      <c r="BH21" s="30"/>
      <c r="BI21" s="31"/>
      <c r="BJ21" s="31"/>
      <c r="BK21" s="32"/>
      <c r="BL21" s="30"/>
      <c r="BM21" s="31"/>
      <c r="BN21" s="31"/>
      <c r="BO21" s="32"/>
      <c r="BP21" s="30"/>
      <c r="BQ21" s="31"/>
      <c r="BR21" s="31"/>
      <c r="BS21" s="32"/>
      <c r="BT21" s="30"/>
      <c r="BU21" s="31"/>
      <c r="BV21" s="31"/>
      <c r="BW21" s="32"/>
      <c r="BX21" s="30"/>
      <c r="BY21" s="31"/>
      <c r="BZ21" s="31"/>
      <c r="CA21" s="32"/>
      <c r="CB21" s="30"/>
      <c r="CC21" s="31"/>
      <c r="CD21" s="31"/>
      <c r="CE21" s="32"/>
      <c r="CF21" s="30"/>
      <c r="CG21" s="31"/>
      <c r="CH21" s="31"/>
      <c r="CI21" s="32"/>
      <c r="CJ21" s="30"/>
      <c r="CK21" s="31"/>
      <c r="CL21" s="31"/>
      <c r="CM21" s="32"/>
      <c r="CN21" s="30"/>
      <c r="CO21" s="31"/>
      <c r="CP21" s="31"/>
      <c r="CQ21" s="32"/>
      <c r="CR21" s="30"/>
      <c r="CS21" s="31"/>
      <c r="CT21" s="31"/>
      <c r="CU21" s="32"/>
      <c r="CV21" s="30"/>
      <c r="CW21" s="31"/>
      <c r="CX21" s="31"/>
      <c r="CY21" s="32"/>
      <c r="CZ21" s="30"/>
      <c r="DA21" s="31"/>
      <c r="DB21" s="31"/>
      <c r="DC21" s="32"/>
    </row>
    <row r="22" spans="1:107" x14ac:dyDescent="0.25">
      <c r="B22" s="3"/>
      <c r="C22" s="27"/>
      <c r="D22" s="23">
        <f>H22+L22+P22+T22+X22+AB22+AF22+AJ22+AN22+AR22+AV22+AZ22+BD22+BH22+BL22+BP22+BT22+BX22+CB22+CF22+CJ22+CN22+CR22+CV22+CZ22</f>
        <v>39</v>
      </c>
      <c r="E22" s="23">
        <f>I22+M22+Q22+U22+Y22+AC22+AG22+AK22+AO22+AS22+AW22+BA22+BE22+BI22+BM22+BQ22+BV22+BY22+CD22+CG22+CL22+CO22+CT22+CW22+DB22</f>
        <v>15</v>
      </c>
      <c r="F22" s="23">
        <f>J22+N22+R22+V22+Z22+AD22+AH22+AL22+AP22+AT22+AX22+BB22+BF22+BJ22+BN22+BT22+BX22+CB22+CF22+CJ22+CN22+CR22+CV22+CZ22</f>
        <v>9</v>
      </c>
      <c r="G22" s="23">
        <f>K22+O22+S22+W22+AA22+AE22+AI22+AM22+AQ22+AU22+AY22+BC22+BG22+BK22+BO22+BV22+BY22+CD22+CG22+CL22+CO22+CT22+CW22+DB22</f>
        <v>5</v>
      </c>
      <c r="H22" s="33">
        <f>SUM(H4:H21)</f>
        <v>2</v>
      </c>
      <c r="I22" s="34">
        <f>SUM(I4:I21)</f>
        <v>1</v>
      </c>
      <c r="J22" s="34">
        <f>SUM(J4:J21)</f>
        <v>1</v>
      </c>
      <c r="K22" s="35">
        <f>SUM(K4:K21)</f>
        <v>0</v>
      </c>
      <c r="L22" s="33">
        <f t="shared" ref="L22:BW22" si="4">SUM(L4:L21)</f>
        <v>1</v>
      </c>
      <c r="M22" s="34">
        <f t="shared" si="4"/>
        <v>1</v>
      </c>
      <c r="N22" s="34">
        <f t="shared" si="4"/>
        <v>0</v>
      </c>
      <c r="O22" s="35">
        <f t="shared" si="4"/>
        <v>0</v>
      </c>
      <c r="P22" s="33">
        <f t="shared" si="4"/>
        <v>0</v>
      </c>
      <c r="Q22" s="34">
        <f t="shared" si="4"/>
        <v>1</v>
      </c>
      <c r="R22" s="34">
        <f t="shared" si="4"/>
        <v>0</v>
      </c>
      <c r="S22" s="35">
        <f t="shared" si="4"/>
        <v>0</v>
      </c>
      <c r="T22" s="33">
        <f t="shared" si="4"/>
        <v>3</v>
      </c>
      <c r="U22" s="34">
        <f t="shared" si="4"/>
        <v>0</v>
      </c>
      <c r="V22" s="34">
        <f t="shared" si="4"/>
        <v>0</v>
      </c>
      <c r="W22" s="35">
        <f t="shared" si="4"/>
        <v>0</v>
      </c>
      <c r="X22" s="33">
        <f t="shared" si="4"/>
        <v>4</v>
      </c>
      <c r="Y22" s="34">
        <f t="shared" si="4"/>
        <v>1</v>
      </c>
      <c r="Z22" s="34">
        <f t="shared" si="4"/>
        <v>0</v>
      </c>
      <c r="AA22" s="35">
        <f t="shared" si="4"/>
        <v>0</v>
      </c>
      <c r="AB22" s="33">
        <f t="shared" si="4"/>
        <v>3</v>
      </c>
      <c r="AC22" s="34">
        <f t="shared" si="4"/>
        <v>2</v>
      </c>
      <c r="AD22" s="34">
        <f t="shared" si="4"/>
        <v>0</v>
      </c>
      <c r="AE22" s="35">
        <f t="shared" si="4"/>
        <v>0</v>
      </c>
      <c r="AF22" s="33">
        <f t="shared" si="4"/>
        <v>3</v>
      </c>
      <c r="AG22" s="34">
        <f t="shared" si="4"/>
        <v>0</v>
      </c>
      <c r="AH22" s="34">
        <f t="shared" si="4"/>
        <v>0</v>
      </c>
      <c r="AI22" s="35">
        <f t="shared" si="4"/>
        <v>1</v>
      </c>
      <c r="AJ22" s="33">
        <f t="shared" si="4"/>
        <v>0</v>
      </c>
      <c r="AK22" s="34">
        <f t="shared" si="4"/>
        <v>2</v>
      </c>
      <c r="AL22" s="34">
        <f t="shared" si="4"/>
        <v>0</v>
      </c>
      <c r="AM22" s="35">
        <f t="shared" si="4"/>
        <v>0</v>
      </c>
      <c r="AN22" s="33">
        <f t="shared" si="4"/>
        <v>1</v>
      </c>
      <c r="AO22" s="34">
        <f t="shared" si="4"/>
        <v>0</v>
      </c>
      <c r="AP22" s="34">
        <f t="shared" si="4"/>
        <v>0</v>
      </c>
      <c r="AQ22" s="35">
        <f t="shared" si="4"/>
        <v>0</v>
      </c>
      <c r="AR22" s="33">
        <f t="shared" si="4"/>
        <v>0</v>
      </c>
      <c r="AS22" s="34">
        <f t="shared" si="4"/>
        <v>0</v>
      </c>
      <c r="AT22" s="34">
        <f t="shared" si="4"/>
        <v>0</v>
      </c>
      <c r="AU22" s="35">
        <f t="shared" si="4"/>
        <v>3</v>
      </c>
      <c r="AV22" s="33">
        <f t="shared" si="4"/>
        <v>1</v>
      </c>
      <c r="AW22" s="34">
        <f t="shared" si="4"/>
        <v>0</v>
      </c>
      <c r="AX22" s="34">
        <f t="shared" si="4"/>
        <v>0</v>
      </c>
      <c r="AY22" s="35">
        <f t="shared" si="4"/>
        <v>0</v>
      </c>
      <c r="AZ22" s="33">
        <f t="shared" si="4"/>
        <v>3</v>
      </c>
      <c r="BA22" s="34">
        <f t="shared" si="4"/>
        <v>0</v>
      </c>
      <c r="BB22" s="34">
        <f t="shared" si="4"/>
        <v>0</v>
      </c>
      <c r="BC22" s="35">
        <f t="shared" si="4"/>
        <v>0</v>
      </c>
      <c r="BD22" s="33">
        <f t="shared" si="4"/>
        <v>3</v>
      </c>
      <c r="BE22" s="34">
        <f t="shared" si="4"/>
        <v>4</v>
      </c>
      <c r="BF22" s="34">
        <f t="shared" si="4"/>
        <v>1</v>
      </c>
      <c r="BG22" s="35">
        <f t="shared" si="4"/>
        <v>0</v>
      </c>
      <c r="BH22" s="33">
        <f t="shared" si="4"/>
        <v>2</v>
      </c>
      <c r="BI22" s="34">
        <f t="shared" si="4"/>
        <v>1</v>
      </c>
      <c r="BJ22" s="34">
        <f t="shared" si="4"/>
        <v>0</v>
      </c>
      <c r="BK22" s="35">
        <f t="shared" si="4"/>
        <v>0</v>
      </c>
      <c r="BL22" s="33">
        <f t="shared" si="4"/>
        <v>3</v>
      </c>
      <c r="BM22" s="34">
        <f t="shared" si="4"/>
        <v>0</v>
      </c>
      <c r="BN22" s="34">
        <f t="shared" si="4"/>
        <v>0</v>
      </c>
      <c r="BO22" s="35">
        <f t="shared" si="4"/>
        <v>0</v>
      </c>
      <c r="BP22" s="33">
        <f t="shared" si="4"/>
        <v>3</v>
      </c>
      <c r="BQ22" s="34">
        <f t="shared" si="4"/>
        <v>1</v>
      </c>
      <c r="BR22" s="34">
        <f t="shared" si="4"/>
        <v>0</v>
      </c>
      <c r="BS22" s="35">
        <f t="shared" si="4"/>
        <v>0</v>
      </c>
      <c r="BT22" s="33">
        <f t="shared" si="4"/>
        <v>1</v>
      </c>
      <c r="BU22" s="34">
        <f t="shared" si="4"/>
        <v>1</v>
      </c>
      <c r="BV22" s="34">
        <f t="shared" si="4"/>
        <v>0</v>
      </c>
      <c r="BW22" s="35">
        <f t="shared" si="4"/>
        <v>0</v>
      </c>
      <c r="BX22" s="33">
        <f t="shared" ref="BX22:DC22" si="5">SUM(BX4:BX21)</f>
        <v>1</v>
      </c>
      <c r="BY22" s="34">
        <f t="shared" si="5"/>
        <v>0</v>
      </c>
      <c r="BZ22" s="34">
        <f t="shared" si="5"/>
        <v>0</v>
      </c>
      <c r="CA22" s="35">
        <f t="shared" si="5"/>
        <v>0</v>
      </c>
      <c r="CB22" s="33">
        <f t="shared" si="5"/>
        <v>2</v>
      </c>
      <c r="CC22" s="34">
        <f t="shared" si="5"/>
        <v>0</v>
      </c>
      <c r="CD22" s="34">
        <f t="shared" si="5"/>
        <v>0</v>
      </c>
      <c r="CE22" s="35">
        <f t="shared" si="5"/>
        <v>0</v>
      </c>
      <c r="CF22" s="33">
        <f t="shared" si="5"/>
        <v>0</v>
      </c>
      <c r="CG22" s="34">
        <f t="shared" si="5"/>
        <v>1</v>
      </c>
      <c r="CH22" s="34">
        <f t="shared" si="5"/>
        <v>0</v>
      </c>
      <c r="CI22" s="35">
        <f t="shared" si="5"/>
        <v>3</v>
      </c>
      <c r="CJ22" s="33">
        <f t="shared" si="5"/>
        <v>0</v>
      </c>
      <c r="CK22" s="34">
        <f t="shared" si="5"/>
        <v>0</v>
      </c>
      <c r="CL22" s="34">
        <f t="shared" si="5"/>
        <v>0</v>
      </c>
      <c r="CM22" s="35">
        <f t="shared" si="5"/>
        <v>3</v>
      </c>
      <c r="CN22" s="33">
        <f t="shared" si="5"/>
        <v>3</v>
      </c>
      <c r="CO22" s="34">
        <f t="shared" si="5"/>
        <v>0</v>
      </c>
      <c r="CP22" s="34">
        <f t="shared" si="5"/>
        <v>0</v>
      </c>
      <c r="CQ22" s="35">
        <f t="shared" si="5"/>
        <v>0</v>
      </c>
      <c r="CR22" s="33">
        <f t="shared" si="5"/>
        <v>0</v>
      </c>
      <c r="CS22" s="34">
        <f t="shared" si="5"/>
        <v>0</v>
      </c>
      <c r="CT22" s="34">
        <f t="shared" si="5"/>
        <v>0</v>
      </c>
      <c r="CU22" s="35">
        <f t="shared" si="5"/>
        <v>0</v>
      </c>
      <c r="CV22" s="33">
        <f t="shared" si="5"/>
        <v>0</v>
      </c>
      <c r="CW22" s="34">
        <f t="shared" si="5"/>
        <v>0</v>
      </c>
      <c r="CX22" s="34">
        <f t="shared" si="5"/>
        <v>0</v>
      </c>
      <c r="CY22" s="35">
        <f t="shared" si="5"/>
        <v>0</v>
      </c>
      <c r="CZ22" s="33">
        <f t="shared" si="5"/>
        <v>0</v>
      </c>
      <c r="DA22" s="34">
        <f t="shared" si="5"/>
        <v>0</v>
      </c>
      <c r="DB22" s="34">
        <f t="shared" si="5"/>
        <v>0</v>
      </c>
      <c r="DC22" s="35">
        <f t="shared" si="5"/>
        <v>0</v>
      </c>
    </row>
    <row r="23" spans="1:107" ht="14.45" customHeight="1" x14ac:dyDescent="0.25">
      <c r="B23" s="3"/>
      <c r="C23" s="27"/>
      <c r="D23" s="148" t="s">
        <v>86</v>
      </c>
      <c r="E23" s="148" t="s">
        <v>97</v>
      </c>
      <c r="F23" s="148" t="s">
        <v>99</v>
      </c>
      <c r="G23" s="148" t="s">
        <v>98</v>
      </c>
      <c r="H23" s="145" t="s">
        <v>86</v>
      </c>
      <c r="I23" s="148" t="s">
        <v>97</v>
      </c>
      <c r="J23" s="148" t="s">
        <v>99</v>
      </c>
      <c r="K23" s="151" t="s">
        <v>98</v>
      </c>
      <c r="L23" s="145" t="s">
        <v>86</v>
      </c>
      <c r="M23" s="148" t="s">
        <v>97</v>
      </c>
      <c r="N23" s="148" t="s">
        <v>99</v>
      </c>
      <c r="O23" s="151" t="s">
        <v>98</v>
      </c>
      <c r="P23" s="145" t="s">
        <v>86</v>
      </c>
      <c r="Q23" s="148" t="s">
        <v>97</v>
      </c>
      <c r="R23" s="148" t="s">
        <v>99</v>
      </c>
      <c r="S23" s="151" t="s">
        <v>98</v>
      </c>
      <c r="T23" s="145" t="s">
        <v>86</v>
      </c>
      <c r="U23" s="148" t="s">
        <v>97</v>
      </c>
      <c r="V23" s="148" t="s">
        <v>99</v>
      </c>
      <c r="W23" s="151" t="s">
        <v>98</v>
      </c>
      <c r="X23" s="145" t="s">
        <v>86</v>
      </c>
      <c r="Y23" s="148" t="s">
        <v>97</v>
      </c>
      <c r="Z23" s="148" t="s">
        <v>99</v>
      </c>
      <c r="AA23" s="151" t="s">
        <v>98</v>
      </c>
      <c r="AB23" s="145" t="s">
        <v>86</v>
      </c>
      <c r="AC23" s="148" t="s">
        <v>97</v>
      </c>
      <c r="AD23" s="148" t="s">
        <v>99</v>
      </c>
      <c r="AE23" s="151" t="s">
        <v>98</v>
      </c>
      <c r="AF23" s="145" t="s">
        <v>86</v>
      </c>
      <c r="AG23" s="148" t="s">
        <v>97</v>
      </c>
      <c r="AH23" s="148" t="s">
        <v>99</v>
      </c>
      <c r="AI23" s="151" t="s">
        <v>98</v>
      </c>
      <c r="AJ23" s="145" t="s">
        <v>86</v>
      </c>
      <c r="AK23" s="148" t="s">
        <v>97</v>
      </c>
      <c r="AL23" s="148" t="s">
        <v>99</v>
      </c>
      <c r="AM23" s="151" t="s">
        <v>98</v>
      </c>
      <c r="AN23" s="145" t="s">
        <v>86</v>
      </c>
      <c r="AO23" s="148" t="s">
        <v>97</v>
      </c>
      <c r="AP23" s="148" t="s">
        <v>99</v>
      </c>
      <c r="AQ23" s="151" t="s">
        <v>98</v>
      </c>
      <c r="AR23" s="145" t="s">
        <v>86</v>
      </c>
      <c r="AS23" s="148" t="s">
        <v>97</v>
      </c>
      <c r="AT23" s="148" t="s">
        <v>99</v>
      </c>
      <c r="AU23" s="151" t="s">
        <v>98</v>
      </c>
      <c r="AV23" s="145" t="s">
        <v>86</v>
      </c>
      <c r="AW23" s="148" t="s">
        <v>97</v>
      </c>
      <c r="AX23" s="148" t="s">
        <v>99</v>
      </c>
      <c r="AY23" s="151" t="s">
        <v>98</v>
      </c>
      <c r="AZ23" s="145" t="s">
        <v>86</v>
      </c>
      <c r="BA23" s="148" t="s">
        <v>97</v>
      </c>
      <c r="BB23" s="148" t="s">
        <v>99</v>
      </c>
      <c r="BC23" s="151" t="s">
        <v>98</v>
      </c>
      <c r="BD23" s="145" t="s">
        <v>86</v>
      </c>
      <c r="BE23" s="148" t="s">
        <v>97</v>
      </c>
      <c r="BF23" s="148" t="s">
        <v>99</v>
      </c>
      <c r="BG23" s="151" t="s">
        <v>98</v>
      </c>
      <c r="BH23" s="145" t="s">
        <v>86</v>
      </c>
      <c r="BI23" s="148" t="s">
        <v>97</v>
      </c>
      <c r="BJ23" s="148" t="s">
        <v>99</v>
      </c>
      <c r="BK23" s="151" t="s">
        <v>98</v>
      </c>
      <c r="BL23" s="145" t="s">
        <v>86</v>
      </c>
      <c r="BM23" s="148" t="s">
        <v>97</v>
      </c>
      <c r="BN23" s="148" t="s">
        <v>99</v>
      </c>
      <c r="BO23" s="151" t="s">
        <v>98</v>
      </c>
      <c r="BP23" s="145" t="s">
        <v>86</v>
      </c>
      <c r="BQ23" s="148" t="s">
        <v>97</v>
      </c>
      <c r="BR23" s="148" t="s">
        <v>99</v>
      </c>
      <c r="BS23" s="151" t="s">
        <v>98</v>
      </c>
      <c r="BT23" s="145" t="s">
        <v>86</v>
      </c>
      <c r="BU23" s="148" t="s">
        <v>97</v>
      </c>
      <c r="BV23" s="148" t="s">
        <v>99</v>
      </c>
      <c r="BW23" s="151" t="s">
        <v>98</v>
      </c>
      <c r="BX23" s="145" t="s">
        <v>86</v>
      </c>
      <c r="BY23" s="148" t="s">
        <v>97</v>
      </c>
      <c r="BZ23" s="148" t="s">
        <v>99</v>
      </c>
      <c r="CA23" s="151" t="s">
        <v>98</v>
      </c>
      <c r="CB23" s="145" t="s">
        <v>86</v>
      </c>
      <c r="CC23" s="148" t="s">
        <v>97</v>
      </c>
      <c r="CD23" s="148" t="s">
        <v>99</v>
      </c>
      <c r="CE23" s="151" t="s">
        <v>98</v>
      </c>
      <c r="CF23" s="145" t="s">
        <v>86</v>
      </c>
      <c r="CG23" s="148" t="s">
        <v>97</v>
      </c>
      <c r="CH23" s="148" t="s">
        <v>99</v>
      </c>
      <c r="CI23" s="151" t="s">
        <v>98</v>
      </c>
      <c r="CJ23" s="145" t="s">
        <v>86</v>
      </c>
      <c r="CK23" s="148" t="s">
        <v>97</v>
      </c>
      <c r="CL23" s="148" t="s">
        <v>99</v>
      </c>
      <c r="CM23" s="151" t="s">
        <v>98</v>
      </c>
      <c r="CN23" s="145" t="s">
        <v>86</v>
      </c>
      <c r="CO23" s="148" t="s">
        <v>97</v>
      </c>
      <c r="CP23" s="148" t="s">
        <v>99</v>
      </c>
      <c r="CQ23" s="151" t="s">
        <v>98</v>
      </c>
      <c r="CR23" s="145" t="s">
        <v>86</v>
      </c>
      <c r="CS23" s="148" t="s">
        <v>97</v>
      </c>
      <c r="CT23" s="148" t="s">
        <v>99</v>
      </c>
      <c r="CU23" s="151" t="s">
        <v>98</v>
      </c>
      <c r="CV23" s="145" t="s">
        <v>86</v>
      </c>
      <c r="CW23" s="148" t="s">
        <v>97</v>
      </c>
      <c r="CX23" s="148" t="s">
        <v>99</v>
      </c>
      <c r="CY23" s="151" t="s">
        <v>98</v>
      </c>
      <c r="CZ23" s="145" t="s">
        <v>86</v>
      </c>
      <c r="DA23" s="148" t="s">
        <v>97</v>
      </c>
      <c r="DB23" s="148" t="s">
        <v>99</v>
      </c>
      <c r="DC23" s="151" t="s">
        <v>98</v>
      </c>
    </row>
    <row r="24" spans="1:107" x14ac:dyDescent="0.25">
      <c r="B24" s="3"/>
      <c r="C24" s="27"/>
      <c r="D24" s="149"/>
      <c r="E24" s="149"/>
      <c r="F24" s="149"/>
      <c r="G24" s="149"/>
      <c r="H24" s="146"/>
      <c r="I24" s="149"/>
      <c r="J24" s="149"/>
      <c r="K24" s="152"/>
      <c r="L24" s="146"/>
      <c r="M24" s="149"/>
      <c r="N24" s="149"/>
      <c r="O24" s="152"/>
      <c r="P24" s="146"/>
      <c r="Q24" s="149"/>
      <c r="R24" s="149"/>
      <c r="S24" s="152"/>
      <c r="T24" s="146"/>
      <c r="U24" s="149"/>
      <c r="V24" s="149"/>
      <c r="W24" s="152"/>
      <c r="X24" s="146"/>
      <c r="Y24" s="149"/>
      <c r="Z24" s="149"/>
      <c r="AA24" s="152"/>
      <c r="AB24" s="146"/>
      <c r="AC24" s="149"/>
      <c r="AD24" s="149"/>
      <c r="AE24" s="152"/>
      <c r="AF24" s="146"/>
      <c r="AG24" s="149"/>
      <c r="AH24" s="149"/>
      <c r="AI24" s="152"/>
      <c r="AJ24" s="146"/>
      <c r="AK24" s="149"/>
      <c r="AL24" s="149"/>
      <c r="AM24" s="152"/>
      <c r="AN24" s="146"/>
      <c r="AO24" s="149"/>
      <c r="AP24" s="149"/>
      <c r="AQ24" s="152"/>
      <c r="AR24" s="146"/>
      <c r="AS24" s="149"/>
      <c r="AT24" s="149"/>
      <c r="AU24" s="152"/>
      <c r="AV24" s="146"/>
      <c r="AW24" s="149"/>
      <c r="AX24" s="149"/>
      <c r="AY24" s="152"/>
      <c r="AZ24" s="146"/>
      <c r="BA24" s="149"/>
      <c r="BB24" s="149"/>
      <c r="BC24" s="152"/>
      <c r="BD24" s="146"/>
      <c r="BE24" s="149"/>
      <c r="BF24" s="149"/>
      <c r="BG24" s="152"/>
      <c r="BH24" s="146"/>
      <c r="BI24" s="149"/>
      <c r="BJ24" s="149"/>
      <c r="BK24" s="152"/>
      <c r="BL24" s="146"/>
      <c r="BM24" s="149"/>
      <c r="BN24" s="149"/>
      <c r="BO24" s="152"/>
      <c r="BP24" s="146"/>
      <c r="BQ24" s="149"/>
      <c r="BR24" s="149"/>
      <c r="BS24" s="152"/>
      <c r="BT24" s="146"/>
      <c r="BU24" s="149"/>
      <c r="BV24" s="149"/>
      <c r="BW24" s="152"/>
      <c r="BX24" s="146"/>
      <c r="BY24" s="149"/>
      <c r="BZ24" s="149"/>
      <c r="CA24" s="152"/>
      <c r="CB24" s="146"/>
      <c r="CC24" s="149"/>
      <c r="CD24" s="149"/>
      <c r="CE24" s="152"/>
      <c r="CF24" s="146"/>
      <c r="CG24" s="149"/>
      <c r="CH24" s="149"/>
      <c r="CI24" s="152"/>
      <c r="CJ24" s="146"/>
      <c r="CK24" s="149"/>
      <c r="CL24" s="149"/>
      <c r="CM24" s="152"/>
      <c r="CN24" s="146"/>
      <c r="CO24" s="149"/>
      <c r="CP24" s="149"/>
      <c r="CQ24" s="152"/>
      <c r="CR24" s="146"/>
      <c r="CS24" s="149"/>
      <c r="CT24" s="149"/>
      <c r="CU24" s="152"/>
      <c r="CV24" s="146"/>
      <c r="CW24" s="149"/>
      <c r="CX24" s="149"/>
      <c r="CY24" s="152"/>
      <c r="CZ24" s="146"/>
      <c r="DA24" s="149"/>
      <c r="DB24" s="149"/>
      <c r="DC24" s="152"/>
    </row>
    <row r="25" spans="1:107" x14ac:dyDescent="0.25">
      <c r="D25" s="149"/>
      <c r="E25" s="149"/>
      <c r="F25" s="149"/>
      <c r="G25" s="149"/>
      <c r="H25" s="146"/>
      <c r="I25" s="149"/>
      <c r="J25" s="149"/>
      <c r="K25" s="152"/>
      <c r="L25" s="146"/>
      <c r="M25" s="149"/>
      <c r="N25" s="149"/>
      <c r="O25" s="152"/>
      <c r="P25" s="146"/>
      <c r="Q25" s="149"/>
      <c r="R25" s="149"/>
      <c r="S25" s="152"/>
      <c r="T25" s="146"/>
      <c r="U25" s="149"/>
      <c r="V25" s="149"/>
      <c r="W25" s="152"/>
      <c r="X25" s="146"/>
      <c r="Y25" s="149"/>
      <c r="Z25" s="149"/>
      <c r="AA25" s="152"/>
      <c r="AB25" s="146"/>
      <c r="AC25" s="149"/>
      <c r="AD25" s="149"/>
      <c r="AE25" s="152"/>
      <c r="AF25" s="146"/>
      <c r="AG25" s="149"/>
      <c r="AH25" s="149"/>
      <c r="AI25" s="152"/>
      <c r="AJ25" s="146"/>
      <c r="AK25" s="149"/>
      <c r="AL25" s="149"/>
      <c r="AM25" s="152"/>
      <c r="AN25" s="146"/>
      <c r="AO25" s="149"/>
      <c r="AP25" s="149"/>
      <c r="AQ25" s="152"/>
      <c r="AR25" s="146"/>
      <c r="AS25" s="149"/>
      <c r="AT25" s="149"/>
      <c r="AU25" s="152"/>
      <c r="AV25" s="146"/>
      <c r="AW25" s="149"/>
      <c r="AX25" s="149"/>
      <c r="AY25" s="152"/>
      <c r="AZ25" s="146"/>
      <c r="BA25" s="149"/>
      <c r="BB25" s="149"/>
      <c r="BC25" s="152"/>
      <c r="BD25" s="146"/>
      <c r="BE25" s="149"/>
      <c r="BF25" s="149"/>
      <c r="BG25" s="152"/>
      <c r="BH25" s="146"/>
      <c r="BI25" s="149"/>
      <c r="BJ25" s="149"/>
      <c r="BK25" s="152"/>
      <c r="BL25" s="146"/>
      <c r="BM25" s="149"/>
      <c r="BN25" s="149"/>
      <c r="BO25" s="152"/>
      <c r="BP25" s="146"/>
      <c r="BQ25" s="149"/>
      <c r="BR25" s="149"/>
      <c r="BS25" s="152"/>
      <c r="BT25" s="146"/>
      <c r="BU25" s="149"/>
      <c r="BV25" s="149"/>
      <c r="BW25" s="152"/>
      <c r="BX25" s="146"/>
      <c r="BY25" s="149"/>
      <c r="BZ25" s="149"/>
      <c r="CA25" s="152"/>
      <c r="CB25" s="146"/>
      <c r="CC25" s="149"/>
      <c r="CD25" s="149"/>
      <c r="CE25" s="152"/>
      <c r="CF25" s="146"/>
      <c r="CG25" s="149"/>
      <c r="CH25" s="149"/>
      <c r="CI25" s="152"/>
      <c r="CJ25" s="146"/>
      <c r="CK25" s="149"/>
      <c r="CL25" s="149"/>
      <c r="CM25" s="152"/>
      <c r="CN25" s="146"/>
      <c r="CO25" s="149"/>
      <c r="CP25" s="149"/>
      <c r="CQ25" s="152"/>
      <c r="CR25" s="146"/>
      <c r="CS25" s="149"/>
      <c r="CT25" s="149"/>
      <c r="CU25" s="152"/>
      <c r="CV25" s="146"/>
      <c r="CW25" s="149"/>
      <c r="CX25" s="149"/>
      <c r="CY25" s="152"/>
      <c r="CZ25" s="146"/>
      <c r="DA25" s="149"/>
      <c r="DB25" s="149"/>
      <c r="DC25" s="152"/>
    </row>
    <row r="26" spans="1:107" ht="15.75" thickBot="1" x14ac:dyDescent="0.3">
      <c r="D26" s="149"/>
      <c r="E26" s="149"/>
      <c r="F26" s="149"/>
      <c r="G26" s="149"/>
      <c r="H26" s="147"/>
      <c r="I26" s="150"/>
      <c r="J26" s="150"/>
      <c r="K26" s="153"/>
      <c r="L26" s="147"/>
      <c r="M26" s="150"/>
      <c r="N26" s="150"/>
      <c r="O26" s="153"/>
      <c r="P26" s="147"/>
      <c r="Q26" s="150"/>
      <c r="R26" s="150"/>
      <c r="S26" s="153"/>
      <c r="T26" s="147"/>
      <c r="U26" s="150"/>
      <c r="V26" s="150"/>
      <c r="W26" s="153"/>
      <c r="X26" s="147"/>
      <c r="Y26" s="150"/>
      <c r="Z26" s="150"/>
      <c r="AA26" s="153"/>
      <c r="AB26" s="147"/>
      <c r="AC26" s="150"/>
      <c r="AD26" s="150"/>
      <c r="AE26" s="153"/>
      <c r="AF26" s="147"/>
      <c r="AG26" s="150"/>
      <c r="AH26" s="150"/>
      <c r="AI26" s="153"/>
      <c r="AJ26" s="147"/>
      <c r="AK26" s="150"/>
      <c r="AL26" s="150"/>
      <c r="AM26" s="153"/>
      <c r="AN26" s="147"/>
      <c r="AO26" s="150"/>
      <c r="AP26" s="150"/>
      <c r="AQ26" s="153"/>
      <c r="AR26" s="147"/>
      <c r="AS26" s="150"/>
      <c r="AT26" s="150"/>
      <c r="AU26" s="153"/>
      <c r="AV26" s="147"/>
      <c r="AW26" s="150"/>
      <c r="AX26" s="150"/>
      <c r="AY26" s="153"/>
      <c r="AZ26" s="147"/>
      <c r="BA26" s="150"/>
      <c r="BB26" s="150"/>
      <c r="BC26" s="153"/>
      <c r="BD26" s="147"/>
      <c r="BE26" s="150"/>
      <c r="BF26" s="150"/>
      <c r="BG26" s="153"/>
      <c r="BH26" s="147"/>
      <c r="BI26" s="150"/>
      <c r="BJ26" s="150"/>
      <c r="BK26" s="153"/>
      <c r="BL26" s="147"/>
      <c r="BM26" s="150"/>
      <c r="BN26" s="150"/>
      <c r="BO26" s="153"/>
      <c r="BP26" s="147"/>
      <c r="BQ26" s="150"/>
      <c r="BR26" s="150"/>
      <c r="BS26" s="153"/>
      <c r="BT26" s="147"/>
      <c r="BU26" s="150"/>
      <c r="BV26" s="150"/>
      <c r="BW26" s="153"/>
      <c r="BX26" s="147"/>
      <c r="BY26" s="150"/>
      <c r="BZ26" s="150"/>
      <c r="CA26" s="153"/>
      <c r="CB26" s="147"/>
      <c r="CC26" s="150"/>
      <c r="CD26" s="150"/>
      <c r="CE26" s="153"/>
      <c r="CF26" s="147"/>
      <c r="CG26" s="150"/>
      <c r="CH26" s="150"/>
      <c r="CI26" s="153"/>
      <c r="CJ26" s="147"/>
      <c r="CK26" s="150"/>
      <c r="CL26" s="150"/>
      <c r="CM26" s="153"/>
      <c r="CN26" s="147"/>
      <c r="CO26" s="150"/>
      <c r="CP26" s="150"/>
      <c r="CQ26" s="153"/>
      <c r="CR26" s="147"/>
      <c r="CS26" s="150"/>
      <c r="CT26" s="150"/>
      <c r="CU26" s="153"/>
      <c r="CV26" s="147"/>
      <c r="CW26" s="150"/>
      <c r="CX26" s="150"/>
      <c r="CY26" s="153"/>
      <c r="CZ26" s="147"/>
      <c r="DA26" s="150"/>
      <c r="DB26" s="150"/>
      <c r="DC26" s="153"/>
    </row>
    <row r="27" spans="1:107" ht="15.75" x14ac:dyDescent="0.25">
      <c r="H27" s="80"/>
      <c r="L27" s="80"/>
    </row>
  </sheetData>
  <mergeCells count="200">
    <mergeCell ref="CB2:CE2"/>
    <mergeCell ref="CF2:CI2"/>
    <mergeCell ref="CJ2:CM2"/>
    <mergeCell ref="CN2:CQ2"/>
    <mergeCell ref="CR2:CU2"/>
    <mergeCell ref="CV2:CY2"/>
    <mergeCell ref="CZ2:DC2"/>
    <mergeCell ref="AR2:AU2"/>
    <mergeCell ref="AV2:AY2"/>
    <mergeCell ref="BH2:BK2"/>
    <mergeCell ref="BL2:BO2"/>
    <mergeCell ref="BP2:BS2"/>
    <mergeCell ref="BT2:BW2"/>
    <mergeCell ref="BX2:CA2"/>
    <mergeCell ref="AJ1:AM1"/>
    <mergeCell ref="AN1:AQ1"/>
    <mergeCell ref="AR1:AU1"/>
    <mergeCell ref="AV1:AY1"/>
    <mergeCell ref="AZ2:BC2"/>
    <mergeCell ref="BD2:BG2"/>
    <mergeCell ref="P2:S2"/>
    <mergeCell ref="T2:W2"/>
    <mergeCell ref="X2:AA2"/>
    <mergeCell ref="AB2:AE2"/>
    <mergeCell ref="AF2:AI2"/>
    <mergeCell ref="AJ2:AM2"/>
    <mergeCell ref="AN2:AQ2"/>
    <mergeCell ref="CV1:CY1"/>
    <mergeCell ref="CZ1:DC1"/>
    <mergeCell ref="BX1:CA1"/>
    <mergeCell ref="CB1:CE1"/>
    <mergeCell ref="CF1:CI1"/>
    <mergeCell ref="CJ1:CM1"/>
    <mergeCell ref="CN1:CQ1"/>
    <mergeCell ref="CR1:CU1"/>
    <mergeCell ref="AZ1:BC1"/>
    <mergeCell ref="BD1:BG1"/>
    <mergeCell ref="BH1:BK1"/>
    <mergeCell ref="BL1:BO1"/>
    <mergeCell ref="BP1:BS1"/>
    <mergeCell ref="BT1:BW1"/>
    <mergeCell ref="AV3:AY3"/>
    <mergeCell ref="AZ3:BC3"/>
    <mergeCell ref="BD3:BG3"/>
    <mergeCell ref="BH3:BK3"/>
    <mergeCell ref="BL3:BO3"/>
    <mergeCell ref="A1:C3"/>
    <mergeCell ref="H1:K1"/>
    <mergeCell ref="L1:O1"/>
    <mergeCell ref="H3:K3"/>
    <mergeCell ref="L3:O3"/>
    <mergeCell ref="P3:S3"/>
    <mergeCell ref="T3:W3"/>
    <mergeCell ref="X3:AA3"/>
    <mergeCell ref="AB3:AE3"/>
    <mergeCell ref="AF3:AI3"/>
    <mergeCell ref="AJ3:AM3"/>
    <mergeCell ref="AN3:AQ3"/>
    <mergeCell ref="H2:K2"/>
    <mergeCell ref="L2:O2"/>
    <mergeCell ref="P1:S1"/>
    <mergeCell ref="T1:W1"/>
    <mergeCell ref="X1:AA1"/>
    <mergeCell ref="AB1:AE1"/>
    <mergeCell ref="AF1:AI1"/>
    <mergeCell ref="B10:C10"/>
    <mergeCell ref="B11:C11"/>
    <mergeCell ref="B12:C12"/>
    <mergeCell ref="B13:C13"/>
    <mergeCell ref="B14:C14"/>
    <mergeCell ref="B15:C15"/>
    <mergeCell ref="CV3:CY3"/>
    <mergeCell ref="CZ3:DC3"/>
    <mergeCell ref="A4:A18"/>
    <mergeCell ref="B4:C4"/>
    <mergeCell ref="B5:C5"/>
    <mergeCell ref="B6:C6"/>
    <mergeCell ref="B7:C7"/>
    <mergeCell ref="B8:C8"/>
    <mergeCell ref="B9:C9"/>
    <mergeCell ref="CN3:CQ3"/>
    <mergeCell ref="CR3:CU3"/>
    <mergeCell ref="BP3:BS3"/>
    <mergeCell ref="BT3:BW3"/>
    <mergeCell ref="BX3:CA3"/>
    <mergeCell ref="CB3:CE3"/>
    <mergeCell ref="CF3:CI3"/>
    <mergeCell ref="CJ3:CM3"/>
    <mergeCell ref="AR3:AU3"/>
    <mergeCell ref="H23:H26"/>
    <mergeCell ref="I23:I26"/>
    <mergeCell ref="J23:J26"/>
    <mergeCell ref="K23:K26"/>
    <mergeCell ref="L23:L26"/>
    <mergeCell ref="M23:M26"/>
    <mergeCell ref="B16:C16"/>
    <mergeCell ref="B18:C18"/>
    <mergeCell ref="B19:G19"/>
    <mergeCell ref="B20:G20"/>
    <mergeCell ref="B21:G21"/>
    <mergeCell ref="D23:D26"/>
    <mergeCell ref="E23:E26"/>
    <mergeCell ref="F23:F26"/>
    <mergeCell ref="G23:G26"/>
    <mergeCell ref="B17:C17"/>
    <mergeCell ref="T23:T26"/>
    <mergeCell ref="U23:U26"/>
    <mergeCell ref="V23:V26"/>
    <mergeCell ref="W23:W26"/>
    <mergeCell ref="X23:X26"/>
    <mergeCell ref="Y23:Y26"/>
    <mergeCell ref="N23:N26"/>
    <mergeCell ref="O23:O26"/>
    <mergeCell ref="P23:P26"/>
    <mergeCell ref="Q23:Q26"/>
    <mergeCell ref="R23:R26"/>
    <mergeCell ref="S23:S26"/>
    <mergeCell ref="AF23:AF26"/>
    <mergeCell ref="AG23:AG26"/>
    <mergeCell ref="AH23:AH26"/>
    <mergeCell ref="AI23:AI26"/>
    <mergeCell ref="AJ23:AJ26"/>
    <mergeCell ref="AK23:AK26"/>
    <mergeCell ref="Z23:Z26"/>
    <mergeCell ref="AA23:AA26"/>
    <mergeCell ref="AB23:AB26"/>
    <mergeCell ref="AC23:AC26"/>
    <mergeCell ref="AD23:AD26"/>
    <mergeCell ref="AE23:AE26"/>
    <mergeCell ref="AR23:AR26"/>
    <mergeCell ref="AS23:AS26"/>
    <mergeCell ref="AT23:AT26"/>
    <mergeCell ref="AU23:AU26"/>
    <mergeCell ref="AV23:AV26"/>
    <mergeCell ref="AW23:AW26"/>
    <mergeCell ref="AL23:AL26"/>
    <mergeCell ref="AM23:AM26"/>
    <mergeCell ref="AN23:AN26"/>
    <mergeCell ref="AO23:AO26"/>
    <mergeCell ref="AP23:AP26"/>
    <mergeCell ref="AQ23:AQ26"/>
    <mergeCell ref="BD23:BD26"/>
    <mergeCell ref="BE23:BE26"/>
    <mergeCell ref="BF23:BF26"/>
    <mergeCell ref="BG23:BG26"/>
    <mergeCell ref="BH23:BH26"/>
    <mergeCell ref="BI23:BI26"/>
    <mergeCell ref="AX23:AX26"/>
    <mergeCell ref="AY23:AY26"/>
    <mergeCell ref="AZ23:AZ26"/>
    <mergeCell ref="BA23:BA26"/>
    <mergeCell ref="BB23:BB26"/>
    <mergeCell ref="BC23:BC26"/>
    <mergeCell ref="BP23:BP26"/>
    <mergeCell ref="BQ23:BQ26"/>
    <mergeCell ref="BR23:BR26"/>
    <mergeCell ref="BS23:BS26"/>
    <mergeCell ref="BT23:BT26"/>
    <mergeCell ref="BU23:BU26"/>
    <mergeCell ref="BJ23:BJ26"/>
    <mergeCell ref="BK23:BK26"/>
    <mergeCell ref="BL23:BL26"/>
    <mergeCell ref="BM23:BM26"/>
    <mergeCell ref="BN23:BN26"/>
    <mergeCell ref="BO23:BO26"/>
    <mergeCell ref="CC23:CC26"/>
    <mergeCell ref="CD23:CD26"/>
    <mergeCell ref="CE23:CE26"/>
    <mergeCell ref="CF23:CF26"/>
    <mergeCell ref="CG23:CG26"/>
    <mergeCell ref="BV23:BV26"/>
    <mergeCell ref="BW23:BW26"/>
    <mergeCell ref="BX23:BX26"/>
    <mergeCell ref="BY23:BY26"/>
    <mergeCell ref="BZ23:BZ26"/>
    <mergeCell ref="CA23:CA26"/>
    <mergeCell ref="D2:G2"/>
    <mergeCell ref="CZ23:CZ26"/>
    <mergeCell ref="DA23:DA26"/>
    <mergeCell ref="DB23:DB26"/>
    <mergeCell ref="DC23:DC26"/>
    <mergeCell ref="CT23:CT26"/>
    <mergeCell ref="CU23:CU26"/>
    <mergeCell ref="CV23:CV26"/>
    <mergeCell ref="CW23:CW26"/>
    <mergeCell ref="CX23:CX26"/>
    <mergeCell ref="CY23:CY26"/>
    <mergeCell ref="CN23:CN26"/>
    <mergeCell ref="CO23:CO26"/>
    <mergeCell ref="CP23:CP26"/>
    <mergeCell ref="CQ23:CQ26"/>
    <mergeCell ref="CR23:CR26"/>
    <mergeCell ref="CS23:CS26"/>
    <mergeCell ref="CH23:CH26"/>
    <mergeCell ref="CI23:CI26"/>
    <mergeCell ref="CJ23:CJ26"/>
    <mergeCell ref="CK23:CK26"/>
    <mergeCell ref="CL23:CL26"/>
    <mergeCell ref="CM23:CM26"/>
    <mergeCell ref="CB23:CB26"/>
  </mergeCells>
  <hyperlinks>
    <hyperlink ref="A1:C3" location="Equipos!A1" display="Equipos!A1" xr:uid="{00000000-0004-0000-0800-000000000000}"/>
    <hyperlink ref="A4:A18" location="Jugadores!A1" display="Jugador" xr:uid="{00000000-0004-0000-0800-000001000000}"/>
  </hyperlinks>
  <pageMargins left="0.7" right="0.7" top="0.75" bottom="0.75" header="0.3" footer="0.3"/>
  <pageSetup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C26"/>
  <sheetViews>
    <sheetView view="pageBreakPreview" zoomScale="90" zoomScaleNormal="90" zoomScaleSheetLayoutView="90" workbookViewId="0">
      <pane xSplit="7" ySplit="3" topLeftCell="AX4" activePane="bottomRight" state="frozen"/>
      <selection pane="topRight" activeCell="H1" sqref="H1"/>
      <selection pane="bottomLeft" activeCell="A3" sqref="A3"/>
      <selection pane="bottomRight" sqref="A1:C3"/>
    </sheetView>
  </sheetViews>
  <sheetFormatPr baseColWidth="10" defaultColWidth="11.42578125" defaultRowHeight="15" x14ac:dyDescent="0.25"/>
  <cols>
    <col min="1" max="1" width="4.85546875" customWidth="1"/>
    <col min="2" max="2" width="9.42578125" customWidth="1"/>
    <col min="3" max="3" width="11.5703125" style="3" customWidth="1"/>
    <col min="4" max="7" width="4.28515625" style="3" customWidth="1"/>
    <col min="8" max="8" width="2.85546875" style="3" customWidth="1"/>
    <col min="9" max="11" width="2.7109375" style="3" customWidth="1"/>
    <col min="12" max="12" width="3" style="3" customWidth="1"/>
    <col min="13" max="15" width="2.7109375" style="3" customWidth="1"/>
    <col min="16" max="16" width="3" style="3" customWidth="1"/>
    <col min="17" max="71" width="2.7109375" style="3" customWidth="1"/>
    <col min="72" max="72" width="3" style="3" customWidth="1"/>
    <col min="73" max="107" width="2.7109375" style="3" customWidth="1"/>
    <col min="108" max="16384" width="11.42578125" style="3"/>
  </cols>
  <sheetData>
    <row r="1" spans="1:107" ht="13.9" customHeight="1" x14ac:dyDescent="0.25">
      <c r="A1" s="183" t="str">
        <f>Equipos!B17</f>
        <v>Atalanta</v>
      </c>
      <c r="B1" s="183"/>
      <c r="C1" s="183"/>
      <c r="H1" s="172" t="s">
        <v>5</v>
      </c>
      <c r="I1" s="173"/>
      <c r="J1" s="173"/>
      <c r="K1" s="174"/>
      <c r="L1" s="172" t="s">
        <v>6</v>
      </c>
      <c r="M1" s="173"/>
      <c r="N1" s="173"/>
      <c r="O1" s="174"/>
      <c r="P1" s="172" t="s">
        <v>7</v>
      </c>
      <c r="Q1" s="173"/>
      <c r="R1" s="173"/>
      <c r="S1" s="174"/>
      <c r="T1" s="172" t="s">
        <v>8</v>
      </c>
      <c r="U1" s="173"/>
      <c r="V1" s="173"/>
      <c r="W1" s="174"/>
      <c r="X1" s="172" t="s">
        <v>9</v>
      </c>
      <c r="Y1" s="173"/>
      <c r="Z1" s="173"/>
      <c r="AA1" s="174"/>
      <c r="AB1" s="172" t="s">
        <v>10</v>
      </c>
      <c r="AC1" s="173"/>
      <c r="AD1" s="173"/>
      <c r="AE1" s="174"/>
      <c r="AF1" s="172" t="s">
        <v>11</v>
      </c>
      <c r="AG1" s="173"/>
      <c r="AH1" s="173"/>
      <c r="AI1" s="174"/>
      <c r="AJ1" s="172" t="s">
        <v>12</v>
      </c>
      <c r="AK1" s="173"/>
      <c r="AL1" s="173"/>
      <c r="AM1" s="174"/>
      <c r="AN1" s="172" t="s">
        <v>13</v>
      </c>
      <c r="AO1" s="173"/>
      <c r="AP1" s="173"/>
      <c r="AQ1" s="174"/>
      <c r="AR1" s="172" t="s">
        <v>14</v>
      </c>
      <c r="AS1" s="173"/>
      <c r="AT1" s="173"/>
      <c r="AU1" s="174"/>
      <c r="AV1" s="172" t="s">
        <v>15</v>
      </c>
      <c r="AW1" s="173"/>
      <c r="AX1" s="173"/>
      <c r="AY1" s="174"/>
      <c r="AZ1" s="172" t="s">
        <v>16</v>
      </c>
      <c r="BA1" s="173"/>
      <c r="BB1" s="173"/>
      <c r="BC1" s="174"/>
      <c r="BD1" s="172" t="s">
        <v>17</v>
      </c>
      <c r="BE1" s="173"/>
      <c r="BF1" s="173"/>
      <c r="BG1" s="174"/>
      <c r="BH1" s="172" t="s">
        <v>18</v>
      </c>
      <c r="BI1" s="173"/>
      <c r="BJ1" s="173"/>
      <c r="BK1" s="174"/>
      <c r="BL1" s="172" t="s">
        <v>19</v>
      </c>
      <c r="BM1" s="173"/>
      <c r="BN1" s="173"/>
      <c r="BO1" s="174"/>
      <c r="BP1" s="172" t="s">
        <v>20</v>
      </c>
      <c r="BQ1" s="173"/>
      <c r="BR1" s="173"/>
      <c r="BS1" s="174"/>
      <c r="BT1" s="172" t="s">
        <v>51</v>
      </c>
      <c r="BU1" s="173"/>
      <c r="BV1" s="173"/>
      <c r="BW1" s="174"/>
      <c r="BX1" s="172" t="s">
        <v>81</v>
      </c>
      <c r="BY1" s="173"/>
      <c r="BZ1" s="173"/>
      <c r="CA1" s="174"/>
      <c r="CB1" s="172" t="s">
        <v>83</v>
      </c>
      <c r="CC1" s="173"/>
      <c r="CD1" s="173"/>
      <c r="CE1" s="174"/>
      <c r="CF1" s="172" t="s">
        <v>84</v>
      </c>
      <c r="CG1" s="173"/>
      <c r="CH1" s="173"/>
      <c r="CI1" s="174"/>
      <c r="CJ1" s="172" t="s">
        <v>85</v>
      </c>
      <c r="CK1" s="173"/>
      <c r="CL1" s="173"/>
      <c r="CM1" s="174"/>
      <c r="CN1" s="172" t="s">
        <v>93</v>
      </c>
      <c r="CO1" s="173"/>
      <c r="CP1" s="173"/>
      <c r="CQ1" s="174"/>
      <c r="CR1" s="172" t="s">
        <v>94</v>
      </c>
      <c r="CS1" s="173"/>
      <c r="CT1" s="173"/>
      <c r="CU1" s="174"/>
      <c r="CV1" s="172" t="s">
        <v>95</v>
      </c>
      <c r="CW1" s="173"/>
      <c r="CX1" s="173"/>
      <c r="CY1" s="174"/>
      <c r="CZ1" s="172" t="s">
        <v>96</v>
      </c>
      <c r="DA1" s="173"/>
      <c r="DB1" s="173"/>
      <c r="DC1" s="174"/>
    </row>
    <row r="2" spans="1:107" ht="13.9" customHeight="1" x14ac:dyDescent="0.25">
      <c r="A2" s="183"/>
      <c r="B2" s="183"/>
      <c r="C2" s="183"/>
      <c r="D2" s="143" t="s">
        <v>272</v>
      </c>
      <c r="E2" s="143"/>
      <c r="F2" s="143"/>
      <c r="G2" s="144"/>
      <c r="H2" s="140" t="str">
        <f>+_xlfn.XLOOKUP($A$1,Fixture!$D$2:$D$9,Fixture!$F$2:$F$9,_xlfn.XLOOKUP($A$1,Fixture!$F$2:$F$9,Fixture!$D$2:$D$9,"Descansa",FALSE))</f>
        <v>La Amistad</v>
      </c>
      <c r="I2" s="141"/>
      <c r="J2" s="141"/>
      <c r="K2" s="142"/>
      <c r="L2" s="140" t="str">
        <f>+_xlfn.XLOOKUP($A$1,Fixture!$D$10:$D$17,Fixture!$F$10:$F$17,_xlfn.XLOOKUP($A$1,Fixture!$F$10:$F$17,Fixture!$D$10:$D$17,"Descansa",FALSE))</f>
        <v>Konami</v>
      </c>
      <c r="M2" s="141"/>
      <c r="N2" s="141"/>
      <c r="O2" s="142"/>
      <c r="P2" s="175" t="str">
        <f>+_xlfn.XLOOKUP($A$1,Fixture!$D$18:$D$25,Fixture!$F$18:$F$25,_xlfn.XLOOKUP($A$1,Fixture!$F$18:$F$25,Fixture!$D$18:$D$25,"Descansa",FALSE))</f>
        <v>Los Amigos</v>
      </c>
      <c r="Q2" s="176"/>
      <c r="R2" s="176"/>
      <c r="S2" s="177"/>
      <c r="T2" s="140" t="str">
        <f>+_xlfn.XLOOKUP($A$1,Fixture!$D$26:$D$33,Fixture!$F$26:$F$33,_xlfn.XLOOKUP($A$1,Fixture!$F$26:$F$33,Fixture!$D$26:$D$33,"Descansa",FALSE))</f>
        <v>Ron Star</v>
      </c>
      <c r="U2" s="141"/>
      <c r="V2" s="141"/>
      <c r="W2" s="142"/>
      <c r="X2" s="140" t="str">
        <f>+_xlfn.XLOOKUP($A$1,Fixture!$D$34:$D$41,Fixture!$F$34:$F$41,_xlfn.XLOOKUP($A$1,Fixture!$F$34:$F$41,Fixture!$D$34:$D$41,"Descansa",FALSE))</f>
        <v>Amenadim</v>
      </c>
      <c r="Y2" s="141"/>
      <c r="Z2" s="141"/>
      <c r="AA2" s="142"/>
      <c r="AB2" s="140" t="str">
        <f>+_xlfn.XLOOKUP($A$1,Fixture!$D$42:$D$49,Fixture!$F$42:$F$49,_xlfn.XLOOKUP($A$1,Fixture!$F$42:$F$49,Fixture!$D$42:$D$49,"Descansa",FALSE))</f>
        <v>Hojas Anchas</v>
      </c>
      <c r="AC2" s="141"/>
      <c r="AD2" s="141"/>
      <c r="AE2" s="142"/>
      <c r="AF2" s="140" t="str">
        <f>+_xlfn.XLOOKUP($A$1,Fixture!$D$50:$D$57,Fixture!$F$50:$F$57,_xlfn.XLOOKUP($A$1,Fixture!$F$50:$F$57,Fixture!$D$50:$D$57,"Descansa",FALSE))</f>
        <v>Los Aliados</v>
      </c>
      <c r="AG2" s="141"/>
      <c r="AH2" s="141"/>
      <c r="AI2" s="142"/>
      <c r="AJ2" s="140" t="str">
        <f>+_xlfn.XLOOKUP($A$1,Fixture!$D$58:$D$65,Fixture!$F$58:$F$65,_xlfn.XLOOKUP($A$1,Fixture!$F$58:$F$65,Fixture!$D$58:$D$65,"Descansa",FALSE))</f>
        <v>Boca Juniors</v>
      </c>
      <c r="AK2" s="141"/>
      <c r="AL2" s="141"/>
      <c r="AM2" s="142"/>
      <c r="AN2" s="140" t="str">
        <f>+_xlfn.XLOOKUP($A$1,Fixture!$D$66:$D$73,Fixture!$F$66:$F$73,_xlfn.XLOOKUP($A$1,Fixture!$F$66:$F$73,Fixture!$D$66:$D$73,"Descansa",FALSE))</f>
        <v>Deportivo Fénix</v>
      </c>
      <c r="AO2" s="141"/>
      <c r="AP2" s="141"/>
      <c r="AQ2" s="142"/>
      <c r="AR2" s="140" t="str">
        <f>+_xlfn.XLOOKUP($A$1,Fixture!$D$74:$D$81,Fixture!$F$74:$F$81,_xlfn.XLOOKUP($A$1,Fixture!$F$74:$F$81,Fixture!$D$74:$D$81,"Descansa",FALSE))</f>
        <v>Rayos FC</v>
      </c>
      <c r="AS2" s="141"/>
      <c r="AT2" s="141"/>
      <c r="AU2" s="142"/>
      <c r="AV2" s="140" t="str">
        <f>+_xlfn.XLOOKUP($A$1,Fixture!$D$82:$D$89,Fixture!$F$82:$F$89,_xlfn.XLOOKUP($A$1,Fixture!$F$82:$F$89,Fixture!$D$82:$D$89,"Descansa",FALSE))</f>
        <v>La Unión FC</v>
      </c>
      <c r="AW2" s="141"/>
      <c r="AX2" s="141"/>
      <c r="AY2" s="142"/>
      <c r="AZ2" s="140" t="str">
        <f>+_xlfn.XLOOKUP($A$1,Fixture!$D$90:$D$97,Fixture!$F$90:$F$97,_xlfn.XLOOKUP($A$1,Fixture!$F$90:$F$97,Fixture!$D$90:$D$97,"Descansa",FALSE))</f>
        <v>CD El Corozo</v>
      </c>
      <c r="BA2" s="141"/>
      <c r="BB2" s="141"/>
      <c r="BC2" s="142"/>
      <c r="BD2" s="140" t="str">
        <f>+_xlfn.XLOOKUP($A$1,Fixture!$D$98:$D$105,Fixture!$F$98:$F$105,_xlfn.XLOOKUP($A$1,Fixture!$F$98:$F$105,Fixture!$D$98:$D$105,"Descansa",FALSE))</f>
        <v>Valentín FC</v>
      </c>
      <c r="BE2" s="141"/>
      <c r="BF2" s="141"/>
      <c r="BG2" s="142"/>
      <c r="BH2" s="140" t="str">
        <f>+_xlfn.XLOOKUP($A$1,Fixture!$D$106:$D$113,Fixture!$F$106:$F$113,_xlfn.XLOOKUP($A$1,Fixture!$F$106:$F$113,Fixture!$D$106:$D$113,"Descansa",FALSE))</f>
        <v>Villanueva</v>
      </c>
      <c r="BI2" s="141"/>
      <c r="BJ2" s="141"/>
      <c r="BK2" s="142"/>
      <c r="BL2" s="140" t="str">
        <f>+_xlfn.XLOOKUP($A$1,Fixture!$D$114:$D$121,Fixture!$F$114:$F$121,_xlfn.XLOOKUP($A$1,Fixture!$F$114:$F$121,Fixture!$D$114:$D$121,"Descansa",FALSE))</f>
        <v>La Nueva Era</v>
      </c>
      <c r="BM2" s="141"/>
      <c r="BN2" s="141"/>
      <c r="BO2" s="142"/>
      <c r="BP2" s="140" t="str">
        <f>+_xlfn.XLOOKUP($A$1,Fixture!$D$122:$D$128,Fixture!$F$122:$F$128,_xlfn.XLOOKUP($A$1,Fixture!$F$122:$F$128,Fixture!$D$122:$D$128,"Descansa",FALSE))</f>
        <v>La Unión FC</v>
      </c>
      <c r="BQ2" s="141"/>
      <c r="BR2" s="141"/>
      <c r="BS2" s="142"/>
      <c r="BT2" s="140" t="str">
        <f>+_xlfn.XLOOKUP($A$1,Fixture!$D$129:$D$135,Fixture!$F$129:$F$135,_xlfn.XLOOKUP($A$1,Fixture!$F$129:$F$135,Fixture!$D$129:$D$135,"Descansa",FALSE))</f>
        <v>Los Aliados</v>
      </c>
      <c r="BU2" s="141"/>
      <c r="BV2" s="141"/>
      <c r="BW2" s="142"/>
      <c r="BX2" s="140" t="str">
        <f>+_xlfn.XLOOKUP($A$1,Fixture!$D$136:$D$141,Fixture!$F$136:$F$141,_xlfn.XLOOKUP($A$1,Fixture!$F$136:$F$141,Fixture!$D$136:$D$141,"Descansa",FALSE))</f>
        <v>Ron Star</v>
      </c>
      <c r="BY2" s="141"/>
      <c r="BZ2" s="141"/>
      <c r="CA2" s="142"/>
      <c r="CB2" s="140" t="str">
        <f>+_xlfn.XLOOKUP($A$1,Fixture!$D$142:$D$149,Fixture!$F$142:$F$149,_xlfn.XLOOKUP($A$1,Fixture!$F$142:$F$149,Fixture!$D$142:$D$149,"Descansa",FALSE))</f>
        <v>Boca Juniors</v>
      </c>
      <c r="CC2" s="141"/>
      <c r="CD2" s="141"/>
      <c r="CE2" s="142"/>
      <c r="CF2" s="140" t="str">
        <f>+_xlfn.XLOOKUP($A$1,Fixture!$D$150:$D$155,Fixture!$F$150:$F$155,_xlfn.XLOOKUP($A$1,Fixture!$F$150:$F$155,Fixture!$D$150:$D$155,"Descansa",FALSE))</f>
        <v>Los Amigos</v>
      </c>
      <c r="CG2" s="141"/>
      <c r="CH2" s="141"/>
      <c r="CI2" s="142"/>
      <c r="CJ2" s="140" t="str">
        <f>+_xlfn.XLOOKUP($A$1,Fixture!$D$156:$D$161,Fixture!$F$156:$F$161,_xlfn.XLOOKUP($A$1,Fixture!$F$156:$F$161,Fixture!$D$156:$D$161,"Descansa",FALSE))</f>
        <v>Hojas Anchas</v>
      </c>
      <c r="CK2" s="141"/>
      <c r="CL2" s="141"/>
      <c r="CM2" s="142"/>
      <c r="CN2" s="140" t="str">
        <f>+_xlfn.XLOOKUP($A$1,Fixture!$D$162:$D$167,Fixture!$F$162:$F$167,_xlfn.XLOOKUP($A$1,Fixture!$F$162:$F$167,Fixture!$D$162:$D$167,"Descansa",FALSE))</f>
        <v>Valentín FC</v>
      </c>
      <c r="CO2" s="141"/>
      <c r="CP2" s="141"/>
      <c r="CQ2" s="142"/>
      <c r="CR2" s="140" t="str">
        <f>+_xlfn.XLOOKUP($A$1,Fixture!$D$168:$D$169,Fixture!$F$168:$F$169,_xlfn.XLOOKUP($A$1,Fixture!$F$168:$F$169,Fixture!$D$168:$D$169,"Descanssa",FALSE))</f>
        <v>Descanssa</v>
      </c>
      <c r="CS2" s="141"/>
      <c r="CT2" s="141"/>
      <c r="CU2" s="142"/>
      <c r="CV2" s="140" t="str">
        <f>+_xlfn.XLOOKUP($A$1,Fixture!$D$170:$D$171,Fixture!$F$170:$F$171,_xlfn.XLOOKUP($A$1,Fixture!$F$170:$F$171,Fixture!$D$170:$D$171,"Descansa",FALSE))</f>
        <v>Descansa</v>
      </c>
      <c r="CW2" s="141"/>
      <c r="CX2" s="141"/>
      <c r="CY2" s="142"/>
      <c r="CZ2" s="72"/>
      <c r="DA2" s="73"/>
      <c r="DB2" s="73"/>
      <c r="DC2" s="74"/>
    </row>
    <row r="3" spans="1:107" ht="14.45" customHeight="1" x14ac:dyDescent="0.25">
      <c r="A3" s="183"/>
      <c r="B3" s="183"/>
      <c r="C3" s="183"/>
      <c r="D3" s="22" t="s">
        <v>89</v>
      </c>
      <c r="E3" s="22" t="s">
        <v>90</v>
      </c>
      <c r="F3" s="22" t="s">
        <v>91</v>
      </c>
      <c r="G3" s="24" t="s">
        <v>92</v>
      </c>
      <c r="H3" s="166">
        <f>IF(Fixture!$C9=0,"",Fixture!$C9)</f>
        <v>45809</v>
      </c>
      <c r="I3" s="167"/>
      <c r="J3" s="167"/>
      <c r="K3" s="168"/>
      <c r="L3" s="166">
        <f>IF(Fixture!$C17=0,"",Fixture!$C17)</f>
        <v>45704</v>
      </c>
      <c r="M3" s="167"/>
      <c r="N3" s="167"/>
      <c r="O3" s="168"/>
      <c r="P3" s="166">
        <f>IF(Fixture!$C25=0,"",Fixture!$C25)</f>
        <v>45774</v>
      </c>
      <c r="Q3" s="167"/>
      <c r="R3" s="167"/>
      <c r="S3" s="168"/>
      <c r="T3" s="166">
        <f>IF(Fixture!$C33=0,"",Fixture!$C33)</f>
        <v>45697</v>
      </c>
      <c r="U3" s="167"/>
      <c r="V3" s="167"/>
      <c r="W3" s="168"/>
      <c r="X3" s="166">
        <f>IF(Fixture!$C41=0,"",Fixture!$C41)</f>
        <v>45704</v>
      </c>
      <c r="Y3" s="167"/>
      <c r="Z3" s="167"/>
      <c r="AA3" s="168"/>
      <c r="AB3" s="166">
        <f>IF(Fixture!$C49=0,"",Fixture!$C49)</f>
        <v>45711</v>
      </c>
      <c r="AC3" s="167"/>
      <c r="AD3" s="167"/>
      <c r="AE3" s="168"/>
      <c r="AF3" s="166">
        <f>IF(Fixture!$C57=0,"",Fixture!$C57)</f>
        <v>45718</v>
      </c>
      <c r="AG3" s="167"/>
      <c r="AH3" s="167"/>
      <c r="AI3" s="168"/>
      <c r="AJ3" s="166">
        <f>IF(Fixture!$C65=0,"",Fixture!$C65)</f>
        <v>45725</v>
      </c>
      <c r="AK3" s="167"/>
      <c r="AL3" s="167"/>
      <c r="AM3" s="168"/>
      <c r="AN3" s="166">
        <f>IF(Fixture!$C73=0,"",Fixture!$C73)</f>
        <v>45704</v>
      </c>
      <c r="AO3" s="167"/>
      <c r="AP3" s="167"/>
      <c r="AQ3" s="168"/>
      <c r="AR3" s="166">
        <f>IF(Fixture!$C81=0,"",Fixture!$C81)</f>
        <v>45746</v>
      </c>
      <c r="AS3" s="167"/>
      <c r="AT3" s="167"/>
      <c r="AU3" s="168"/>
      <c r="AV3" s="166">
        <f>IF(Fixture!$C89=0,"",Fixture!$C89)</f>
        <v>45753</v>
      </c>
      <c r="AW3" s="167"/>
      <c r="AX3" s="167"/>
      <c r="AY3" s="168"/>
      <c r="AZ3" s="166">
        <f>IF(Fixture!$C97=0,"",Fixture!$C97)</f>
        <v>45774</v>
      </c>
      <c r="BA3" s="167"/>
      <c r="BB3" s="167"/>
      <c r="BC3" s="168"/>
      <c r="BD3" s="166">
        <f>IF(Fixture!$C105=0,"",Fixture!$C105)</f>
        <v>45781</v>
      </c>
      <c r="BE3" s="167"/>
      <c r="BF3" s="167"/>
      <c r="BG3" s="168"/>
      <c r="BH3" s="163" t="e">
        <f>+VLOOKUP(BH1,Resultados!$A$3:$B$71,2,FALSE)</f>
        <v>#N/A</v>
      </c>
      <c r="BI3" s="164"/>
      <c r="BJ3" s="164"/>
      <c r="BK3" s="165"/>
      <c r="BL3" s="163" t="e">
        <f>+VLOOKUP(BL1,Resultados!$A$3:$B$71,2,FALSE)</f>
        <v>#N/A</v>
      </c>
      <c r="BM3" s="164"/>
      <c r="BN3" s="164"/>
      <c r="BO3" s="165"/>
      <c r="BP3" s="163" t="e">
        <f>+VLOOKUP(BP1,Resultados!$A$3:$B$71,2,FALSE)</f>
        <v>#N/A</v>
      </c>
      <c r="BQ3" s="164"/>
      <c r="BR3" s="164"/>
      <c r="BS3" s="165"/>
      <c r="BT3" s="163" t="e">
        <f>+VLOOKUP(BT1,Resultados!$A$3:$B$71,2,FALSE)</f>
        <v>#N/A</v>
      </c>
      <c r="BU3" s="164"/>
      <c r="BV3" s="164"/>
      <c r="BW3" s="165"/>
      <c r="BX3" s="163" t="e">
        <f>+VLOOKUP(BX1,Resultados!$A$3:$B$71,2,FALSE)</f>
        <v>#N/A</v>
      </c>
      <c r="BY3" s="164"/>
      <c r="BZ3" s="164"/>
      <c r="CA3" s="165"/>
      <c r="CB3" s="163" t="e">
        <f>+VLOOKUP(CB1,Resultados!$A$3:$B$71,2,FALSE)</f>
        <v>#N/A</v>
      </c>
      <c r="CC3" s="164"/>
      <c r="CD3" s="164"/>
      <c r="CE3" s="165"/>
      <c r="CF3" s="163" t="e">
        <f>+VLOOKUP(CF1,Resultados!$A$3:$B$71,2,FALSE)</f>
        <v>#N/A</v>
      </c>
      <c r="CG3" s="164"/>
      <c r="CH3" s="164"/>
      <c r="CI3" s="165"/>
      <c r="CJ3" s="163" t="e">
        <f>+VLOOKUP(CJ1,Resultados!$A$3:$B$71,2,FALSE)</f>
        <v>#N/A</v>
      </c>
      <c r="CK3" s="164"/>
      <c r="CL3" s="164"/>
      <c r="CM3" s="165"/>
      <c r="CN3" s="163" t="e">
        <f>+VLOOKUP(CN1,Resultados!$A$3:$B$71,2,FALSE)</f>
        <v>#N/A</v>
      </c>
      <c r="CO3" s="164"/>
      <c r="CP3" s="164"/>
      <c r="CQ3" s="165"/>
      <c r="CR3" s="163" t="e">
        <f>+VLOOKUP(CR1,Resultados!$A$3:$B$71,2,FALSE)</f>
        <v>#N/A</v>
      </c>
      <c r="CS3" s="164"/>
      <c r="CT3" s="164"/>
      <c r="CU3" s="165"/>
      <c r="CV3" s="163" t="e">
        <f>+VLOOKUP(CV1,Resultados!$A$3:$B$71,2,FALSE)</f>
        <v>#N/A</v>
      </c>
      <c r="CW3" s="164"/>
      <c r="CX3" s="164"/>
      <c r="CY3" s="165"/>
      <c r="CZ3" s="163" t="e">
        <f>+VLOOKUP(CZ1,Resultados!$A$3:$B$71,2,FALSE)</f>
        <v>#N/A</v>
      </c>
      <c r="DA3" s="164"/>
      <c r="DB3" s="164"/>
      <c r="DC3" s="165"/>
    </row>
    <row r="4" spans="1:107" ht="19.899999999999999" customHeight="1" x14ac:dyDescent="0.25">
      <c r="A4" s="178" t="s">
        <v>3</v>
      </c>
      <c r="B4" s="154" t="str">
        <f>+Jugadores!O3</f>
        <v>Jhonatan Santiago</v>
      </c>
      <c r="C4" s="155"/>
      <c r="D4" s="24">
        <f>H4+L4+P4+T4+X4+AB4+AF4+AJ4+AN4+AR4+AV4+AZ4+BD4+BH4+BL4+BP4+BT4+BX4+CB4+CF4+CJ4+CN4+CR4+CV4+CZ4</f>
        <v>6</v>
      </c>
      <c r="E4" s="24">
        <f>I4+M4+Q4+U4+Y4+AC4+AG4+AK4+AO4+AS4+AW4+BA4+BE4+BI4+BM4+BQ4+BV4+BY4+CD4+CG4+CL4+CO4+CT4+CW4+DB4</f>
        <v>2</v>
      </c>
      <c r="F4" s="115">
        <f>J4+N4+R4+V4+Z4+AD4+AH4+AL4+AP4+AT4+AX4+BB4+BF4+BJ4+BN4+BT4+BX4+CB4+CF4+CJ4+CN4+CR4+CV4+CZ4</f>
        <v>6</v>
      </c>
      <c r="G4" s="115">
        <f>K4+O4+S4+W4+AA4+AE4+AI4+AM4+AQ4+AU4+AY4+BC4+BG4+BK4+BO4+BV4+BY4+CD4+CG4+CL4+CO4+CT4+CW4+DB4</f>
        <v>0</v>
      </c>
      <c r="H4" s="28"/>
      <c r="I4" s="26"/>
      <c r="J4" s="26"/>
      <c r="K4" s="29"/>
      <c r="L4" s="28"/>
      <c r="M4" s="26">
        <v>1</v>
      </c>
      <c r="N4" s="26"/>
      <c r="O4" s="29"/>
      <c r="P4" s="28"/>
      <c r="Q4" s="26"/>
      <c r="R4" s="26"/>
      <c r="S4" s="29"/>
      <c r="T4" s="28"/>
      <c r="U4" s="26"/>
      <c r="V4" s="26"/>
      <c r="W4" s="29"/>
      <c r="X4" s="28"/>
      <c r="Y4" s="26"/>
      <c r="Z4" s="26"/>
      <c r="AA4" s="29"/>
      <c r="AB4" s="28"/>
      <c r="AC4" s="26"/>
      <c r="AD4" s="26"/>
      <c r="AE4" s="29"/>
      <c r="AF4" s="28"/>
      <c r="AG4" s="26">
        <v>1</v>
      </c>
      <c r="AH4" s="26"/>
      <c r="AI4" s="29"/>
      <c r="AJ4" s="28"/>
      <c r="AK4" s="26"/>
      <c r="AL4" s="26"/>
      <c r="AM4" s="29"/>
      <c r="AN4" s="28"/>
      <c r="AO4" s="26"/>
      <c r="AP4" s="26"/>
      <c r="AQ4" s="29"/>
      <c r="AR4" s="28"/>
      <c r="AS4" s="26"/>
      <c r="AT4" s="26"/>
      <c r="AU4" s="29"/>
      <c r="AV4" s="28"/>
      <c r="AW4" s="26"/>
      <c r="AX4" s="26"/>
      <c r="AY4" s="29"/>
      <c r="AZ4" s="28"/>
      <c r="BA4" s="26"/>
      <c r="BB4" s="26"/>
      <c r="BC4" s="29"/>
      <c r="BD4" s="28"/>
      <c r="BE4" s="26"/>
      <c r="BF4" s="26"/>
      <c r="BG4" s="29"/>
      <c r="BH4" s="28"/>
      <c r="BI4" s="26"/>
      <c r="BJ4" s="26"/>
      <c r="BK4" s="29"/>
      <c r="BL4" s="28"/>
      <c r="BM4" s="26"/>
      <c r="BN4" s="26"/>
      <c r="BO4" s="29"/>
      <c r="BP4" s="28"/>
      <c r="BQ4" s="26"/>
      <c r="BR4" s="26"/>
      <c r="BS4" s="29"/>
      <c r="BT4" s="28">
        <v>3</v>
      </c>
      <c r="BU4" s="26"/>
      <c r="BV4" s="26"/>
      <c r="BW4" s="29"/>
      <c r="BX4" s="28"/>
      <c r="BY4" s="26"/>
      <c r="BZ4" s="26"/>
      <c r="CA4" s="29"/>
      <c r="CB4" s="28"/>
      <c r="CC4" s="26"/>
      <c r="CD4" s="26"/>
      <c r="CE4" s="29"/>
      <c r="CF4" s="28">
        <v>1</v>
      </c>
      <c r="CG4" s="26"/>
      <c r="CH4" s="26"/>
      <c r="CI4" s="29"/>
      <c r="CJ4" s="28">
        <v>2</v>
      </c>
      <c r="CK4" s="26"/>
      <c r="CL4" s="26"/>
      <c r="CM4" s="29"/>
      <c r="CN4" s="28"/>
      <c r="CO4" s="26"/>
      <c r="CP4" s="26"/>
      <c r="CQ4" s="29"/>
      <c r="CR4" s="28"/>
      <c r="CS4" s="26"/>
      <c r="CT4" s="26"/>
      <c r="CU4" s="29"/>
      <c r="CV4" s="28"/>
      <c r="CW4" s="26"/>
      <c r="CX4" s="26"/>
      <c r="CY4" s="29"/>
      <c r="CZ4" s="28"/>
      <c r="DA4" s="26"/>
      <c r="DB4" s="26"/>
      <c r="DC4" s="29"/>
    </row>
    <row r="5" spans="1:107" ht="19.899999999999999" customHeight="1" x14ac:dyDescent="0.25">
      <c r="A5" s="178"/>
      <c r="B5" s="154" t="str">
        <f>+Jugadores!O4</f>
        <v>Rafael Santos</v>
      </c>
      <c r="C5" s="155"/>
      <c r="D5" s="24">
        <f t="shared" ref="D5:D18" si="0">H5+L5+P5+T5+X5+AB5+AF5+AJ5+AN5+AR5+AV5+AZ5+BD5+BH5+BL5+BP5+BT5+BX5+CB5+CF5+CJ5+CN5+CR5+CV5+CZ5</f>
        <v>3</v>
      </c>
      <c r="E5" s="24">
        <f t="shared" ref="E5:E18" si="1">I5+M5+Q5+U5+Y5+AC5+AG5+AK5+AO5+AS5+AW5+BA5+BE5+BI5+BM5+BQ5+BV5+BY5+CD5+CG5+CL5+CO5+CT5+CW5+DB5</f>
        <v>0</v>
      </c>
      <c r="F5" s="115">
        <f t="shared" ref="F5:F18" si="2">J5+N5+R5+V5+Z5+AD5+AH5+AL5+AP5+AT5+AX5+BB5+BF5+BJ5+BN5+BT5+BX5+CB5+CF5+CJ5+CN5+CR5+CV5+CZ5</f>
        <v>2</v>
      </c>
      <c r="G5" s="115">
        <f t="shared" ref="G5:G18" si="3">K5+O5+S5+W5+AA5+AE5+AI5+AM5+AQ5+AU5+AY5+BC5+BG5+BK5+BO5+BV5+BY5+CD5+CG5+CL5+CO5+CT5+CW5+DB5</f>
        <v>0</v>
      </c>
      <c r="H5" s="28"/>
      <c r="I5" s="26"/>
      <c r="J5" s="26"/>
      <c r="K5" s="29"/>
      <c r="L5" s="28"/>
      <c r="M5" s="26"/>
      <c r="N5" s="26"/>
      <c r="O5" s="29"/>
      <c r="P5" s="28"/>
      <c r="Q5" s="26"/>
      <c r="R5" s="26"/>
      <c r="S5" s="29"/>
      <c r="T5" s="28"/>
      <c r="U5" s="26"/>
      <c r="V5" s="26"/>
      <c r="W5" s="29"/>
      <c r="X5" s="28"/>
      <c r="Y5" s="26"/>
      <c r="Z5" s="26"/>
      <c r="AA5" s="29"/>
      <c r="AB5" s="28"/>
      <c r="AC5" s="26"/>
      <c r="AD5" s="26"/>
      <c r="AE5" s="29"/>
      <c r="AF5" s="28"/>
      <c r="AG5" s="26"/>
      <c r="AH5" s="26"/>
      <c r="AI5" s="29"/>
      <c r="AJ5" s="28"/>
      <c r="AK5" s="26"/>
      <c r="AL5" s="26"/>
      <c r="AM5" s="29"/>
      <c r="AN5" s="28"/>
      <c r="AO5" s="26"/>
      <c r="AP5" s="26"/>
      <c r="AQ5" s="29"/>
      <c r="AR5" s="28"/>
      <c r="AS5" s="26"/>
      <c r="AT5" s="26"/>
      <c r="AU5" s="29"/>
      <c r="AV5" s="28">
        <v>1</v>
      </c>
      <c r="AW5" s="26"/>
      <c r="AX5" s="26"/>
      <c r="AY5" s="29"/>
      <c r="AZ5" s="28"/>
      <c r="BA5" s="26"/>
      <c r="BB5" s="26"/>
      <c r="BC5" s="29"/>
      <c r="BD5" s="28"/>
      <c r="BE5" s="26"/>
      <c r="BF5" s="26"/>
      <c r="BG5" s="29"/>
      <c r="BH5" s="28"/>
      <c r="BI5" s="26"/>
      <c r="BJ5" s="26"/>
      <c r="BK5" s="29"/>
      <c r="BL5" s="28"/>
      <c r="BM5" s="26"/>
      <c r="BN5" s="26"/>
      <c r="BO5" s="29"/>
      <c r="BP5" s="28"/>
      <c r="BQ5" s="26"/>
      <c r="BR5" s="26"/>
      <c r="BS5" s="29"/>
      <c r="BT5" s="28">
        <v>1</v>
      </c>
      <c r="BU5" s="26"/>
      <c r="BV5" s="26"/>
      <c r="BW5" s="29"/>
      <c r="BX5" s="28"/>
      <c r="BY5" s="26"/>
      <c r="BZ5" s="26"/>
      <c r="CA5" s="29"/>
      <c r="CB5" s="28"/>
      <c r="CC5" s="26"/>
      <c r="CD5" s="26"/>
      <c r="CE5" s="29"/>
      <c r="CF5" s="28"/>
      <c r="CG5" s="26"/>
      <c r="CH5" s="26"/>
      <c r="CI5" s="29"/>
      <c r="CJ5" s="28">
        <v>1</v>
      </c>
      <c r="CK5" s="26"/>
      <c r="CL5" s="26"/>
      <c r="CM5" s="29"/>
      <c r="CN5" s="28"/>
      <c r="CO5" s="26"/>
      <c r="CP5" s="26"/>
      <c r="CQ5" s="29"/>
      <c r="CR5" s="28"/>
      <c r="CS5" s="26"/>
      <c r="CT5" s="26"/>
      <c r="CU5" s="29"/>
      <c r="CV5" s="28"/>
      <c r="CW5" s="26"/>
      <c r="CX5" s="26"/>
      <c r="CY5" s="29"/>
      <c r="CZ5" s="28"/>
      <c r="DA5" s="26"/>
      <c r="DB5" s="26"/>
      <c r="DC5" s="29"/>
    </row>
    <row r="6" spans="1:107" ht="19.899999999999999" customHeight="1" x14ac:dyDescent="0.25">
      <c r="A6" s="178"/>
      <c r="B6" s="154" t="str">
        <f>+Jugadores!O5</f>
        <v xml:space="preserve">Jesus Colina </v>
      </c>
      <c r="C6" s="155"/>
      <c r="D6" s="24">
        <f t="shared" si="0"/>
        <v>0</v>
      </c>
      <c r="E6" s="24">
        <f t="shared" si="1"/>
        <v>0</v>
      </c>
      <c r="F6" s="115">
        <f t="shared" si="2"/>
        <v>0</v>
      </c>
      <c r="G6" s="115">
        <f t="shared" si="3"/>
        <v>0</v>
      </c>
      <c r="H6" s="28"/>
      <c r="I6" s="26"/>
      <c r="J6" s="26"/>
      <c r="K6" s="29"/>
      <c r="L6" s="28"/>
      <c r="M6" s="26"/>
      <c r="N6" s="26"/>
      <c r="O6" s="29"/>
      <c r="P6" s="28"/>
      <c r="Q6" s="26"/>
      <c r="R6" s="26"/>
      <c r="S6" s="29"/>
      <c r="T6" s="28"/>
      <c r="U6" s="26"/>
      <c r="V6" s="26"/>
      <c r="W6" s="29"/>
      <c r="X6" s="28"/>
      <c r="Y6" s="26"/>
      <c r="Z6" s="26"/>
      <c r="AA6" s="29"/>
      <c r="AB6" s="28"/>
      <c r="AC6" s="26"/>
      <c r="AD6" s="26"/>
      <c r="AE6" s="29"/>
      <c r="AF6" s="28"/>
      <c r="AG6" s="26"/>
      <c r="AH6" s="26"/>
      <c r="AI6" s="29"/>
      <c r="AJ6" s="28"/>
      <c r="AK6" s="26"/>
      <c r="AL6" s="26"/>
      <c r="AM6" s="29"/>
      <c r="AN6" s="28"/>
      <c r="AO6" s="26"/>
      <c r="AP6" s="26"/>
      <c r="AQ6" s="29"/>
      <c r="AR6" s="28"/>
      <c r="AS6" s="26"/>
      <c r="AT6" s="26"/>
      <c r="AU6" s="29"/>
      <c r="AV6" s="28"/>
      <c r="AW6" s="26"/>
      <c r="AX6" s="26"/>
      <c r="AY6" s="29"/>
      <c r="AZ6" s="28"/>
      <c r="BA6" s="26"/>
      <c r="BB6" s="26"/>
      <c r="BC6" s="29"/>
      <c r="BD6" s="28"/>
      <c r="BE6" s="26"/>
      <c r="BF6" s="26"/>
      <c r="BG6" s="29"/>
      <c r="BH6" s="28"/>
      <c r="BI6" s="26"/>
      <c r="BJ6" s="26"/>
      <c r="BK6" s="29"/>
      <c r="BL6" s="28"/>
      <c r="BM6" s="26"/>
      <c r="BN6" s="26"/>
      <c r="BO6" s="29"/>
      <c r="BP6" s="28"/>
      <c r="BQ6" s="26"/>
      <c r="BR6" s="26"/>
      <c r="BS6" s="29"/>
      <c r="BT6" s="28"/>
      <c r="BU6" s="26"/>
      <c r="BV6" s="26"/>
      <c r="BW6" s="29"/>
      <c r="BX6" s="28"/>
      <c r="BY6" s="26"/>
      <c r="BZ6" s="26"/>
      <c r="CA6" s="29"/>
      <c r="CB6" s="28"/>
      <c r="CC6" s="26"/>
      <c r="CD6" s="26"/>
      <c r="CE6" s="29"/>
      <c r="CF6" s="28"/>
      <c r="CG6" s="26"/>
      <c r="CH6" s="26"/>
      <c r="CI6" s="29"/>
      <c r="CJ6" s="28"/>
      <c r="CK6" s="26"/>
      <c r="CL6" s="26"/>
      <c r="CM6" s="29"/>
      <c r="CN6" s="28"/>
      <c r="CO6" s="26"/>
      <c r="CP6" s="26"/>
      <c r="CQ6" s="29"/>
      <c r="CR6" s="28"/>
      <c r="CS6" s="26"/>
      <c r="CT6" s="26"/>
      <c r="CU6" s="29"/>
      <c r="CV6" s="28"/>
      <c r="CW6" s="26"/>
      <c r="CX6" s="26"/>
      <c r="CY6" s="29"/>
      <c r="CZ6" s="28"/>
      <c r="DA6" s="26"/>
      <c r="DB6" s="26"/>
      <c r="DC6" s="29"/>
    </row>
    <row r="7" spans="1:107" ht="19.899999999999999" customHeight="1" x14ac:dyDescent="0.25">
      <c r="A7" s="178"/>
      <c r="B7" s="154" t="str">
        <f>+Jugadores!O6</f>
        <v xml:space="preserve">David Delgado </v>
      </c>
      <c r="C7" s="155"/>
      <c r="D7" s="24">
        <f t="shared" si="0"/>
        <v>4</v>
      </c>
      <c r="E7" s="24">
        <f t="shared" si="1"/>
        <v>0</v>
      </c>
      <c r="F7" s="115">
        <f t="shared" si="2"/>
        <v>3</v>
      </c>
      <c r="G7" s="115">
        <f t="shared" si="3"/>
        <v>0</v>
      </c>
      <c r="H7" s="28"/>
      <c r="I7" s="26"/>
      <c r="J7" s="26"/>
      <c r="K7" s="29"/>
      <c r="L7" s="28"/>
      <c r="M7" s="26"/>
      <c r="N7" s="26"/>
      <c r="O7" s="29"/>
      <c r="P7" s="28"/>
      <c r="Q7" s="26"/>
      <c r="R7" s="26"/>
      <c r="S7" s="29"/>
      <c r="T7" s="28"/>
      <c r="U7" s="26"/>
      <c r="V7" s="26"/>
      <c r="W7" s="29"/>
      <c r="X7" s="28"/>
      <c r="Y7" s="26"/>
      <c r="Z7" s="26"/>
      <c r="AA7" s="29"/>
      <c r="AB7" s="28"/>
      <c r="AC7" s="26"/>
      <c r="AD7" s="26"/>
      <c r="AE7" s="29"/>
      <c r="AF7" s="28">
        <v>1</v>
      </c>
      <c r="AG7" s="26"/>
      <c r="AH7" s="26"/>
      <c r="AI7" s="29"/>
      <c r="AJ7" s="28"/>
      <c r="AK7" s="26"/>
      <c r="AL7" s="26"/>
      <c r="AM7" s="29"/>
      <c r="AN7" s="28"/>
      <c r="AO7" s="26"/>
      <c r="AP7" s="26"/>
      <c r="AQ7" s="29"/>
      <c r="AR7" s="28"/>
      <c r="AS7" s="26"/>
      <c r="AT7" s="26"/>
      <c r="AU7" s="29"/>
      <c r="AV7" s="28"/>
      <c r="AW7" s="26"/>
      <c r="AX7" s="26"/>
      <c r="AY7" s="29"/>
      <c r="AZ7" s="28"/>
      <c r="BA7" s="26"/>
      <c r="BB7" s="26"/>
      <c r="BC7" s="29"/>
      <c r="BD7" s="28"/>
      <c r="BE7" s="26"/>
      <c r="BF7" s="26"/>
      <c r="BG7" s="29"/>
      <c r="BH7" s="28"/>
      <c r="BI7" s="26"/>
      <c r="BJ7" s="26"/>
      <c r="BK7" s="29"/>
      <c r="BL7" s="28"/>
      <c r="BM7" s="26"/>
      <c r="BN7" s="26"/>
      <c r="BO7" s="29"/>
      <c r="BP7" s="28"/>
      <c r="BQ7" s="26"/>
      <c r="BR7" s="26"/>
      <c r="BS7" s="29"/>
      <c r="BT7" s="28">
        <v>3</v>
      </c>
      <c r="BU7" s="26"/>
      <c r="BV7" s="26"/>
      <c r="BW7" s="29"/>
      <c r="BX7" s="28"/>
      <c r="BY7" s="26"/>
      <c r="BZ7" s="26"/>
      <c r="CA7" s="29"/>
      <c r="CB7" s="28"/>
      <c r="CC7" s="26"/>
      <c r="CD7" s="26"/>
      <c r="CE7" s="29"/>
      <c r="CF7" s="28"/>
      <c r="CG7" s="26"/>
      <c r="CH7" s="26"/>
      <c r="CI7" s="29"/>
      <c r="CJ7" s="28"/>
      <c r="CK7" s="26"/>
      <c r="CL7" s="26"/>
      <c r="CM7" s="29"/>
      <c r="CN7" s="28"/>
      <c r="CO7" s="26"/>
      <c r="CP7" s="26"/>
      <c r="CQ7" s="29"/>
      <c r="CR7" s="28"/>
      <c r="CS7" s="26"/>
      <c r="CT7" s="26"/>
      <c r="CU7" s="29"/>
      <c r="CV7" s="28"/>
      <c r="CW7" s="26"/>
      <c r="CX7" s="26"/>
      <c r="CY7" s="29"/>
      <c r="CZ7" s="28"/>
      <c r="DA7" s="26"/>
      <c r="DB7" s="26"/>
      <c r="DC7" s="29"/>
    </row>
    <row r="8" spans="1:107" ht="19.899999999999999" customHeight="1" x14ac:dyDescent="0.25">
      <c r="A8" s="178"/>
      <c r="B8" s="154" t="str">
        <f>+Jugadores!O7</f>
        <v xml:space="preserve">Shame García </v>
      </c>
      <c r="C8" s="155"/>
      <c r="D8" s="24">
        <f t="shared" si="0"/>
        <v>1</v>
      </c>
      <c r="E8" s="24">
        <f t="shared" si="1"/>
        <v>0</v>
      </c>
      <c r="F8" s="115">
        <f t="shared" si="2"/>
        <v>0</v>
      </c>
      <c r="G8" s="115">
        <f t="shared" si="3"/>
        <v>0</v>
      </c>
      <c r="H8" s="28"/>
      <c r="I8" s="26"/>
      <c r="J8" s="26"/>
      <c r="K8" s="29"/>
      <c r="L8" s="28"/>
      <c r="M8" s="26"/>
      <c r="N8" s="26"/>
      <c r="O8" s="29"/>
      <c r="P8" s="28"/>
      <c r="Q8" s="26"/>
      <c r="R8" s="26"/>
      <c r="S8" s="29"/>
      <c r="T8" s="28"/>
      <c r="U8" s="26"/>
      <c r="V8" s="26"/>
      <c r="W8" s="29"/>
      <c r="X8" s="28"/>
      <c r="Y8" s="26"/>
      <c r="Z8" s="26"/>
      <c r="AA8" s="29"/>
      <c r="AB8" s="28"/>
      <c r="AC8" s="26"/>
      <c r="AD8" s="26"/>
      <c r="AE8" s="29"/>
      <c r="AF8" s="28"/>
      <c r="AG8" s="26"/>
      <c r="AH8" s="26"/>
      <c r="AI8" s="29"/>
      <c r="AJ8" s="28"/>
      <c r="AK8" s="26"/>
      <c r="AL8" s="26"/>
      <c r="AM8" s="29"/>
      <c r="AN8" s="28"/>
      <c r="AO8" s="26"/>
      <c r="AP8" s="26"/>
      <c r="AQ8" s="29"/>
      <c r="AR8" s="28"/>
      <c r="AS8" s="26"/>
      <c r="AT8" s="26"/>
      <c r="AU8" s="29"/>
      <c r="AV8" s="28">
        <v>1</v>
      </c>
      <c r="AW8" s="26"/>
      <c r="AX8" s="26"/>
      <c r="AY8" s="29"/>
      <c r="AZ8" s="28"/>
      <c r="BA8" s="26"/>
      <c r="BB8" s="26"/>
      <c r="BC8" s="29"/>
      <c r="BD8" s="28"/>
      <c r="BE8" s="26"/>
      <c r="BF8" s="26"/>
      <c r="BG8" s="29"/>
      <c r="BH8" s="28"/>
      <c r="BI8" s="26"/>
      <c r="BJ8" s="26"/>
      <c r="BK8" s="29"/>
      <c r="BL8" s="28"/>
      <c r="BM8" s="26"/>
      <c r="BN8" s="26"/>
      <c r="BO8" s="29"/>
      <c r="BP8" s="28"/>
      <c r="BQ8" s="26"/>
      <c r="BR8" s="26"/>
      <c r="BS8" s="29"/>
      <c r="BT8" s="28"/>
      <c r="BU8" s="26"/>
      <c r="BV8" s="26"/>
      <c r="BW8" s="29"/>
      <c r="BX8" s="28"/>
      <c r="BY8" s="26"/>
      <c r="BZ8" s="26"/>
      <c r="CA8" s="29"/>
      <c r="CB8" s="28"/>
      <c r="CC8" s="26"/>
      <c r="CD8" s="26"/>
      <c r="CE8" s="29"/>
      <c r="CF8" s="28"/>
      <c r="CG8" s="26"/>
      <c r="CH8" s="26"/>
      <c r="CI8" s="29"/>
      <c r="CJ8" s="28"/>
      <c r="CK8" s="26"/>
      <c r="CL8" s="26"/>
      <c r="CM8" s="29"/>
      <c r="CN8" s="28"/>
      <c r="CO8" s="26"/>
      <c r="CP8" s="26"/>
      <c r="CQ8" s="29"/>
      <c r="CR8" s="28"/>
      <c r="CS8" s="26"/>
      <c r="CT8" s="26"/>
      <c r="CU8" s="29"/>
      <c r="CV8" s="28"/>
      <c r="CW8" s="26"/>
      <c r="CX8" s="26"/>
      <c r="CY8" s="29"/>
      <c r="CZ8" s="28"/>
      <c r="DA8" s="26"/>
      <c r="DB8" s="26"/>
      <c r="DC8" s="29"/>
    </row>
    <row r="9" spans="1:107" ht="19.899999999999999" customHeight="1" x14ac:dyDescent="0.25">
      <c r="A9" s="178"/>
      <c r="B9" s="154" t="str">
        <f>+Jugadores!O8</f>
        <v>José Pedroso</v>
      </c>
      <c r="C9" s="155"/>
      <c r="D9" s="24">
        <f t="shared" si="0"/>
        <v>3</v>
      </c>
      <c r="E9" s="24">
        <f t="shared" si="1"/>
        <v>0</v>
      </c>
      <c r="F9" s="115">
        <f t="shared" si="2"/>
        <v>0</v>
      </c>
      <c r="G9" s="115">
        <f t="shared" si="3"/>
        <v>1</v>
      </c>
      <c r="H9" s="28">
        <v>1</v>
      </c>
      <c r="I9" s="26"/>
      <c r="J9" s="26"/>
      <c r="K9" s="29"/>
      <c r="L9" s="28"/>
      <c r="M9" s="26"/>
      <c r="N9" s="26"/>
      <c r="O9" s="29"/>
      <c r="P9" s="28">
        <v>2</v>
      </c>
      <c r="Q9" s="26"/>
      <c r="R9" s="26"/>
      <c r="S9" s="29"/>
      <c r="T9" s="28"/>
      <c r="U9" s="26"/>
      <c r="V9" s="26"/>
      <c r="W9" s="29"/>
      <c r="X9" s="28"/>
      <c r="Y9" s="26"/>
      <c r="Z9" s="26"/>
      <c r="AA9" s="29"/>
      <c r="AB9" s="28"/>
      <c r="AC9" s="26"/>
      <c r="AD9" s="26"/>
      <c r="AE9" s="29"/>
      <c r="AF9" s="28"/>
      <c r="AG9" s="26"/>
      <c r="AH9" s="26"/>
      <c r="AI9" s="29">
        <v>1</v>
      </c>
      <c r="AJ9" s="28"/>
      <c r="AK9" s="26"/>
      <c r="AL9" s="26"/>
      <c r="AM9" s="29"/>
      <c r="AN9" s="28"/>
      <c r="AO9" s="26"/>
      <c r="AP9" s="26"/>
      <c r="AQ9" s="29"/>
      <c r="AR9" s="28"/>
      <c r="AS9" s="26"/>
      <c r="AT9" s="26"/>
      <c r="AU9" s="29"/>
      <c r="AV9" s="28"/>
      <c r="AW9" s="26"/>
      <c r="AX9" s="26"/>
      <c r="AY9" s="29"/>
      <c r="AZ9" s="28"/>
      <c r="BA9" s="26"/>
      <c r="BB9" s="26"/>
      <c r="BC9" s="29"/>
      <c r="BD9" s="28"/>
      <c r="BE9" s="26"/>
      <c r="BF9" s="26"/>
      <c r="BG9" s="29"/>
      <c r="BH9" s="28"/>
      <c r="BI9" s="26"/>
      <c r="BJ9" s="26"/>
      <c r="BK9" s="29"/>
      <c r="BL9" s="28"/>
      <c r="BM9" s="26"/>
      <c r="BN9" s="26"/>
      <c r="BO9" s="29"/>
      <c r="BP9" s="28"/>
      <c r="BQ9" s="26"/>
      <c r="BR9" s="26"/>
      <c r="BS9" s="29"/>
      <c r="BT9" s="28"/>
      <c r="BU9" s="26"/>
      <c r="BV9" s="26"/>
      <c r="BW9" s="29"/>
      <c r="BX9" s="28"/>
      <c r="BY9" s="26"/>
      <c r="BZ9" s="26"/>
      <c r="CA9" s="29"/>
      <c r="CB9" s="28"/>
      <c r="CC9" s="26"/>
      <c r="CD9" s="26"/>
      <c r="CE9" s="29"/>
      <c r="CF9" s="28"/>
      <c r="CG9" s="26"/>
      <c r="CH9" s="26"/>
      <c r="CI9" s="29"/>
      <c r="CJ9" s="28"/>
      <c r="CK9" s="26"/>
      <c r="CL9" s="26"/>
      <c r="CM9" s="29"/>
      <c r="CN9" s="28"/>
      <c r="CO9" s="26"/>
      <c r="CP9" s="26"/>
      <c r="CQ9" s="29"/>
      <c r="CR9" s="28"/>
      <c r="CS9" s="26"/>
      <c r="CT9" s="26"/>
      <c r="CU9" s="29"/>
      <c r="CV9" s="28"/>
      <c r="CW9" s="26"/>
      <c r="CX9" s="26"/>
      <c r="CY9" s="29"/>
      <c r="CZ9" s="28"/>
      <c r="DA9" s="26"/>
      <c r="DB9" s="26"/>
      <c r="DC9" s="29"/>
    </row>
    <row r="10" spans="1:107" ht="19.899999999999999" customHeight="1" x14ac:dyDescent="0.25">
      <c r="A10" s="178"/>
      <c r="B10" s="154" t="str">
        <f>+Jugadores!O9</f>
        <v xml:space="preserve">Manuel Arrieche </v>
      </c>
      <c r="C10" s="155"/>
      <c r="D10" s="24">
        <f t="shared" si="0"/>
        <v>0</v>
      </c>
      <c r="E10" s="24">
        <f t="shared" si="1"/>
        <v>0</v>
      </c>
      <c r="F10" s="115">
        <f t="shared" si="2"/>
        <v>0</v>
      </c>
      <c r="G10" s="115">
        <f t="shared" si="3"/>
        <v>0</v>
      </c>
      <c r="H10" s="28"/>
      <c r="I10" s="26"/>
      <c r="J10" s="26"/>
      <c r="K10" s="29"/>
      <c r="L10" s="28"/>
      <c r="M10" s="26"/>
      <c r="N10" s="26"/>
      <c r="O10" s="29"/>
      <c r="P10" s="28"/>
      <c r="Q10" s="26"/>
      <c r="R10" s="26"/>
      <c r="S10" s="29"/>
      <c r="T10" s="28"/>
      <c r="U10" s="26"/>
      <c r="V10" s="26"/>
      <c r="W10" s="29"/>
      <c r="X10" s="28"/>
      <c r="Y10" s="26"/>
      <c r="Z10" s="26"/>
      <c r="AA10" s="29"/>
      <c r="AB10" s="28"/>
      <c r="AC10" s="26"/>
      <c r="AD10" s="26"/>
      <c r="AE10" s="29"/>
      <c r="AF10" s="28"/>
      <c r="AG10" s="26"/>
      <c r="AH10" s="26"/>
      <c r="AI10" s="29"/>
      <c r="AJ10" s="28"/>
      <c r="AK10" s="26"/>
      <c r="AL10" s="26"/>
      <c r="AM10" s="29"/>
      <c r="AN10" s="28"/>
      <c r="AO10" s="26"/>
      <c r="AP10" s="26"/>
      <c r="AQ10" s="29"/>
      <c r="AR10" s="28"/>
      <c r="AS10" s="26"/>
      <c r="AT10" s="26"/>
      <c r="AU10" s="29"/>
      <c r="AV10" s="28"/>
      <c r="AW10" s="26"/>
      <c r="AX10" s="26"/>
      <c r="AY10" s="29"/>
      <c r="AZ10" s="28"/>
      <c r="BA10" s="26"/>
      <c r="BB10" s="26"/>
      <c r="BC10" s="29"/>
      <c r="BD10" s="28"/>
      <c r="BE10" s="26"/>
      <c r="BF10" s="26"/>
      <c r="BG10" s="29"/>
      <c r="BH10" s="28"/>
      <c r="BI10" s="26"/>
      <c r="BJ10" s="26"/>
      <c r="BK10" s="29"/>
      <c r="BL10" s="28"/>
      <c r="BM10" s="26"/>
      <c r="BN10" s="26"/>
      <c r="BO10" s="29"/>
      <c r="BP10" s="28"/>
      <c r="BQ10" s="26"/>
      <c r="BR10" s="26"/>
      <c r="BS10" s="29"/>
      <c r="BT10" s="28"/>
      <c r="BU10" s="26"/>
      <c r="BV10" s="26"/>
      <c r="BW10" s="29"/>
      <c r="BX10" s="28"/>
      <c r="BY10" s="26"/>
      <c r="BZ10" s="26"/>
      <c r="CA10" s="29"/>
      <c r="CB10" s="28"/>
      <c r="CC10" s="26"/>
      <c r="CD10" s="26"/>
      <c r="CE10" s="29"/>
      <c r="CF10" s="28"/>
      <c r="CG10" s="26"/>
      <c r="CH10" s="26"/>
      <c r="CI10" s="29"/>
      <c r="CJ10" s="28"/>
      <c r="CK10" s="26"/>
      <c r="CL10" s="26"/>
      <c r="CM10" s="29"/>
      <c r="CN10" s="28"/>
      <c r="CO10" s="26"/>
      <c r="CP10" s="26"/>
      <c r="CQ10" s="29"/>
      <c r="CR10" s="28"/>
      <c r="CS10" s="26"/>
      <c r="CT10" s="26"/>
      <c r="CU10" s="29"/>
      <c r="CV10" s="28"/>
      <c r="CW10" s="26"/>
      <c r="CX10" s="26"/>
      <c r="CY10" s="29"/>
      <c r="CZ10" s="28"/>
      <c r="DA10" s="26"/>
      <c r="DB10" s="26"/>
      <c r="DC10" s="29"/>
    </row>
    <row r="11" spans="1:107" ht="19.899999999999999" customHeight="1" x14ac:dyDescent="0.25">
      <c r="A11" s="178"/>
      <c r="B11" s="154" t="str">
        <f>+Jugadores!O10</f>
        <v xml:space="preserve">Gustavo González </v>
      </c>
      <c r="C11" s="155"/>
      <c r="D11" s="24">
        <f t="shared" si="0"/>
        <v>1</v>
      </c>
      <c r="E11" s="24">
        <f t="shared" si="1"/>
        <v>2</v>
      </c>
      <c r="F11" s="115">
        <f t="shared" si="2"/>
        <v>1</v>
      </c>
      <c r="G11" s="115">
        <f t="shared" si="3"/>
        <v>1</v>
      </c>
      <c r="H11" s="28"/>
      <c r="I11" s="26"/>
      <c r="J11" s="26"/>
      <c r="K11" s="29"/>
      <c r="L11" s="28"/>
      <c r="M11" s="26"/>
      <c r="N11" s="26"/>
      <c r="O11" s="29"/>
      <c r="P11" s="28"/>
      <c r="Q11" s="26"/>
      <c r="R11" s="26"/>
      <c r="S11" s="29"/>
      <c r="T11" s="28"/>
      <c r="U11" s="26"/>
      <c r="V11" s="26"/>
      <c r="W11" s="29"/>
      <c r="X11" s="28"/>
      <c r="Y11" s="26"/>
      <c r="Z11" s="26"/>
      <c r="AA11" s="29"/>
      <c r="AB11" s="28"/>
      <c r="AC11" s="26"/>
      <c r="AD11" s="26"/>
      <c r="AE11" s="29"/>
      <c r="AF11" s="28"/>
      <c r="AG11" s="26"/>
      <c r="AH11" s="26"/>
      <c r="AI11" s="29"/>
      <c r="AJ11" s="28"/>
      <c r="AK11" s="26"/>
      <c r="AL11" s="26"/>
      <c r="AM11" s="29"/>
      <c r="AN11" s="28"/>
      <c r="AO11" s="26">
        <v>1</v>
      </c>
      <c r="AP11" s="26"/>
      <c r="AQ11" s="29"/>
      <c r="AR11" s="28"/>
      <c r="AS11" s="26"/>
      <c r="AT11" s="26"/>
      <c r="AU11" s="29"/>
      <c r="AV11" s="28"/>
      <c r="AW11" s="26"/>
      <c r="AX11" s="26"/>
      <c r="AY11" s="29"/>
      <c r="AZ11" s="28"/>
      <c r="BA11" s="26"/>
      <c r="BB11" s="26"/>
      <c r="BC11" s="29"/>
      <c r="BD11" s="28"/>
      <c r="BE11" s="26"/>
      <c r="BF11" s="26"/>
      <c r="BG11" s="29"/>
      <c r="BH11" s="28"/>
      <c r="BI11" s="26"/>
      <c r="BJ11" s="26"/>
      <c r="BK11" s="29"/>
      <c r="BL11" s="28"/>
      <c r="BM11" s="26"/>
      <c r="BN11" s="26"/>
      <c r="BO11" s="29"/>
      <c r="BP11" s="28"/>
      <c r="BQ11" s="26"/>
      <c r="BR11" s="26"/>
      <c r="BS11" s="29"/>
      <c r="BT11" s="28"/>
      <c r="BU11" s="26"/>
      <c r="BV11" s="26"/>
      <c r="BW11" s="29"/>
      <c r="BX11" s="28">
        <v>1</v>
      </c>
      <c r="BY11" s="26"/>
      <c r="BZ11" s="26"/>
      <c r="CA11" s="29"/>
      <c r="CB11" s="28"/>
      <c r="CC11" s="26"/>
      <c r="CD11" s="26"/>
      <c r="CE11" s="29"/>
      <c r="CF11" s="28"/>
      <c r="CG11" s="26"/>
      <c r="CH11" s="26"/>
      <c r="CI11" s="29"/>
      <c r="CJ11" s="28"/>
      <c r="CK11" s="26"/>
      <c r="CL11" s="26"/>
      <c r="CM11" s="29"/>
      <c r="CN11" s="28"/>
      <c r="CO11" s="26">
        <v>1</v>
      </c>
      <c r="CP11" s="26"/>
      <c r="CQ11" s="29"/>
      <c r="CR11" s="28"/>
      <c r="CS11" s="26"/>
      <c r="CT11" s="26"/>
      <c r="CU11" s="29"/>
      <c r="CV11" s="28"/>
      <c r="CW11" s="26"/>
      <c r="CX11" s="26"/>
      <c r="CY11" s="29"/>
      <c r="CZ11" s="28"/>
      <c r="DA11" s="26"/>
      <c r="DB11" s="26"/>
      <c r="DC11" s="29"/>
    </row>
    <row r="12" spans="1:107" ht="19.899999999999999" customHeight="1" x14ac:dyDescent="0.25">
      <c r="A12" s="178"/>
      <c r="B12" s="154" t="str">
        <f>+Jugadores!O11</f>
        <v xml:space="preserve">Luis Rodríguez </v>
      </c>
      <c r="C12" s="155"/>
      <c r="D12" s="24">
        <f t="shared" si="0"/>
        <v>2</v>
      </c>
      <c r="E12" s="24">
        <f t="shared" si="1"/>
        <v>0</v>
      </c>
      <c r="F12" s="115">
        <f t="shared" si="2"/>
        <v>2</v>
      </c>
      <c r="G12" s="115">
        <f t="shared" si="3"/>
        <v>0</v>
      </c>
      <c r="H12" s="28"/>
      <c r="I12" s="26"/>
      <c r="J12" s="26"/>
      <c r="K12" s="29"/>
      <c r="L12" s="28"/>
      <c r="M12" s="26"/>
      <c r="N12" s="26"/>
      <c r="O12" s="29"/>
      <c r="P12" s="28"/>
      <c r="Q12" s="26"/>
      <c r="R12" s="26"/>
      <c r="S12" s="29"/>
      <c r="T12" s="28"/>
      <c r="U12" s="26"/>
      <c r="V12" s="26"/>
      <c r="W12" s="29"/>
      <c r="X12" s="28"/>
      <c r="Y12" s="26"/>
      <c r="Z12" s="26"/>
      <c r="AA12" s="29"/>
      <c r="AB12" s="28"/>
      <c r="AC12" s="26"/>
      <c r="AD12" s="26"/>
      <c r="AE12" s="29"/>
      <c r="AF12" s="28"/>
      <c r="AG12" s="26"/>
      <c r="AH12" s="26"/>
      <c r="AI12" s="29"/>
      <c r="AJ12" s="28"/>
      <c r="AK12" s="26"/>
      <c r="AL12" s="26"/>
      <c r="AM12" s="29"/>
      <c r="AN12" s="28"/>
      <c r="AO12" s="26"/>
      <c r="AP12" s="26"/>
      <c r="AQ12" s="29"/>
      <c r="AR12" s="28"/>
      <c r="AS12" s="26"/>
      <c r="AT12" s="26"/>
      <c r="AU12" s="29"/>
      <c r="AV12" s="28"/>
      <c r="AW12" s="26"/>
      <c r="AX12" s="26"/>
      <c r="AY12" s="29"/>
      <c r="AZ12" s="28"/>
      <c r="BA12" s="26"/>
      <c r="BB12" s="26"/>
      <c r="BC12" s="29"/>
      <c r="BD12" s="28"/>
      <c r="BE12" s="26"/>
      <c r="BF12" s="26"/>
      <c r="BG12" s="29"/>
      <c r="BH12" s="28"/>
      <c r="BI12" s="26"/>
      <c r="BJ12" s="26"/>
      <c r="BK12" s="29"/>
      <c r="BL12" s="28"/>
      <c r="BM12" s="26"/>
      <c r="BN12" s="26"/>
      <c r="BO12" s="29"/>
      <c r="BP12" s="28"/>
      <c r="BQ12" s="26"/>
      <c r="BR12" s="26"/>
      <c r="BS12" s="29"/>
      <c r="BT12" s="28"/>
      <c r="BU12" s="26"/>
      <c r="BV12" s="26"/>
      <c r="BW12" s="29"/>
      <c r="BX12" s="28">
        <v>2</v>
      </c>
      <c r="BY12" s="26"/>
      <c r="BZ12" s="26"/>
      <c r="CA12" s="29"/>
      <c r="CB12" s="28"/>
      <c r="CC12" s="26"/>
      <c r="CD12" s="26"/>
      <c r="CE12" s="29"/>
      <c r="CF12" s="28"/>
      <c r="CG12" s="26"/>
      <c r="CH12" s="26"/>
      <c r="CI12" s="29"/>
      <c r="CJ12" s="28"/>
      <c r="CK12" s="26"/>
      <c r="CL12" s="26"/>
      <c r="CM12" s="29"/>
      <c r="CN12" s="28"/>
      <c r="CO12" s="26"/>
      <c r="CP12" s="26"/>
      <c r="CQ12" s="29"/>
      <c r="CR12" s="28"/>
      <c r="CS12" s="26"/>
      <c r="CT12" s="26"/>
      <c r="CU12" s="29"/>
      <c r="CV12" s="28"/>
      <c r="CW12" s="26"/>
      <c r="CX12" s="26"/>
      <c r="CY12" s="29"/>
      <c r="CZ12" s="28"/>
      <c r="DA12" s="26"/>
      <c r="DB12" s="26"/>
      <c r="DC12" s="29"/>
    </row>
    <row r="13" spans="1:107" ht="19.899999999999999" customHeight="1" x14ac:dyDescent="0.25">
      <c r="A13" s="178"/>
      <c r="B13" s="154" t="str">
        <f>+Jugadores!O12</f>
        <v>Juan Ortíz</v>
      </c>
      <c r="C13" s="155"/>
      <c r="D13" s="24">
        <f t="shared" si="0"/>
        <v>6</v>
      </c>
      <c r="E13" s="24">
        <f t="shared" si="1"/>
        <v>2</v>
      </c>
      <c r="F13" s="115">
        <f t="shared" si="2"/>
        <v>4</v>
      </c>
      <c r="G13" s="115">
        <f t="shared" si="3"/>
        <v>0</v>
      </c>
      <c r="H13" s="28"/>
      <c r="I13" s="26"/>
      <c r="J13" s="26"/>
      <c r="K13" s="29"/>
      <c r="L13" s="28"/>
      <c r="M13" s="26"/>
      <c r="N13" s="26"/>
      <c r="O13" s="29"/>
      <c r="P13" s="28">
        <v>1</v>
      </c>
      <c r="Q13" s="26"/>
      <c r="R13" s="26"/>
      <c r="S13" s="29"/>
      <c r="T13" s="28"/>
      <c r="U13" s="26">
        <v>1</v>
      </c>
      <c r="V13" s="26"/>
      <c r="W13" s="29"/>
      <c r="X13" s="28"/>
      <c r="Y13" s="26"/>
      <c r="Z13" s="26"/>
      <c r="AA13" s="29"/>
      <c r="AB13" s="28">
        <v>1</v>
      </c>
      <c r="AC13" s="26"/>
      <c r="AD13" s="26"/>
      <c r="AE13" s="29"/>
      <c r="AF13" s="28"/>
      <c r="AG13" s="26"/>
      <c r="AH13" s="26"/>
      <c r="AI13" s="29"/>
      <c r="AJ13" s="28"/>
      <c r="AK13" s="26"/>
      <c r="AL13" s="26"/>
      <c r="AM13" s="29"/>
      <c r="AN13" s="28"/>
      <c r="AO13" s="26"/>
      <c r="AP13" s="26"/>
      <c r="AQ13" s="29"/>
      <c r="AR13" s="28"/>
      <c r="AS13" s="26"/>
      <c r="AT13" s="26"/>
      <c r="AU13" s="29"/>
      <c r="AV13" s="28"/>
      <c r="AW13" s="26"/>
      <c r="AX13" s="26"/>
      <c r="AY13" s="29"/>
      <c r="AZ13" s="28"/>
      <c r="BA13" s="26">
        <v>1</v>
      </c>
      <c r="BB13" s="26"/>
      <c r="BC13" s="29"/>
      <c r="BD13" s="28"/>
      <c r="BE13" s="26"/>
      <c r="BF13" s="26"/>
      <c r="BG13" s="29"/>
      <c r="BH13" s="28"/>
      <c r="BI13" s="26"/>
      <c r="BJ13" s="26"/>
      <c r="BK13" s="29"/>
      <c r="BL13" s="28"/>
      <c r="BM13" s="26"/>
      <c r="BN13" s="26"/>
      <c r="BO13" s="29"/>
      <c r="BP13" s="28"/>
      <c r="BQ13" s="26"/>
      <c r="BR13" s="26"/>
      <c r="BS13" s="29"/>
      <c r="BT13" s="28">
        <v>1</v>
      </c>
      <c r="BU13" s="26"/>
      <c r="BV13" s="26"/>
      <c r="BW13" s="29"/>
      <c r="BX13" s="28"/>
      <c r="BY13" s="26"/>
      <c r="BZ13" s="26"/>
      <c r="CA13" s="29"/>
      <c r="CB13" s="28">
        <v>1</v>
      </c>
      <c r="CC13" s="26"/>
      <c r="CD13" s="26"/>
      <c r="CE13" s="29"/>
      <c r="CF13" s="28"/>
      <c r="CG13" s="26"/>
      <c r="CH13" s="26"/>
      <c r="CI13" s="29"/>
      <c r="CJ13" s="28">
        <v>2</v>
      </c>
      <c r="CK13" s="26"/>
      <c r="CL13" s="26"/>
      <c r="CM13" s="29"/>
      <c r="CN13" s="28"/>
      <c r="CO13" s="26"/>
      <c r="CP13" s="26"/>
      <c r="CQ13" s="29"/>
      <c r="CR13" s="28"/>
      <c r="CS13" s="26"/>
      <c r="CT13" s="26"/>
      <c r="CU13" s="29"/>
      <c r="CV13" s="28"/>
      <c r="CW13" s="26"/>
      <c r="CX13" s="26"/>
      <c r="CY13" s="29"/>
      <c r="CZ13" s="28"/>
      <c r="DA13" s="26"/>
      <c r="DB13" s="26"/>
      <c r="DC13" s="29"/>
    </row>
    <row r="14" spans="1:107" ht="19.899999999999999" customHeight="1" x14ac:dyDescent="0.25">
      <c r="A14" s="178"/>
      <c r="B14" s="154" t="str">
        <f>+Jugadores!O13</f>
        <v>José Llorente</v>
      </c>
      <c r="C14" s="155"/>
      <c r="D14" s="24">
        <f t="shared" si="0"/>
        <v>5</v>
      </c>
      <c r="E14" s="24">
        <f t="shared" si="1"/>
        <v>0</v>
      </c>
      <c r="F14" s="115">
        <f t="shared" si="2"/>
        <v>0</v>
      </c>
      <c r="G14" s="115">
        <f t="shared" si="3"/>
        <v>0</v>
      </c>
      <c r="H14" s="28"/>
      <c r="I14" s="26"/>
      <c r="J14" s="26"/>
      <c r="K14" s="29"/>
      <c r="L14" s="28"/>
      <c r="M14" s="26"/>
      <c r="N14" s="26"/>
      <c r="O14" s="29"/>
      <c r="P14" s="28"/>
      <c r="Q14" s="26"/>
      <c r="R14" s="26"/>
      <c r="S14" s="29"/>
      <c r="T14" s="28"/>
      <c r="U14" s="26"/>
      <c r="V14" s="26"/>
      <c r="W14" s="29"/>
      <c r="X14" s="28"/>
      <c r="Y14" s="26"/>
      <c r="Z14" s="26"/>
      <c r="AA14" s="29"/>
      <c r="AB14" s="28"/>
      <c r="AC14" s="26"/>
      <c r="AD14" s="26"/>
      <c r="AE14" s="29"/>
      <c r="AF14" s="28">
        <v>2</v>
      </c>
      <c r="AG14" s="26"/>
      <c r="AH14" s="26"/>
      <c r="AI14" s="29"/>
      <c r="AJ14" s="28"/>
      <c r="AK14" s="26"/>
      <c r="AL14" s="26"/>
      <c r="AM14" s="29"/>
      <c r="AN14" s="28"/>
      <c r="AO14" s="26"/>
      <c r="AP14" s="26"/>
      <c r="AQ14" s="29"/>
      <c r="AR14" s="28"/>
      <c r="AS14" s="26"/>
      <c r="AT14" s="26"/>
      <c r="AU14" s="29"/>
      <c r="AV14" s="28">
        <v>2</v>
      </c>
      <c r="AW14" s="26"/>
      <c r="AX14" s="26"/>
      <c r="AY14" s="29"/>
      <c r="AZ14" s="28"/>
      <c r="BA14" s="26"/>
      <c r="BB14" s="26"/>
      <c r="BC14" s="29"/>
      <c r="BD14" s="28"/>
      <c r="BE14" s="26"/>
      <c r="BF14" s="26"/>
      <c r="BG14" s="29"/>
      <c r="BH14" s="28">
        <v>1</v>
      </c>
      <c r="BI14" s="26"/>
      <c r="BJ14" s="26"/>
      <c r="BK14" s="29"/>
      <c r="BL14" s="28"/>
      <c r="BM14" s="26"/>
      <c r="BN14" s="26"/>
      <c r="BO14" s="29"/>
      <c r="BP14" s="28"/>
      <c r="BQ14" s="26"/>
      <c r="BR14" s="26"/>
      <c r="BS14" s="29"/>
      <c r="BT14" s="28"/>
      <c r="BU14" s="26"/>
      <c r="BV14" s="26"/>
      <c r="BW14" s="29"/>
      <c r="BX14" s="28"/>
      <c r="BY14" s="26"/>
      <c r="BZ14" s="26"/>
      <c r="CA14" s="29"/>
      <c r="CB14" s="28"/>
      <c r="CC14" s="26"/>
      <c r="CD14" s="26"/>
      <c r="CE14" s="29"/>
      <c r="CF14" s="28"/>
      <c r="CG14" s="26"/>
      <c r="CH14" s="26"/>
      <c r="CI14" s="29"/>
      <c r="CJ14" s="28"/>
      <c r="CK14" s="26"/>
      <c r="CL14" s="26"/>
      <c r="CM14" s="29"/>
      <c r="CN14" s="28"/>
      <c r="CO14" s="26"/>
      <c r="CP14" s="26"/>
      <c r="CQ14" s="29"/>
      <c r="CR14" s="28"/>
      <c r="CS14" s="26"/>
      <c r="CT14" s="26"/>
      <c r="CU14" s="29"/>
      <c r="CV14" s="28"/>
      <c r="CW14" s="26"/>
      <c r="CX14" s="26"/>
      <c r="CY14" s="29"/>
      <c r="CZ14" s="28"/>
      <c r="DA14" s="26"/>
      <c r="DB14" s="26"/>
      <c r="DC14" s="29"/>
    </row>
    <row r="15" spans="1:107" ht="19.899999999999999" customHeight="1" x14ac:dyDescent="0.25">
      <c r="A15" s="178"/>
      <c r="B15" s="154" t="str">
        <f>+Jugadores!O14</f>
        <v>Nilson Beltran</v>
      </c>
      <c r="C15" s="155"/>
      <c r="D15" s="24">
        <f t="shared" si="0"/>
        <v>4</v>
      </c>
      <c r="E15" s="24">
        <f t="shared" si="1"/>
        <v>2</v>
      </c>
      <c r="F15" s="115">
        <f t="shared" si="2"/>
        <v>1</v>
      </c>
      <c r="G15" s="115">
        <f t="shared" si="3"/>
        <v>0</v>
      </c>
      <c r="H15" s="28"/>
      <c r="I15" s="26"/>
      <c r="J15" s="26"/>
      <c r="K15" s="29"/>
      <c r="L15" s="28"/>
      <c r="M15" s="26"/>
      <c r="N15" s="26"/>
      <c r="O15" s="29"/>
      <c r="P15" s="28"/>
      <c r="Q15" s="26"/>
      <c r="R15" s="26"/>
      <c r="S15" s="29"/>
      <c r="T15" s="28"/>
      <c r="U15" s="26"/>
      <c r="V15" s="26"/>
      <c r="W15" s="29"/>
      <c r="X15" s="28"/>
      <c r="Y15" s="26"/>
      <c r="Z15" s="26"/>
      <c r="AA15" s="29"/>
      <c r="AB15" s="28"/>
      <c r="AC15" s="26"/>
      <c r="AD15" s="26"/>
      <c r="AE15" s="29"/>
      <c r="AF15" s="28"/>
      <c r="AG15" s="26">
        <v>1</v>
      </c>
      <c r="AH15" s="26"/>
      <c r="AI15" s="29"/>
      <c r="AJ15" s="28"/>
      <c r="AK15" s="26"/>
      <c r="AL15" s="26"/>
      <c r="AM15" s="29"/>
      <c r="AN15" s="28">
        <v>2</v>
      </c>
      <c r="AO15" s="26">
        <v>1</v>
      </c>
      <c r="AP15" s="26"/>
      <c r="AQ15" s="29"/>
      <c r="AR15" s="28"/>
      <c r="AS15" s="26"/>
      <c r="AT15" s="26"/>
      <c r="AU15" s="29"/>
      <c r="AV15" s="28"/>
      <c r="AW15" s="26"/>
      <c r="AX15" s="26"/>
      <c r="AY15" s="29"/>
      <c r="AZ15" s="28"/>
      <c r="BA15" s="26"/>
      <c r="BB15" s="26"/>
      <c r="BC15" s="29"/>
      <c r="BD15" s="28"/>
      <c r="BE15" s="26"/>
      <c r="BF15" s="26">
        <v>1</v>
      </c>
      <c r="BG15" s="29"/>
      <c r="BH15" s="28"/>
      <c r="BI15" s="26"/>
      <c r="BJ15" s="26"/>
      <c r="BK15" s="29"/>
      <c r="BL15" s="28">
        <v>2</v>
      </c>
      <c r="BM15" s="26"/>
      <c r="BN15" s="26"/>
      <c r="BO15" s="29"/>
      <c r="BP15" s="28"/>
      <c r="BQ15" s="26"/>
      <c r="BR15" s="26"/>
      <c r="BS15" s="29"/>
      <c r="BT15" s="28"/>
      <c r="BU15" s="26"/>
      <c r="BV15" s="26"/>
      <c r="BW15" s="29"/>
      <c r="BX15" s="28"/>
      <c r="BY15" s="26"/>
      <c r="BZ15" s="26"/>
      <c r="CA15" s="29"/>
      <c r="CB15" s="28"/>
      <c r="CC15" s="26"/>
      <c r="CD15" s="26"/>
      <c r="CE15" s="29"/>
      <c r="CF15" s="28"/>
      <c r="CG15" s="26"/>
      <c r="CH15" s="26"/>
      <c r="CI15" s="29"/>
      <c r="CJ15" s="28"/>
      <c r="CK15" s="26"/>
      <c r="CL15" s="26"/>
      <c r="CM15" s="29"/>
      <c r="CN15" s="28"/>
      <c r="CO15" s="26"/>
      <c r="CP15" s="26"/>
      <c r="CQ15" s="29"/>
      <c r="CR15" s="28"/>
      <c r="CS15" s="26"/>
      <c r="CT15" s="26"/>
      <c r="CU15" s="29"/>
      <c r="CV15" s="28"/>
      <c r="CW15" s="26"/>
      <c r="CX15" s="26"/>
      <c r="CY15" s="29"/>
      <c r="CZ15" s="28"/>
      <c r="DA15" s="26"/>
      <c r="DB15" s="26"/>
      <c r="DC15" s="29"/>
    </row>
    <row r="16" spans="1:107" ht="19.899999999999999" customHeight="1" x14ac:dyDescent="0.25">
      <c r="A16" s="178"/>
      <c r="B16" s="154" t="str">
        <f>+Jugadores!O15</f>
        <v>Antony Sánchez</v>
      </c>
      <c r="C16" s="155"/>
      <c r="D16" s="24">
        <f t="shared" si="0"/>
        <v>1</v>
      </c>
      <c r="E16" s="24">
        <f t="shared" si="1"/>
        <v>1</v>
      </c>
      <c r="F16" s="115">
        <f t="shared" si="2"/>
        <v>0</v>
      </c>
      <c r="G16" s="115">
        <f t="shared" si="3"/>
        <v>0</v>
      </c>
      <c r="H16" s="28"/>
      <c r="I16" s="26"/>
      <c r="J16" s="26"/>
      <c r="K16" s="29"/>
      <c r="L16" s="28"/>
      <c r="M16" s="26"/>
      <c r="N16" s="26"/>
      <c r="O16" s="29"/>
      <c r="P16" s="28"/>
      <c r="Q16" s="26"/>
      <c r="R16" s="26"/>
      <c r="S16" s="29"/>
      <c r="T16" s="28"/>
      <c r="U16" s="26"/>
      <c r="V16" s="26"/>
      <c r="W16" s="29"/>
      <c r="X16" s="28"/>
      <c r="Y16" s="26">
        <v>1</v>
      </c>
      <c r="Z16" s="26"/>
      <c r="AA16" s="29"/>
      <c r="AB16" s="28">
        <v>1</v>
      </c>
      <c r="AC16" s="26"/>
      <c r="AD16" s="26"/>
      <c r="AE16" s="29"/>
      <c r="AF16" s="28"/>
      <c r="AG16" s="26"/>
      <c r="AH16" s="26"/>
      <c r="AI16" s="29"/>
      <c r="AJ16" s="28"/>
      <c r="AK16" s="26"/>
      <c r="AL16" s="26"/>
      <c r="AM16" s="29"/>
      <c r="AN16" s="28"/>
      <c r="AO16" s="26"/>
      <c r="AP16" s="26"/>
      <c r="AQ16" s="29"/>
      <c r="AR16" s="28"/>
      <c r="AS16" s="26"/>
      <c r="AT16" s="26"/>
      <c r="AU16" s="29"/>
      <c r="AV16" s="28"/>
      <c r="AW16" s="26"/>
      <c r="AX16" s="26"/>
      <c r="AY16" s="29"/>
      <c r="AZ16" s="28"/>
      <c r="BA16" s="26"/>
      <c r="BB16" s="26"/>
      <c r="BC16" s="29"/>
      <c r="BD16" s="28"/>
      <c r="BE16" s="26"/>
      <c r="BF16" s="26"/>
      <c r="BG16" s="29"/>
      <c r="BH16" s="28"/>
      <c r="BI16" s="26"/>
      <c r="BJ16" s="26"/>
      <c r="BK16" s="29"/>
      <c r="BL16" s="28"/>
      <c r="BM16" s="26"/>
      <c r="BN16" s="26"/>
      <c r="BO16" s="29"/>
      <c r="BP16" s="28"/>
      <c r="BQ16" s="26"/>
      <c r="BR16" s="26"/>
      <c r="BS16" s="29"/>
      <c r="BT16" s="28"/>
      <c r="BU16" s="26"/>
      <c r="BV16" s="26"/>
      <c r="BW16" s="29"/>
      <c r="BX16" s="28"/>
      <c r="BY16" s="26"/>
      <c r="BZ16" s="26"/>
      <c r="CA16" s="29"/>
      <c r="CB16" s="28"/>
      <c r="CC16" s="26"/>
      <c r="CD16" s="26"/>
      <c r="CE16" s="29"/>
      <c r="CF16" s="28"/>
      <c r="CG16" s="26"/>
      <c r="CH16" s="26"/>
      <c r="CI16" s="29"/>
      <c r="CJ16" s="28"/>
      <c r="CK16" s="26"/>
      <c r="CL16" s="26"/>
      <c r="CM16" s="29"/>
      <c r="CN16" s="28"/>
      <c r="CO16" s="26"/>
      <c r="CP16" s="26"/>
      <c r="CQ16" s="29"/>
      <c r="CR16" s="28"/>
      <c r="CS16" s="26"/>
      <c r="CT16" s="26"/>
      <c r="CU16" s="29"/>
      <c r="CV16" s="28"/>
      <c r="CW16" s="26"/>
      <c r="CX16" s="26"/>
      <c r="CY16" s="29"/>
      <c r="CZ16" s="28"/>
      <c r="DA16" s="26"/>
      <c r="DB16" s="26"/>
      <c r="DC16" s="29"/>
    </row>
    <row r="17" spans="1:107" ht="19.899999999999999" customHeight="1" x14ac:dyDescent="0.25">
      <c r="A17" s="178"/>
      <c r="B17" s="154" t="str">
        <f>+Jugadores!O16</f>
        <v>Iván Betancourt</v>
      </c>
      <c r="C17" s="155"/>
      <c r="D17" s="24">
        <f t="shared" si="0"/>
        <v>5</v>
      </c>
      <c r="E17" s="24">
        <f t="shared" si="1"/>
        <v>1</v>
      </c>
      <c r="F17" s="115">
        <f t="shared" si="2"/>
        <v>4</v>
      </c>
      <c r="G17" s="115">
        <f t="shared" si="3"/>
        <v>1</v>
      </c>
      <c r="H17" s="28"/>
      <c r="I17" s="26"/>
      <c r="J17" s="26"/>
      <c r="K17" s="29"/>
      <c r="L17" s="28"/>
      <c r="M17" s="26"/>
      <c r="N17" s="26"/>
      <c r="O17" s="29"/>
      <c r="P17" s="28"/>
      <c r="Q17" s="26"/>
      <c r="R17" s="26"/>
      <c r="S17" s="29"/>
      <c r="T17" s="28"/>
      <c r="U17" s="26"/>
      <c r="V17" s="26"/>
      <c r="W17" s="29"/>
      <c r="X17" s="28"/>
      <c r="Y17" s="26"/>
      <c r="Z17" s="26"/>
      <c r="AA17" s="29"/>
      <c r="AB17" s="28"/>
      <c r="AC17" s="26"/>
      <c r="AD17" s="26"/>
      <c r="AE17" s="29"/>
      <c r="AF17" s="28"/>
      <c r="AG17" s="26"/>
      <c r="AH17" s="26"/>
      <c r="AI17" s="29"/>
      <c r="AJ17" s="28"/>
      <c r="AK17" s="26"/>
      <c r="AL17" s="26"/>
      <c r="AM17" s="29"/>
      <c r="AN17" s="28"/>
      <c r="AO17" s="26"/>
      <c r="AP17" s="26"/>
      <c r="AQ17" s="29"/>
      <c r="AR17" s="28"/>
      <c r="AS17" s="26"/>
      <c r="AT17" s="26"/>
      <c r="AU17" s="29"/>
      <c r="AV17" s="28">
        <v>1</v>
      </c>
      <c r="AW17" s="26"/>
      <c r="AX17" s="26"/>
      <c r="AY17" s="29"/>
      <c r="AZ17" s="28"/>
      <c r="BA17" s="26"/>
      <c r="BB17" s="26"/>
      <c r="BC17" s="29"/>
      <c r="BD17" s="28"/>
      <c r="BE17" s="26"/>
      <c r="BF17" s="26"/>
      <c r="BG17" s="29"/>
      <c r="BH17" s="28"/>
      <c r="BI17" s="26"/>
      <c r="BJ17" s="26"/>
      <c r="BK17" s="29"/>
      <c r="BL17" s="28"/>
      <c r="BM17" s="26"/>
      <c r="BN17" s="26"/>
      <c r="BO17" s="29"/>
      <c r="BP17" s="28"/>
      <c r="BQ17" s="26"/>
      <c r="BR17" s="26"/>
      <c r="BS17" s="29"/>
      <c r="BT17" s="28">
        <v>3</v>
      </c>
      <c r="BU17" s="26"/>
      <c r="BV17" s="26"/>
      <c r="BW17" s="29"/>
      <c r="BX17" s="28"/>
      <c r="BY17" s="26"/>
      <c r="BZ17" s="26"/>
      <c r="CA17" s="29"/>
      <c r="CB17" s="28"/>
      <c r="CC17" s="26"/>
      <c r="CD17" s="26">
        <v>1</v>
      </c>
      <c r="CE17" s="29"/>
      <c r="CF17" s="28"/>
      <c r="CG17" s="26"/>
      <c r="CH17" s="26"/>
      <c r="CI17" s="29"/>
      <c r="CJ17" s="28">
        <v>1</v>
      </c>
      <c r="CK17" s="26"/>
      <c r="CL17" s="26"/>
      <c r="CM17" s="29"/>
      <c r="CN17" s="28"/>
      <c r="CO17" s="26"/>
      <c r="CP17" s="26"/>
      <c r="CQ17" s="29"/>
      <c r="CR17" s="28"/>
      <c r="CS17" s="26"/>
      <c r="CT17" s="26"/>
      <c r="CU17" s="29"/>
      <c r="CV17" s="28"/>
      <c r="CW17" s="26"/>
      <c r="CX17" s="26"/>
      <c r="CY17" s="29"/>
      <c r="CZ17" s="28"/>
      <c r="DA17" s="26"/>
      <c r="DB17" s="26"/>
      <c r="DC17" s="29"/>
    </row>
    <row r="18" spans="1:107" ht="19.899999999999999" customHeight="1" x14ac:dyDescent="0.25">
      <c r="A18" s="179"/>
      <c r="B18" s="156">
        <f>+Jugadores!O17</f>
        <v>0</v>
      </c>
      <c r="C18" s="157"/>
      <c r="D18" s="24">
        <f t="shared" si="0"/>
        <v>5</v>
      </c>
      <c r="E18" s="24">
        <f t="shared" si="1"/>
        <v>0</v>
      </c>
      <c r="F18" s="115">
        <f t="shared" si="2"/>
        <v>3</v>
      </c>
      <c r="G18" s="115">
        <f t="shared" si="3"/>
        <v>0</v>
      </c>
      <c r="H18" s="83"/>
      <c r="I18" s="84"/>
      <c r="J18" s="84"/>
      <c r="K18" s="85"/>
      <c r="L18" s="83"/>
      <c r="M18" s="84"/>
      <c r="N18" s="84"/>
      <c r="O18" s="85"/>
      <c r="P18" s="83"/>
      <c r="Q18" s="84"/>
      <c r="R18" s="84"/>
      <c r="S18" s="85"/>
      <c r="T18" s="83">
        <v>1</v>
      </c>
      <c r="U18" s="84"/>
      <c r="V18" s="84"/>
      <c r="W18" s="85"/>
      <c r="X18" s="83">
        <v>1</v>
      </c>
      <c r="Y18" s="84"/>
      <c r="Z18" s="84"/>
      <c r="AA18" s="85"/>
      <c r="AB18" s="83"/>
      <c r="AC18" s="84"/>
      <c r="AD18" s="84"/>
      <c r="AE18" s="85"/>
      <c r="AF18" s="83"/>
      <c r="AG18" s="84"/>
      <c r="AH18" s="84"/>
      <c r="AI18" s="85"/>
      <c r="AJ18" s="83"/>
      <c r="AK18" s="84"/>
      <c r="AL18" s="84"/>
      <c r="AM18" s="85"/>
      <c r="AN18" s="83"/>
      <c r="AO18" s="84"/>
      <c r="AP18" s="84"/>
      <c r="AQ18" s="85"/>
      <c r="AR18" s="83"/>
      <c r="AS18" s="84"/>
      <c r="AT18" s="84"/>
      <c r="AU18" s="85"/>
      <c r="AV18" s="83"/>
      <c r="AW18" s="84"/>
      <c r="AX18" s="84"/>
      <c r="AY18" s="85"/>
      <c r="AZ18" s="83"/>
      <c r="BA18" s="84"/>
      <c r="BB18" s="84"/>
      <c r="BC18" s="85"/>
      <c r="BD18" s="83"/>
      <c r="BE18" s="84"/>
      <c r="BF18" s="84"/>
      <c r="BG18" s="85"/>
      <c r="BH18" s="83"/>
      <c r="BI18" s="84"/>
      <c r="BJ18" s="84"/>
      <c r="BK18" s="85"/>
      <c r="BL18" s="83"/>
      <c r="BM18" s="84"/>
      <c r="BN18" s="84"/>
      <c r="BO18" s="85"/>
      <c r="BP18" s="83"/>
      <c r="BQ18" s="84"/>
      <c r="BR18" s="84"/>
      <c r="BS18" s="85"/>
      <c r="BT18" s="83">
        <v>1</v>
      </c>
      <c r="BU18" s="84"/>
      <c r="BV18" s="84"/>
      <c r="BW18" s="85"/>
      <c r="BX18" s="83"/>
      <c r="BY18" s="84"/>
      <c r="BZ18" s="84"/>
      <c r="CA18" s="85"/>
      <c r="CB18" s="83">
        <v>1</v>
      </c>
      <c r="CC18" s="84"/>
      <c r="CD18" s="84"/>
      <c r="CE18" s="85"/>
      <c r="CF18" s="83">
        <v>1</v>
      </c>
      <c r="CG18" s="84"/>
      <c r="CH18" s="84"/>
      <c r="CI18" s="85"/>
      <c r="CJ18" s="83"/>
      <c r="CK18" s="84"/>
      <c r="CL18" s="84"/>
      <c r="CM18" s="85"/>
      <c r="CN18" s="83"/>
      <c r="CO18" s="84"/>
      <c r="CP18" s="84"/>
      <c r="CQ18" s="85"/>
      <c r="CR18" s="83"/>
      <c r="CS18" s="84"/>
      <c r="CT18" s="84"/>
      <c r="CU18" s="85"/>
      <c r="CV18" s="83"/>
      <c r="CW18" s="84"/>
      <c r="CX18" s="84"/>
      <c r="CY18" s="85"/>
      <c r="CZ18" s="83"/>
      <c r="DA18" s="84"/>
      <c r="DB18" s="84"/>
      <c r="DC18" s="85"/>
    </row>
    <row r="19" spans="1:107" ht="14.45" customHeight="1" x14ac:dyDescent="0.25">
      <c r="B19" s="158" t="s">
        <v>105</v>
      </c>
      <c r="C19" s="159"/>
      <c r="D19" s="160"/>
      <c r="E19" s="160"/>
      <c r="F19" s="160"/>
      <c r="G19" s="160"/>
      <c r="H19" s="28"/>
      <c r="I19" s="26"/>
      <c r="J19" s="26"/>
      <c r="K19" s="29"/>
      <c r="L19" s="28"/>
      <c r="M19" s="26"/>
      <c r="N19" s="26"/>
      <c r="O19" s="29"/>
      <c r="P19" s="28"/>
      <c r="Q19" s="26"/>
      <c r="R19" s="26"/>
      <c r="S19" s="29"/>
      <c r="T19" s="28"/>
      <c r="U19" s="26"/>
      <c r="V19" s="26"/>
      <c r="W19" s="29"/>
      <c r="X19" s="28"/>
      <c r="Y19" s="26"/>
      <c r="Z19" s="26"/>
      <c r="AA19" s="29">
        <v>1</v>
      </c>
      <c r="AB19" s="28"/>
      <c r="AC19" s="26"/>
      <c r="AD19" s="26"/>
      <c r="AE19" s="29"/>
      <c r="AF19" s="28"/>
      <c r="AG19" s="26"/>
      <c r="AH19" s="26"/>
      <c r="AI19" s="29"/>
      <c r="AJ19" s="28"/>
      <c r="AK19" s="26"/>
      <c r="AL19" s="26"/>
      <c r="AM19" s="29"/>
      <c r="AN19" s="28"/>
      <c r="AO19" s="26"/>
      <c r="AP19" s="26"/>
      <c r="AQ19" s="29"/>
      <c r="AR19" s="28"/>
      <c r="AS19" s="26"/>
      <c r="AT19" s="26"/>
      <c r="AU19" s="29"/>
      <c r="AV19" s="28"/>
      <c r="AW19" s="26"/>
      <c r="AX19" s="26"/>
      <c r="AY19" s="29"/>
      <c r="AZ19" s="28"/>
      <c r="BA19" s="26"/>
      <c r="BB19" s="26"/>
      <c r="BC19" s="29"/>
      <c r="BD19" s="28"/>
      <c r="BE19" s="26"/>
      <c r="BF19" s="26"/>
      <c r="BG19" s="29"/>
      <c r="BH19" s="28"/>
      <c r="BI19" s="26"/>
      <c r="BJ19" s="26"/>
      <c r="BK19" s="29"/>
      <c r="BL19" s="28"/>
      <c r="BM19" s="26"/>
      <c r="BN19" s="26"/>
      <c r="BO19" s="29"/>
      <c r="BP19" s="28"/>
      <c r="BQ19" s="26"/>
      <c r="BR19" s="26"/>
      <c r="BS19" s="29"/>
      <c r="BT19" s="28"/>
      <c r="BU19" s="26"/>
      <c r="BV19" s="26"/>
      <c r="BW19" s="29"/>
      <c r="BX19" s="28"/>
      <c r="BY19" s="26"/>
      <c r="BZ19" s="26"/>
      <c r="CA19" s="29"/>
      <c r="CB19" s="28"/>
      <c r="CC19" s="26"/>
      <c r="CD19" s="26"/>
      <c r="CE19" s="29"/>
      <c r="CF19" s="28"/>
      <c r="CG19" s="26"/>
      <c r="CH19" s="26"/>
      <c r="CI19" s="29"/>
      <c r="CJ19" s="28">
        <v>1</v>
      </c>
      <c r="CK19" s="26"/>
      <c r="CL19" s="26"/>
      <c r="CM19" s="29"/>
      <c r="CN19" s="28"/>
      <c r="CO19" s="26"/>
      <c r="CP19" s="26"/>
      <c r="CQ19" s="29"/>
      <c r="CR19" s="28"/>
      <c r="CS19" s="26"/>
      <c r="CT19" s="26"/>
      <c r="CU19" s="29"/>
      <c r="CV19" s="28"/>
      <c r="CW19" s="26"/>
      <c r="CX19" s="26"/>
      <c r="CY19" s="29"/>
      <c r="CZ19" s="28"/>
      <c r="DA19" s="26"/>
      <c r="DB19" s="26"/>
      <c r="DC19" s="29"/>
    </row>
    <row r="20" spans="1:107" x14ac:dyDescent="0.25">
      <c r="B20" s="158" t="s">
        <v>104</v>
      </c>
      <c r="C20" s="159"/>
      <c r="D20" s="159"/>
      <c r="E20" s="159"/>
      <c r="F20" s="159"/>
      <c r="G20" s="159"/>
      <c r="H20" s="28"/>
      <c r="I20" s="26"/>
      <c r="J20" s="26"/>
      <c r="K20" s="29"/>
      <c r="L20" s="28"/>
      <c r="M20" s="26"/>
      <c r="N20" s="26"/>
      <c r="O20" s="29"/>
      <c r="P20" s="28"/>
      <c r="Q20" s="26"/>
      <c r="R20" s="26"/>
      <c r="S20" s="29"/>
      <c r="T20" s="28"/>
      <c r="U20" s="26"/>
      <c r="V20" s="26"/>
      <c r="W20" s="29"/>
      <c r="X20" s="28"/>
      <c r="Y20" s="26"/>
      <c r="Z20" s="26"/>
      <c r="AA20" s="29"/>
      <c r="AB20" s="28"/>
      <c r="AC20" s="26"/>
      <c r="AD20" s="26"/>
      <c r="AE20" s="29"/>
      <c r="AF20" s="28"/>
      <c r="AG20" s="26"/>
      <c r="AH20" s="26"/>
      <c r="AI20" s="29"/>
      <c r="AJ20" s="28"/>
      <c r="AK20" s="26"/>
      <c r="AL20" s="26"/>
      <c r="AM20" s="29"/>
      <c r="AN20" s="28"/>
      <c r="AO20" s="26"/>
      <c r="AP20" s="26"/>
      <c r="AQ20" s="29"/>
      <c r="AR20" s="28">
        <v>3</v>
      </c>
      <c r="AS20" s="26"/>
      <c r="AT20" s="26"/>
      <c r="AU20" s="29"/>
      <c r="AV20" s="28"/>
      <c r="AW20" s="26"/>
      <c r="AX20" s="26"/>
      <c r="AY20" s="29"/>
      <c r="AZ20" s="28"/>
      <c r="BA20" s="26"/>
      <c r="BB20" s="26"/>
      <c r="BC20" s="29"/>
      <c r="BD20" s="28"/>
      <c r="BE20" s="26"/>
      <c r="BF20" s="26"/>
      <c r="BG20" s="29"/>
      <c r="BH20" s="28"/>
      <c r="BI20" s="26"/>
      <c r="BJ20" s="26"/>
      <c r="BK20" s="29"/>
      <c r="BL20" s="28"/>
      <c r="BM20" s="26"/>
      <c r="BN20" s="26"/>
      <c r="BO20" s="29"/>
      <c r="BP20" s="28"/>
      <c r="BQ20" s="26"/>
      <c r="BR20" s="26"/>
      <c r="BS20" s="29"/>
      <c r="BT20" s="28"/>
      <c r="BU20" s="26"/>
      <c r="BV20" s="26"/>
      <c r="BW20" s="29"/>
      <c r="BX20" s="28"/>
      <c r="BY20" s="26"/>
      <c r="BZ20" s="26"/>
      <c r="CA20" s="29"/>
      <c r="CB20" s="28"/>
      <c r="CC20" s="26"/>
      <c r="CD20" s="26"/>
      <c r="CE20" s="29"/>
      <c r="CF20" s="28"/>
      <c r="CG20" s="26"/>
      <c r="CH20" s="26"/>
      <c r="CI20" s="29"/>
      <c r="CJ20" s="28"/>
      <c r="CK20" s="26"/>
      <c r="CL20" s="26"/>
      <c r="CM20" s="29"/>
      <c r="CN20" s="28"/>
      <c r="CO20" s="26"/>
      <c r="CP20" s="26"/>
      <c r="CQ20" s="29"/>
      <c r="CR20" s="28"/>
      <c r="CS20" s="26"/>
      <c r="CT20" s="26"/>
      <c r="CU20" s="29"/>
      <c r="CV20" s="28"/>
      <c r="CW20" s="26"/>
      <c r="CX20" s="26"/>
      <c r="CY20" s="29"/>
      <c r="CZ20" s="28"/>
      <c r="DA20" s="26"/>
      <c r="DB20" s="26"/>
      <c r="DC20" s="29"/>
    </row>
    <row r="21" spans="1:107" ht="15.75" thickBot="1" x14ac:dyDescent="0.3">
      <c r="B21" s="161" t="s">
        <v>106</v>
      </c>
      <c r="C21" s="162"/>
      <c r="D21" s="162"/>
      <c r="E21" s="162"/>
      <c r="F21" s="162"/>
      <c r="G21" s="162"/>
      <c r="H21" s="30"/>
      <c r="I21" s="31"/>
      <c r="J21" s="31"/>
      <c r="K21" s="32"/>
      <c r="L21" s="30"/>
      <c r="M21" s="31"/>
      <c r="N21" s="31"/>
      <c r="O21" s="32"/>
      <c r="P21" s="30"/>
      <c r="Q21" s="31"/>
      <c r="R21" s="31"/>
      <c r="S21" s="32"/>
      <c r="T21" s="30"/>
      <c r="U21" s="31"/>
      <c r="V21" s="31"/>
      <c r="W21" s="32"/>
      <c r="X21" s="30"/>
      <c r="Y21" s="31"/>
      <c r="Z21" s="31"/>
      <c r="AA21" s="32"/>
      <c r="AB21" s="30"/>
      <c r="AC21" s="31"/>
      <c r="AD21" s="31"/>
      <c r="AE21" s="32"/>
      <c r="AF21" s="30"/>
      <c r="AG21" s="31"/>
      <c r="AH21" s="31"/>
      <c r="AI21" s="32"/>
      <c r="AJ21" s="30"/>
      <c r="AK21" s="31"/>
      <c r="AL21" s="31"/>
      <c r="AM21" s="32"/>
      <c r="AN21" s="30"/>
      <c r="AO21" s="31"/>
      <c r="AP21" s="31"/>
      <c r="AQ21" s="32"/>
      <c r="AR21" s="30"/>
      <c r="AS21" s="31"/>
      <c r="AT21" s="31"/>
      <c r="AU21" s="32"/>
      <c r="AV21" s="30"/>
      <c r="AW21" s="31"/>
      <c r="AX21" s="31"/>
      <c r="AY21" s="32"/>
      <c r="AZ21" s="30"/>
      <c r="BA21" s="31"/>
      <c r="BB21" s="31"/>
      <c r="BC21" s="32"/>
      <c r="BD21" s="30"/>
      <c r="BE21" s="31"/>
      <c r="BF21" s="31"/>
      <c r="BG21" s="32"/>
      <c r="BH21" s="30"/>
      <c r="BI21" s="31"/>
      <c r="BJ21" s="31"/>
      <c r="BK21" s="32"/>
      <c r="BL21" s="30"/>
      <c r="BM21" s="31"/>
      <c r="BN21" s="31"/>
      <c r="BO21" s="32"/>
      <c r="BP21" s="30"/>
      <c r="BQ21" s="31"/>
      <c r="BR21" s="31"/>
      <c r="BS21" s="32"/>
      <c r="BT21" s="30"/>
      <c r="BU21" s="31"/>
      <c r="BV21" s="31"/>
      <c r="BW21" s="32"/>
      <c r="BX21" s="30"/>
      <c r="BY21" s="31"/>
      <c r="BZ21" s="31"/>
      <c r="CA21" s="32"/>
      <c r="CB21" s="30"/>
      <c r="CC21" s="31"/>
      <c r="CD21" s="31"/>
      <c r="CE21" s="32"/>
      <c r="CF21" s="30"/>
      <c r="CG21" s="31"/>
      <c r="CH21" s="31"/>
      <c r="CI21" s="32"/>
      <c r="CJ21" s="30"/>
      <c r="CK21" s="31"/>
      <c r="CL21" s="31"/>
      <c r="CM21" s="32"/>
      <c r="CN21" s="30"/>
      <c r="CO21" s="31"/>
      <c r="CP21" s="31"/>
      <c r="CQ21" s="32"/>
      <c r="CR21" s="30"/>
      <c r="CS21" s="31"/>
      <c r="CT21" s="31"/>
      <c r="CU21" s="32"/>
      <c r="CV21" s="30"/>
      <c r="CW21" s="31"/>
      <c r="CX21" s="31"/>
      <c r="CY21" s="32"/>
      <c r="CZ21" s="30"/>
      <c r="DA21" s="31"/>
      <c r="DB21" s="31"/>
      <c r="DC21" s="32"/>
    </row>
    <row r="22" spans="1:107" x14ac:dyDescent="0.25">
      <c r="B22" s="3"/>
      <c r="C22" s="27"/>
      <c r="D22" s="23">
        <f>H22+L22+P22+T22+X22+AB22+AF22+AJ22+AN22+AR22+AV22+AZ22+BD22+BH22+BL22+BP22+BT22+BX22+CB22+CF22+CJ22+CN22+CR22+CV22+CZ22</f>
        <v>50</v>
      </c>
      <c r="E22" s="23">
        <f>I22+M22+Q22+U22+Y22+AC22+AG22+AK22+AO22+AS22+AW22+BA22+BE22+BI22+BM22+BQ22+BV22+BY22+CD22+CG22+CL22+CO22+CT22+CW22+DB22</f>
        <v>10</v>
      </c>
      <c r="F22" s="23">
        <f>J22+N22+R22+V22+Z22+AD22+AH22+AL22+AP22+AT22+AX22+BB22+BF22+BJ22+BN22+BT22+BX22+CB22+CF22+CJ22+CN22+CR22+CV22+CZ22</f>
        <v>27</v>
      </c>
      <c r="G22" s="23">
        <f>K22+O22+S22+W22+AA22+AE22+AI22+AM22+AQ22+AU22+AY22+BC22+BG22+BK22+BO22+BV22+BY22+CD22+CG22+CL22+CO22+CT22+CW22+DB22</f>
        <v>4</v>
      </c>
      <c r="H22" s="33">
        <f>SUM(H4:H21)</f>
        <v>1</v>
      </c>
      <c r="I22" s="34">
        <f>SUM(I4:I18)</f>
        <v>0</v>
      </c>
      <c r="J22" s="34">
        <f>SUM(J4:J18)</f>
        <v>0</v>
      </c>
      <c r="K22" s="35">
        <f>SUM(K4:K20)</f>
        <v>0</v>
      </c>
      <c r="L22" s="33">
        <f t="shared" ref="L22" si="4">SUM(L4:L21)</f>
        <v>0</v>
      </c>
      <c r="M22" s="34">
        <f t="shared" ref="M22:N22" si="5">SUM(M4:M18)</f>
        <v>1</v>
      </c>
      <c r="N22" s="34">
        <f t="shared" si="5"/>
        <v>0</v>
      </c>
      <c r="O22" s="35">
        <f t="shared" ref="O22" si="6">SUM(O4:O20)</f>
        <v>0</v>
      </c>
      <c r="P22" s="33">
        <f t="shared" ref="P22" si="7">SUM(P4:P21)</f>
        <v>3</v>
      </c>
      <c r="Q22" s="34">
        <f t="shared" ref="Q22:R22" si="8">SUM(Q4:Q18)</f>
        <v>0</v>
      </c>
      <c r="R22" s="34">
        <f t="shared" si="8"/>
        <v>0</v>
      </c>
      <c r="S22" s="35">
        <f t="shared" ref="S22" si="9">SUM(S4:S20)</f>
        <v>0</v>
      </c>
      <c r="T22" s="33">
        <f t="shared" ref="T22" si="10">SUM(T4:T21)</f>
        <v>1</v>
      </c>
      <c r="U22" s="34">
        <f t="shared" ref="U22:V22" si="11">SUM(U4:U18)</f>
        <v>1</v>
      </c>
      <c r="V22" s="34">
        <f t="shared" si="11"/>
        <v>0</v>
      </c>
      <c r="W22" s="35">
        <f t="shared" ref="W22" si="12">SUM(W4:W20)</f>
        <v>0</v>
      </c>
      <c r="X22" s="33">
        <f t="shared" ref="X22" si="13">SUM(X4:X21)</f>
        <v>1</v>
      </c>
      <c r="Y22" s="34">
        <f t="shared" ref="Y22:Z22" si="14">SUM(Y4:Y18)</f>
        <v>1</v>
      </c>
      <c r="Z22" s="34">
        <f t="shared" si="14"/>
        <v>0</v>
      </c>
      <c r="AA22" s="35">
        <f t="shared" ref="AA22" si="15">SUM(AA4:AA20)</f>
        <v>1</v>
      </c>
      <c r="AB22" s="33">
        <f t="shared" ref="AB22" si="16">SUM(AB4:AB21)</f>
        <v>2</v>
      </c>
      <c r="AC22" s="34">
        <f t="shared" ref="AC22:AD22" si="17">SUM(AC4:AC18)</f>
        <v>0</v>
      </c>
      <c r="AD22" s="34">
        <f t="shared" si="17"/>
        <v>0</v>
      </c>
      <c r="AE22" s="35">
        <f t="shared" ref="AE22" si="18">SUM(AE4:AE20)</f>
        <v>0</v>
      </c>
      <c r="AF22" s="33">
        <f t="shared" ref="AF22" si="19">SUM(AF4:AF21)</f>
        <v>3</v>
      </c>
      <c r="AG22" s="34">
        <f t="shared" ref="AG22:AH22" si="20">SUM(AG4:AG18)</f>
        <v>2</v>
      </c>
      <c r="AH22" s="34">
        <f t="shared" si="20"/>
        <v>0</v>
      </c>
      <c r="AI22" s="35">
        <f t="shared" ref="AI22" si="21">SUM(AI4:AI20)</f>
        <v>1</v>
      </c>
      <c r="AJ22" s="33">
        <f t="shared" ref="AJ22" si="22">SUM(AJ4:AJ21)</f>
        <v>0</v>
      </c>
      <c r="AK22" s="34">
        <f t="shared" ref="AK22:AL22" si="23">SUM(AK4:AK18)</f>
        <v>0</v>
      </c>
      <c r="AL22" s="34">
        <f t="shared" si="23"/>
        <v>0</v>
      </c>
      <c r="AM22" s="35">
        <f t="shared" ref="AM22" si="24">SUM(AM4:AM20)</f>
        <v>0</v>
      </c>
      <c r="AN22" s="33">
        <f t="shared" ref="AN22" si="25">SUM(AN4:AN21)</f>
        <v>2</v>
      </c>
      <c r="AO22" s="34">
        <f>SUM(AO4:AO21)</f>
        <v>2</v>
      </c>
      <c r="AP22" s="34">
        <f>SUM(AP4:AP21)</f>
        <v>0</v>
      </c>
      <c r="AQ22" s="35">
        <f>SUM(AQ4:AQ21)</f>
        <v>0</v>
      </c>
      <c r="AR22" s="33">
        <f t="shared" ref="AR22:DC22" si="26">SUM(AR4:AR21)</f>
        <v>3</v>
      </c>
      <c r="AS22" s="34">
        <f t="shared" si="26"/>
        <v>0</v>
      </c>
      <c r="AT22" s="34">
        <f t="shared" si="26"/>
        <v>0</v>
      </c>
      <c r="AU22" s="35">
        <f t="shared" si="26"/>
        <v>0</v>
      </c>
      <c r="AV22" s="33">
        <f t="shared" si="26"/>
        <v>5</v>
      </c>
      <c r="AW22" s="34">
        <f t="shared" si="26"/>
        <v>0</v>
      </c>
      <c r="AX22" s="34">
        <f t="shared" si="26"/>
        <v>0</v>
      </c>
      <c r="AY22" s="35">
        <f t="shared" si="26"/>
        <v>0</v>
      </c>
      <c r="AZ22" s="33">
        <f t="shared" si="26"/>
        <v>0</v>
      </c>
      <c r="BA22" s="34">
        <f t="shared" si="26"/>
        <v>1</v>
      </c>
      <c r="BB22" s="34">
        <f t="shared" si="26"/>
        <v>0</v>
      </c>
      <c r="BC22" s="35">
        <f t="shared" si="26"/>
        <v>0</v>
      </c>
      <c r="BD22" s="33">
        <f t="shared" si="26"/>
        <v>0</v>
      </c>
      <c r="BE22" s="34">
        <f t="shared" si="26"/>
        <v>0</v>
      </c>
      <c r="BF22" s="34">
        <f t="shared" si="26"/>
        <v>1</v>
      </c>
      <c r="BG22" s="35">
        <f t="shared" si="26"/>
        <v>0</v>
      </c>
      <c r="BH22" s="33">
        <f t="shared" si="26"/>
        <v>1</v>
      </c>
      <c r="BI22" s="34">
        <f t="shared" si="26"/>
        <v>0</v>
      </c>
      <c r="BJ22" s="34">
        <f t="shared" si="26"/>
        <v>0</v>
      </c>
      <c r="BK22" s="35">
        <f t="shared" si="26"/>
        <v>0</v>
      </c>
      <c r="BL22" s="33">
        <f t="shared" si="26"/>
        <v>2</v>
      </c>
      <c r="BM22" s="34">
        <f t="shared" si="26"/>
        <v>0</v>
      </c>
      <c r="BN22" s="34">
        <f t="shared" si="26"/>
        <v>0</v>
      </c>
      <c r="BO22" s="35">
        <f t="shared" si="26"/>
        <v>0</v>
      </c>
      <c r="BP22" s="33">
        <f t="shared" si="26"/>
        <v>0</v>
      </c>
      <c r="BQ22" s="34">
        <f t="shared" si="26"/>
        <v>0</v>
      </c>
      <c r="BR22" s="34">
        <f t="shared" si="26"/>
        <v>0</v>
      </c>
      <c r="BS22" s="35">
        <f t="shared" si="26"/>
        <v>0</v>
      </c>
      <c r="BT22" s="33">
        <f t="shared" si="26"/>
        <v>12</v>
      </c>
      <c r="BU22" s="34">
        <f t="shared" si="26"/>
        <v>0</v>
      </c>
      <c r="BV22" s="34">
        <f t="shared" si="26"/>
        <v>0</v>
      </c>
      <c r="BW22" s="35">
        <f t="shared" si="26"/>
        <v>0</v>
      </c>
      <c r="BX22" s="33">
        <f t="shared" si="26"/>
        <v>3</v>
      </c>
      <c r="BY22" s="34">
        <f t="shared" si="26"/>
        <v>0</v>
      </c>
      <c r="BZ22" s="34">
        <f t="shared" si="26"/>
        <v>0</v>
      </c>
      <c r="CA22" s="35">
        <f t="shared" si="26"/>
        <v>0</v>
      </c>
      <c r="CB22" s="33">
        <f t="shared" si="26"/>
        <v>2</v>
      </c>
      <c r="CC22" s="34">
        <f t="shared" si="26"/>
        <v>0</v>
      </c>
      <c r="CD22" s="34">
        <f t="shared" si="26"/>
        <v>1</v>
      </c>
      <c r="CE22" s="35">
        <f t="shared" si="26"/>
        <v>0</v>
      </c>
      <c r="CF22" s="33">
        <f t="shared" si="26"/>
        <v>2</v>
      </c>
      <c r="CG22" s="34">
        <f t="shared" si="26"/>
        <v>0</v>
      </c>
      <c r="CH22" s="34">
        <f t="shared" si="26"/>
        <v>0</v>
      </c>
      <c r="CI22" s="35">
        <f t="shared" si="26"/>
        <v>0</v>
      </c>
      <c r="CJ22" s="33">
        <f t="shared" si="26"/>
        <v>7</v>
      </c>
      <c r="CK22" s="34">
        <f t="shared" si="26"/>
        <v>0</v>
      </c>
      <c r="CL22" s="34">
        <f t="shared" si="26"/>
        <v>0</v>
      </c>
      <c r="CM22" s="35">
        <f t="shared" si="26"/>
        <v>0</v>
      </c>
      <c r="CN22" s="33">
        <f t="shared" si="26"/>
        <v>0</v>
      </c>
      <c r="CO22" s="34">
        <f t="shared" si="26"/>
        <v>1</v>
      </c>
      <c r="CP22" s="34">
        <f t="shared" si="26"/>
        <v>0</v>
      </c>
      <c r="CQ22" s="35">
        <f t="shared" si="26"/>
        <v>0</v>
      </c>
      <c r="CR22" s="33">
        <f t="shared" si="26"/>
        <v>0</v>
      </c>
      <c r="CS22" s="34">
        <f t="shared" si="26"/>
        <v>0</v>
      </c>
      <c r="CT22" s="34">
        <f t="shared" si="26"/>
        <v>0</v>
      </c>
      <c r="CU22" s="35">
        <f t="shared" si="26"/>
        <v>0</v>
      </c>
      <c r="CV22" s="33">
        <f t="shared" si="26"/>
        <v>0</v>
      </c>
      <c r="CW22" s="34">
        <f t="shared" si="26"/>
        <v>0</v>
      </c>
      <c r="CX22" s="34">
        <f t="shared" si="26"/>
        <v>0</v>
      </c>
      <c r="CY22" s="35">
        <f t="shared" si="26"/>
        <v>0</v>
      </c>
      <c r="CZ22" s="33">
        <f t="shared" si="26"/>
        <v>0</v>
      </c>
      <c r="DA22" s="34">
        <f t="shared" si="26"/>
        <v>0</v>
      </c>
      <c r="DB22" s="34">
        <f t="shared" si="26"/>
        <v>0</v>
      </c>
      <c r="DC22" s="35">
        <f t="shared" si="26"/>
        <v>0</v>
      </c>
    </row>
    <row r="23" spans="1:107" ht="14.45" customHeight="1" x14ac:dyDescent="0.25">
      <c r="B23" s="3"/>
      <c r="C23" s="27"/>
      <c r="D23" s="148" t="s">
        <v>86</v>
      </c>
      <c r="E23" s="148" t="s">
        <v>97</v>
      </c>
      <c r="F23" s="148" t="s">
        <v>99</v>
      </c>
      <c r="G23" s="148" t="s">
        <v>98</v>
      </c>
      <c r="H23" s="145" t="s">
        <v>86</v>
      </c>
      <c r="I23" s="148" t="s">
        <v>97</v>
      </c>
      <c r="J23" s="148" t="s">
        <v>99</v>
      </c>
      <c r="K23" s="151" t="s">
        <v>98</v>
      </c>
      <c r="L23" s="145" t="s">
        <v>86</v>
      </c>
      <c r="M23" s="148" t="s">
        <v>97</v>
      </c>
      <c r="N23" s="148" t="s">
        <v>99</v>
      </c>
      <c r="O23" s="151" t="s">
        <v>98</v>
      </c>
      <c r="P23" s="145" t="s">
        <v>86</v>
      </c>
      <c r="Q23" s="148" t="s">
        <v>97</v>
      </c>
      <c r="R23" s="148" t="s">
        <v>99</v>
      </c>
      <c r="S23" s="151" t="s">
        <v>98</v>
      </c>
      <c r="T23" s="145" t="s">
        <v>86</v>
      </c>
      <c r="U23" s="148" t="s">
        <v>97</v>
      </c>
      <c r="V23" s="148" t="s">
        <v>99</v>
      </c>
      <c r="W23" s="151" t="s">
        <v>98</v>
      </c>
      <c r="X23" s="145" t="s">
        <v>86</v>
      </c>
      <c r="Y23" s="148" t="s">
        <v>97</v>
      </c>
      <c r="Z23" s="148" t="s">
        <v>99</v>
      </c>
      <c r="AA23" s="151" t="s">
        <v>98</v>
      </c>
      <c r="AB23" s="145" t="s">
        <v>86</v>
      </c>
      <c r="AC23" s="148" t="s">
        <v>97</v>
      </c>
      <c r="AD23" s="148" t="s">
        <v>99</v>
      </c>
      <c r="AE23" s="151" t="s">
        <v>98</v>
      </c>
      <c r="AF23" s="145" t="s">
        <v>86</v>
      </c>
      <c r="AG23" s="148" t="s">
        <v>97</v>
      </c>
      <c r="AH23" s="148" t="s">
        <v>99</v>
      </c>
      <c r="AI23" s="151" t="s">
        <v>98</v>
      </c>
      <c r="AJ23" s="145" t="s">
        <v>86</v>
      </c>
      <c r="AK23" s="148" t="s">
        <v>97</v>
      </c>
      <c r="AL23" s="148" t="s">
        <v>99</v>
      </c>
      <c r="AM23" s="151" t="s">
        <v>98</v>
      </c>
      <c r="AN23" s="145" t="s">
        <v>86</v>
      </c>
      <c r="AO23" s="148" t="s">
        <v>97</v>
      </c>
      <c r="AP23" s="148" t="s">
        <v>99</v>
      </c>
      <c r="AQ23" s="151" t="s">
        <v>98</v>
      </c>
      <c r="AR23" s="145" t="s">
        <v>86</v>
      </c>
      <c r="AS23" s="148" t="s">
        <v>97</v>
      </c>
      <c r="AT23" s="148" t="s">
        <v>99</v>
      </c>
      <c r="AU23" s="151" t="s">
        <v>98</v>
      </c>
      <c r="AV23" s="145" t="s">
        <v>86</v>
      </c>
      <c r="AW23" s="148" t="s">
        <v>97</v>
      </c>
      <c r="AX23" s="148" t="s">
        <v>99</v>
      </c>
      <c r="AY23" s="151" t="s">
        <v>98</v>
      </c>
      <c r="AZ23" s="145" t="s">
        <v>86</v>
      </c>
      <c r="BA23" s="148" t="s">
        <v>97</v>
      </c>
      <c r="BB23" s="148" t="s">
        <v>99</v>
      </c>
      <c r="BC23" s="151" t="s">
        <v>98</v>
      </c>
      <c r="BD23" s="145" t="s">
        <v>86</v>
      </c>
      <c r="BE23" s="148" t="s">
        <v>97</v>
      </c>
      <c r="BF23" s="148" t="s">
        <v>99</v>
      </c>
      <c r="BG23" s="151" t="s">
        <v>98</v>
      </c>
      <c r="BH23" s="145" t="s">
        <v>86</v>
      </c>
      <c r="BI23" s="148" t="s">
        <v>97</v>
      </c>
      <c r="BJ23" s="148" t="s">
        <v>99</v>
      </c>
      <c r="BK23" s="151" t="s">
        <v>98</v>
      </c>
      <c r="BL23" s="145" t="s">
        <v>86</v>
      </c>
      <c r="BM23" s="148" t="s">
        <v>97</v>
      </c>
      <c r="BN23" s="148" t="s">
        <v>99</v>
      </c>
      <c r="BO23" s="151" t="s">
        <v>98</v>
      </c>
      <c r="BP23" s="145" t="s">
        <v>86</v>
      </c>
      <c r="BQ23" s="148" t="s">
        <v>97</v>
      </c>
      <c r="BR23" s="148" t="s">
        <v>99</v>
      </c>
      <c r="BS23" s="151" t="s">
        <v>98</v>
      </c>
      <c r="BT23" s="145" t="s">
        <v>86</v>
      </c>
      <c r="BU23" s="148" t="s">
        <v>97</v>
      </c>
      <c r="BV23" s="148" t="s">
        <v>99</v>
      </c>
      <c r="BW23" s="151" t="s">
        <v>98</v>
      </c>
      <c r="BX23" s="145" t="s">
        <v>86</v>
      </c>
      <c r="BY23" s="148" t="s">
        <v>97</v>
      </c>
      <c r="BZ23" s="148" t="s">
        <v>99</v>
      </c>
      <c r="CA23" s="151" t="s">
        <v>98</v>
      </c>
      <c r="CB23" s="145" t="s">
        <v>86</v>
      </c>
      <c r="CC23" s="148" t="s">
        <v>97</v>
      </c>
      <c r="CD23" s="148" t="s">
        <v>99</v>
      </c>
      <c r="CE23" s="151" t="s">
        <v>98</v>
      </c>
      <c r="CF23" s="145" t="s">
        <v>86</v>
      </c>
      <c r="CG23" s="148" t="s">
        <v>97</v>
      </c>
      <c r="CH23" s="148" t="s">
        <v>99</v>
      </c>
      <c r="CI23" s="151" t="s">
        <v>98</v>
      </c>
      <c r="CJ23" s="145" t="s">
        <v>86</v>
      </c>
      <c r="CK23" s="148" t="s">
        <v>97</v>
      </c>
      <c r="CL23" s="148" t="s">
        <v>99</v>
      </c>
      <c r="CM23" s="151" t="s">
        <v>98</v>
      </c>
      <c r="CN23" s="145" t="s">
        <v>86</v>
      </c>
      <c r="CO23" s="148" t="s">
        <v>97</v>
      </c>
      <c r="CP23" s="148" t="s">
        <v>99</v>
      </c>
      <c r="CQ23" s="151" t="s">
        <v>98</v>
      </c>
      <c r="CR23" s="145" t="s">
        <v>86</v>
      </c>
      <c r="CS23" s="148" t="s">
        <v>97</v>
      </c>
      <c r="CT23" s="148" t="s">
        <v>99</v>
      </c>
      <c r="CU23" s="151" t="s">
        <v>98</v>
      </c>
      <c r="CV23" s="145" t="s">
        <v>86</v>
      </c>
      <c r="CW23" s="148" t="s">
        <v>97</v>
      </c>
      <c r="CX23" s="148" t="s">
        <v>99</v>
      </c>
      <c r="CY23" s="151" t="s">
        <v>98</v>
      </c>
      <c r="CZ23" s="145" t="s">
        <v>86</v>
      </c>
      <c r="DA23" s="148" t="s">
        <v>97</v>
      </c>
      <c r="DB23" s="148" t="s">
        <v>99</v>
      </c>
      <c r="DC23" s="151" t="s">
        <v>98</v>
      </c>
    </row>
    <row r="24" spans="1:107" x14ac:dyDescent="0.25">
      <c r="B24" s="3"/>
      <c r="C24" s="27"/>
      <c r="D24" s="149"/>
      <c r="E24" s="149"/>
      <c r="F24" s="149"/>
      <c r="G24" s="149"/>
      <c r="H24" s="146"/>
      <c r="I24" s="149"/>
      <c r="J24" s="149"/>
      <c r="K24" s="152"/>
      <c r="L24" s="146"/>
      <c r="M24" s="149"/>
      <c r="N24" s="149"/>
      <c r="O24" s="152"/>
      <c r="P24" s="146"/>
      <c r="Q24" s="149"/>
      <c r="R24" s="149"/>
      <c r="S24" s="152"/>
      <c r="T24" s="146"/>
      <c r="U24" s="149"/>
      <c r="V24" s="149"/>
      <c r="W24" s="152"/>
      <c r="X24" s="146"/>
      <c r="Y24" s="149"/>
      <c r="Z24" s="149"/>
      <c r="AA24" s="152"/>
      <c r="AB24" s="146"/>
      <c r="AC24" s="149"/>
      <c r="AD24" s="149"/>
      <c r="AE24" s="152"/>
      <c r="AF24" s="146"/>
      <c r="AG24" s="149"/>
      <c r="AH24" s="149"/>
      <c r="AI24" s="152"/>
      <c r="AJ24" s="146"/>
      <c r="AK24" s="149"/>
      <c r="AL24" s="149"/>
      <c r="AM24" s="152"/>
      <c r="AN24" s="146"/>
      <c r="AO24" s="149"/>
      <c r="AP24" s="149"/>
      <c r="AQ24" s="152"/>
      <c r="AR24" s="146"/>
      <c r="AS24" s="149"/>
      <c r="AT24" s="149"/>
      <c r="AU24" s="152"/>
      <c r="AV24" s="146"/>
      <c r="AW24" s="149"/>
      <c r="AX24" s="149"/>
      <c r="AY24" s="152"/>
      <c r="AZ24" s="146"/>
      <c r="BA24" s="149"/>
      <c r="BB24" s="149"/>
      <c r="BC24" s="152"/>
      <c r="BD24" s="146"/>
      <c r="BE24" s="149"/>
      <c r="BF24" s="149"/>
      <c r="BG24" s="152"/>
      <c r="BH24" s="146"/>
      <c r="BI24" s="149"/>
      <c r="BJ24" s="149"/>
      <c r="BK24" s="152"/>
      <c r="BL24" s="146"/>
      <c r="BM24" s="149"/>
      <c r="BN24" s="149"/>
      <c r="BO24" s="152"/>
      <c r="BP24" s="146"/>
      <c r="BQ24" s="149"/>
      <c r="BR24" s="149"/>
      <c r="BS24" s="152"/>
      <c r="BT24" s="146"/>
      <c r="BU24" s="149"/>
      <c r="BV24" s="149"/>
      <c r="BW24" s="152"/>
      <c r="BX24" s="146"/>
      <c r="BY24" s="149"/>
      <c r="BZ24" s="149"/>
      <c r="CA24" s="152"/>
      <c r="CB24" s="146"/>
      <c r="CC24" s="149"/>
      <c r="CD24" s="149"/>
      <c r="CE24" s="152"/>
      <c r="CF24" s="146"/>
      <c r="CG24" s="149"/>
      <c r="CH24" s="149"/>
      <c r="CI24" s="152"/>
      <c r="CJ24" s="146"/>
      <c r="CK24" s="149"/>
      <c r="CL24" s="149"/>
      <c r="CM24" s="152"/>
      <c r="CN24" s="146"/>
      <c r="CO24" s="149"/>
      <c r="CP24" s="149"/>
      <c r="CQ24" s="152"/>
      <c r="CR24" s="146"/>
      <c r="CS24" s="149"/>
      <c r="CT24" s="149"/>
      <c r="CU24" s="152"/>
      <c r="CV24" s="146"/>
      <c r="CW24" s="149"/>
      <c r="CX24" s="149"/>
      <c r="CY24" s="152"/>
      <c r="CZ24" s="146"/>
      <c r="DA24" s="149"/>
      <c r="DB24" s="149"/>
      <c r="DC24" s="152"/>
    </row>
    <row r="25" spans="1:107" x14ac:dyDescent="0.25">
      <c r="D25" s="149"/>
      <c r="E25" s="149"/>
      <c r="F25" s="149"/>
      <c r="G25" s="149"/>
      <c r="H25" s="146"/>
      <c r="I25" s="149"/>
      <c r="J25" s="149"/>
      <c r="K25" s="152"/>
      <c r="L25" s="146"/>
      <c r="M25" s="149"/>
      <c r="N25" s="149"/>
      <c r="O25" s="152"/>
      <c r="P25" s="146"/>
      <c r="Q25" s="149"/>
      <c r="R25" s="149"/>
      <c r="S25" s="152"/>
      <c r="T25" s="146"/>
      <c r="U25" s="149"/>
      <c r="V25" s="149"/>
      <c r="W25" s="152"/>
      <c r="X25" s="146"/>
      <c r="Y25" s="149"/>
      <c r="Z25" s="149"/>
      <c r="AA25" s="152"/>
      <c r="AB25" s="146"/>
      <c r="AC25" s="149"/>
      <c r="AD25" s="149"/>
      <c r="AE25" s="152"/>
      <c r="AF25" s="146"/>
      <c r="AG25" s="149"/>
      <c r="AH25" s="149"/>
      <c r="AI25" s="152"/>
      <c r="AJ25" s="146"/>
      <c r="AK25" s="149"/>
      <c r="AL25" s="149"/>
      <c r="AM25" s="152"/>
      <c r="AN25" s="146"/>
      <c r="AO25" s="149"/>
      <c r="AP25" s="149"/>
      <c r="AQ25" s="152"/>
      <c r="AR25" s="146"/>
      <c r="AS25" s="149"/>
      <c r="AT25" s="149"/>
      <c r="AU25" s="152"/>
      <c r="AV25" s="146"/>
      <c r="AW25" s="149"/>
      <c r="AX25" s="149"/>
      <c r="AY25" s="152"/>
      <c r="AZ25" s="146"/>
      <c r="BA25" s="149"/>
      <c r="BB25" s="149"/>
      <c r="BC25" s="152"/>
      <c r="BD25" s="146"/>
      <c r="BE25" s="149"/>
      <c r="BF25" s="149"/>
      <c r="BG25" s="152"/>
      <c r="BH25" s="146"/>
      <c r="BI25" s="149"/>
      <c r="BJ25" s="149"/>
      <c r="BK25" s="152"/>
      <c r="BL25" s="146"/>
      <c r="BM25" s="149"/>
      <c r="BN25" s="149"/>
      <c r="BO25" s="152"/>
      <c r="BP25" s="146"/>
      <c r="BQ25" s="149"/>
      <c r="BR25" s="149"/>
      <c r="BS25" s="152"/>
      <c r="BT25" s="146"/>
      <c r="BU25" s="149"/>
      <c r="BV25" s="149"/>
      <c r="BW25" s="152"/>
      <c r="BX25" s="146"/>
      <c r="BY25" s="149"/>
      <c r="BZ25" s="149"/>
      <c r="CA25" s="152"/>
      <c r="CB25" s="146"/>
      <c r="CC25" s="149"/>
      <c r="CD25" s="149"/>
      <c r="CE25" s="152"/>
      <c r="CF25" s="146"/>
      <c r="CG25" s="149"/>
      <c r="CH25" s="149"/>
      <c r="CI25" s="152"/>
      <c r="CJ25" s="146"/>
      <c r="CK25" s="149"/>
      <c r="CL25" s="149"/>
      <c r="CM25" s="152"/>
      <c r="CN25" s="146"/>
      <c r="CO25" s="149"/>
      <c r="CP25" s="149"/>
      <c r="CQ25" s="152"/>
      <c r="CR25" s="146"/>
      <c r="CS25" s="149"/>
      <c r="CT25" s="149"/>
      <c r="CU25" s="152"/>
      <c r="CV25" s="146"/>
      <c r="CW25" s="149"/>
      <c r="CX25" s="149"/>
      <c r="CY25" s="152"/>
      <c r="CZ25" s="146"/>
      <c r="DA25" s="149"/>
      <c r="DB25" s="149"/>
      <c r="DC25" s="152"/>
    </row>
    <row r="26" spans="1:107" ht="15.75" thickBot="1" x14ac:dyDescent="0.3">
      <c r="D26" s="149"/>
      <c r="E26" s="149"/>
      <c r="F26" s="149"/>
      <c r="G26" s="149"/>
      <c r="H26" s="147"/>
      <c r="I26" s="150"/>
      <c r="J26" s="150"/>
      <c r="K26" s="153"/>
      <c r="L26" s="147"/>
      <c r="M26" s="150"/>
      <c r="N26" s="150"/>
      <c r="O26" s="153"/>
      <c r="P26" s="147"/>
      <c r="Q26" s="150"/>
      <c r="R26" s="150"/>
      <c r="S26" s="153"/>
      <c r="T26" s="147"/>
      <c r="U26" s="150"/>
      <c r="V26" s="150"/>
      <c r="W26" s="153"/>
      <c r="X26" s="147"/>
      <c r="Y26" s="150"/>
      <c r="Z26" s="150"/>
      <c r="AA26" s="153"/>
      <c r="AB26" s="147"/>
      <c r="AC26" s="150"/>
      <c r="AD26" s="150"/>
      <c r="AE26" s="153"/>
      <c r="AF26" s="147"/>
      <c r="AG26" s="150"/>
      <c r="AH26" s="150"/>
      <c r="AI26" s="153"/>
      <c r="AJ26" s="147"/>
      <c r="AK26" s="150"/>
      <c r="AL26" s="150"/>
      <c r="AM26" s="153"/>
      <c r="AN26" s="147"/>
      <c r="AO26" s="150"/>
      <c r="AP26" s="150"/>
      <c r="AQ26" s="153"/>
      <c r="AR26" s="147"/>
      <c r="AS26" s="150"/>
      <c r="AT26" s="150"/>
      <c r="AU26" s="153"/>
      <c r="AV26" s="147"/>
      <c r="AW26" s="150"/>
      <c r="AX26" s="150"/>
      <c r="AY26" s="153"/>
      <c r="AZ26" s="147"/>
      <c r="BA26" s="150"/>
      <c r="BB26" s="150"/>
      <c r="BC26" s="153"/>
      <c r="BD26" s="147"/>
      <c r="BE26" s="150"/>
      <c r="BF26" s="150"/>
      <c r="BG26" s="153"/>
      <c r="BH26" s="147"/>
      <c r="BI26" s="150"/>
      <c r="BJ26" s="150"/>
      <c r="BK26" s="153"/>
      <c r="BL26" s="147"/>
      <c r="BM26" s="150"/>
      <c r="BN26" s="150"/>
      <c r="BO26" s="153"/>
      <c r="BP26" s="147"/>
      <c r="BQ26" s="150"/>
      <c r="BR26" s="150"/>
      <c r="BS26" s="153"/>
      <c r="BT26" s="147"/>
      <c r="BU26" s="150"/>
      <c r="BV26" s="150"/>
      <c r="BW26" s="153"/>
      <c r="BX26" s="147"/>
      <c r="BY26" s="150"/>
      <c r="BZ26" s="150"/>
      <c r="CA26" s="153"/>
      <c r="CB26" s="147"/>
      <c r="CC26" s="150"/>
      <c r="CD26" s="150"/>
      <c r="CE26" s="153"/>
      <c r="CF26" s="147"/>
      <c r="CG26" s="150"/>
      <c r="CH26" s="150"/>
      <c r="CI26" s="153"/>
      <c r="CJ26" s="147"/>
      <c r="CK26" s="150"/>
      <c r="CL26" s="150"/>
      <c r="CM26" s="153"/>
      <c r="CN26" s="147"/>
      <c r="CO26" s="150"/>
      <c r="CP26" s="150"/>
      <c r="CQ26" s="153"/>
      <c r="CR26" s="147"/>
      <c r="CS26" s="150"/>
      <c r="CT26" s="150"/>
      <c r="CU26" s="153"/>
      <c r="CV26" s="147"/>
      <c r="CW26" s="150"/>
      <c r="CX26" s="150"/>
      <c r="CY26" s="153"/>
      <c r="CZ26" s="147"/>
      <c r="DA26" s="150"/>
      <c r="DB26" s="150"/>
      <c r="DC26" s="153"/>
    </row>
  </sheetData>
  <mergeCells count="199">
    <mergeCell ref="AR1:AU1"/>
    <mergeCell ref="AV1:AY1"/>
    <mergeCell ref="AR2:AU2"/>
    <mergeCell ref="AV2:AY2"/>
    <mergeCell ref="AZ2:BC2"/>
    <mergeCell ref="BD2:BG2"/>
    <mergeCell ref="H2:K2"/>
    <mergeCell ref="L2:O2"/>
    <mergeCell ref="P2:S2"/>
    <mergeCell ref="T2:W2"/>
    <mergeCell ref="X2:AA2"/>
    <mergeCell ref="AB2:AE2"/>
    <mergeCell ref="AF2:AI2"/>
    <mergeCell ref="AJ2:AM2"/>
    <mergeCell ref="AN2:AQ2"/>
    <mergeCell ref="CV1:CY1"/>
    <mergeCell ref="CZ1:DC1"/>
    <mergeCell ref="BX1:CA1"/>
    <mergeCell ref="CB1:CE1"/>
    <mergeCell ref="CF1:CI1"/>
    <mergeCell ref="CJ1:CM1"/>
    <mergeCell ref="CN1:CQ1"/>
    <mergeCell ref="CR1:CU1"/>
    <mergeCell ref="AZ1:BC1"/>
    <mergeCell ref="BD1:BG1"/>
    <mergeCell ref="BH1:BK1"/>
    <mergeCell ref="BL1:BO1"/>
    <mergeCell ref="BP1:BS1"/>
    <mergeCell ref="BT1:BW1"/>
    <mergeCell ref="AV3:AY3"/>
    <mergeCell ref="AZ3:BC3"/>
    <mergeCell ref="BD3:BG3"/>
    <mergeCell ref="BH3:BK3"/>
    <mergeCell ref="BL3:BO3"/>
    <mergeCell ref="A1:C3"/>
    <mergeCell ref="H1:K1"/>
    <mergeCell ref="L1:O1"/>
    <mergeCell ref="H3:K3"/>
    <mergeCell ref="L3:O3"/>
    <mergeCell ref="P3:S3"/>
    <mergeCell ref="T3:W3"/>
    <mergeCell ref="X3:AA3"/>
    <mergeCell ref="AB3:AE3"/>
    <mergeCell ref="AF3:AI3"/>
    <mergeCell ref="AJ3:AM3"/>
    <mergeCell ref="AN3:AQ3"/>
    <mergeCell ref="P1:S1"/>
    <mergeCell ref="T1:W1"/>
    <mergeCell ref="X1:AA1"/>
    <mergeCell ref="AB1:AE1"/>
    <mergeCell ref="AF1:AI1"/>
    <mergeCell ref="AJ1:AM1"/>
    <mergeCell ref="AN1:AQ1"/>
    <mergeCell ref="B10:C10"/>
    <mergeCell ref="B11:C11"/>
    <mergeCell ref="B12:C12"/>
    <mergeCell ref="B13:C13"/>
    <mergeCell ref="B14:C14"/>
    <mergeCell ref="B15:C15"/>
    <mergeCell ref="CV3:CY3"/>
    <mergeCell ref="CZ3:DC3"/>
    <mergeCell ref="A4:A18"/>
    <mergeCell ref="B4:C4"/>
    <mergeCell ref="B5:C5"/>
    <mergeCell ref="B6:C6"/>
    <mergeCell ref="B7:C7"/>
    <mergeCell ref="B8:C8"/>
    <mergeCell ref="B9:C9"/>
    <mergeCell ref="CN3:CQ3"/>
    <mergeCell ref="CR3:CU3"/>
    <mergeCell ref="BP3:BS3"/>
    <mergeCell ref="BT3:BW3"/>
    <mergeCell ref="BX3:CA3"/>
    <mergeCell ref="CB3:CE3"/>
    <mergeCell ref="CF3:CI3"/>
    <mergeCell ref="CJ3:CM3"/>
    <mergeCell ref="AR3:AU3"/>
    <mergeCell ref="H23:H26"/>
    <mergeCell ref="I23:I26"/>
    <mergeCell ref="J23:J26"/>
    <mergeCell ref="K23:K26"/>
    <mergeCell ref="L23:L26"/>
    <mergeCell ref="M23:M26"/>
    <mergeCell ref="B16:C16"/>
    <mergeCell ref="B18:C18"/>
    <mergeCell ref="B19:G19"/>
    <mergeCell ref="B20:G20"/>
    <mergeCell ref="B21:G21"/>
    <mergeCell ref="D23:D26"/>
    <mergeCell ref="E23:E26"/>
    <mergeCell ref="F23:F26"/>
    <mergeCell ref="G23:G26"/>
    <mergeCell ref="B17:C17"/>
    <mergeCell ref="T23:T26"/>
    <mergeCell ref="U23:U26"/>
    <mergeCell ref="V23:V26"/>
    <mergeCell ref="W23:W26"/>
    <mergeCell ref="X23:X26"/>
    <mergeCell ref="Y23:Y26"/>
    <mergeCell ref="N23:N26"/>
    <mergeCell ref="O23:O26"/>
    <mergeCell ref="P23:P26"/>
    <mergeCell ref="Q23:Q26"/>
    <mergeCell ref="R23:R26"/>
    <mergeCell ref="S23:S26"/>
    <mergeCell ref="AF23:AF26"/>
    <mergeCell ref="AG23:AG26"/>
    <mergeCell ref="AH23:AH26"/>
    <mergeCell ref="AI23:AI26"/>
    <mergeCell ref="AJ23:AJ26"/>
    <mergeCell ref="AK23:AK26"/>
    <mergeCell ref="Z23:Z26"/>
    <mergeCell ref="AA23:AA26"/>
    <mergeCell ref="AB23:AB26"/>
    <mergeCell ref="AC23:AC26"/>
    <mergeCell ref="AD23:AD26"/>
    <mergeCell ref="AE23:AE26"/>
    <mergeCell ref="AR23:AR26"/>
    <mergeCell ref="AS23:AS26"/>
    <mergeCell ref="AT23:AT26"/>
    <mergeCell ref="AU23:AU26"/>
    <mergeCell ref="AV23:AV26"/>
    <mergeCell ref="AW23:AW26"/>
    <mergeCell ref="AL23:AL26"/>
    <mergeCell ref="AM23:AM26"/>
    <mergeCell ref="AN23:AN26"/>
    <mergeCell ref="AO23:AO26"/>
    <mergeCell ref="AP23:AP26"/>
    <mergeCell ref="AQ23:AQ26"/>
    <mergeCell ref="BD23:BD26"/>
    <mergeCell ref="BE23:BE26"/>
    <mergeCell ref="BF23:BF26"/>
    <mergeCell ref="BG23:BG26"/>
    <mergeCell ref="BH23:BH26"/>
    <mergeCell ref="BI23:BI26"/>
    <mergeCell ref="AX23:AX26"/>
    <mergeCell ref="AY23:AY26"/>
    <mergeCell ref="AZ23:AZ26"/>
    <mergeCell ref="BA23:BA26"/>
    <mergeCell ref="BB23:BB26"/>
    <mergeCell ref="BC23:BC26"/>
    <mergeCell ref="BP23:BP26"/>
    <mergeCell ref="BQ23:BQ26"/>
    <mergeCell ref="BR23:BR26"/>
    <mergeCell ref="BS23:BS26"/>
    <mergeCell ref="BT23:BT26"/>
    <mergeCell ref="BU23:BU26"/>
    <mergeCell ref="BJ23:BJ26"/>
    <mergeCell ref="BK23:BK26"/>
    <mergeCell ref="BL23:BL26"/>
    <mergeCell ref="BM23:BM26"/>
    <mergeCell ref="BN23:BN26"/>
    <mergeCell ref="BO23:BO26"/>
    <mergeCell ref="CB23:CB26"/>
    <mergeCell ref="CC23:CC26"/>
    <mergeCell ref="CD23:CD26"/>
    <mergeCell ref="CE23:CE26"/>
    <mergeCell ref="CF23:CF26"/>
    <mergeCell ref="CG23:CG26"/>
    <mergeCell ref="BV23:BV26"/>
    <mergeCell ref="BW23:BW26"/>
    <mergeCell ref="BX23:BX26"/>
    <mergeCell ref="BY23:BY26"/>
    <mergeCell ref="BZ23:BZ26"/>
    <mergeCell ref="CA23:CA26"/>
    <mergeCell ref="CN23:CN26"/>
    <mergeCell ref="CO23:CO26"/>
    <mergeCell ref="CP23:CP26"/>
    <mergeCell ref="CQ23:CQ26"/>
    <mergeCell ref="CR23:CR26"/>
    <mergeCell ref="CS23:CS26"/>
    <mergeCell ref="CH23:CH26"/>
    <mergeCell ref="CI23:CI26"/>
    <mergeCell ref="CJ23:CJ26"/>
    <mergeCell ref="CK23:CK26"/>
    <mergeCell ref="CL23:CL26"/>
    <mergeCell ref="CM23:CM26"/>
    <mergeCell ref="CZ23:CZ26"/>
    <mergeCell ref="DA23:DA26"/>
    <mergeCell ref="DB23:DB26"/>
    <mergeCell ref="DC23:DC26"/>
    <mergeCell ref="CT23:CT26"/>
    <mergeCell ref="CU23:CU26"/>
    <mergeCell ref="CV23:CV26"/>
    <mergeCell ref="CW23:CW26"/>
    <mergeCell ref="CX23:CX26"/>
    <mergeCell ref="CY23:CY26"/>
    <mergeCell ref="CN2:CQ2"/>
    <mergeCell ref="CR2:CU2"/>
    <mergeCell ref="CV2:CY2"/>
    <mergeCell ref="D2:G2"/>
    <mergeCell ref="BH2:BK2"/>
    <mergeCell ref="BL2:BO2"/>
    <mergeCell ref="BP2:BS2"/>
    <mergeCell ref="BT2:BW2"/>
    <mergeCell ref="BX2:CA2"/>
    <mergeCell ref="CB2:CE2"/>
    <mergeCell ref="CF2:CI2"/>
    <mergeCell ref="CJ2:CM2"/>
  </mergeCells>
  <hyperlinks>
    <hyperlink ref="A1:C3" location="Equipos!A1" display="Equipos!A1" xr:uid="{00000000-0004-0000-1000-000000000000}"/>
    <hyperlink ref="A4:A18" location="Jugadores!A1" display="Jugador" xr:uid="{CCDD5943-B452-44DC-8DDD-85E8F459E0CD}"/>
  </hyperlinks>
  <pageMargins left="0.7" right="0.7" top="0.75" bottom="0.75" header="0.3" footer="0.3"/>
  <pageSetup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C26"/>
  <sheetViews>
    <sheetView zoomScale="90" zoomScaleNormal="90" zoomScaleSheetLayoutView="90" workbookViewId="0">
      <pane xSplit="7" ySplit="3" topLeftCell="AX4" activePane="bottomRight" state="frozen"/>
      <selection pane="topRight" activeCell="H1" sqref="H1"/>
      <selection pane="bottomLeft" activeCell="A3" sqref="A3"/>
      <selection pane="bottomRight" sqref="A1:C3"/>
    </sheetView>
  </sheetViews>
  <sheetFormatPr baseColWidth="10" defaultColWidth="11.42578125" defaultRowHeight="15" x14ac:dyDescent="0.25"/>
  <cols>
    <col min="1" max="1" width="4.85546875" customWidth="1"/>
    <col min="2" max="2" width="9.42578125" customWidth="1"/>
    <col min="3" max="3" width="11.5703125" style="3" customWidth="1"/>
    <col min="4" max="7" width="4.28515625" style="3" customWidth="1"/>
    <col min="8" max="8" width="2.85546875" style="3" customWidth="1"/>
    <col min="9" max="10" width="2.7109375" style="3" customWidth="1"/>
    <col min="11" max="11" width="3.28515625" style="3" customWidth="1"/>
    <col min="12" max="12" width="3.140625" style="3" customWidth="1"/>
    <col min="13" max="15" width="2.7109375" style="3" customWidth="1"/>
    <col min="16" max="16" width="2.85546875" style="3" customWidth="1"/>
    <col min="17" max="107" width="2.7109375" style="3" customWidth="1"/>
    <col min="108" max="16384" width="11.42578125" style="3"/>
  </cols>
  <sheetData>
    <row r="1" spans="1:107" ht="13.9" customHeight="1" x14ac:dyDescent="0.25">
      <c r="A1" s="180" t="str">
        <f>Equipos!B18</f>
        <v>CD El Corozo</v>
      </c>
      <c r="B1" s="180"/>
      <c r="C1" s="180"/>
      <c r="H1" s="172" t="s">
        <v>5</v>
      </c>
      <c r="I1" s="173"/>
      <c r="J1" s="173"/>
      <c r="K1" s="174"/>
      <c r="L1" s="172" t="s">
        <v>6</v>
      </c>
      <c r="M1" s="173"/>
      <c r="N1" s="173"/>
      <c r="O1" s="174"/>
      <c r="P1" s="172" t="s">
        <v>7</v>
      </c>
      <c r="Q1" s="173"/>
      <c r="R1" s="173"/>
      <c r="S1" s="174"/>
      <c r="T1" s="172" t="s">
        <v>8</v>
      </c>
      <c r="U1" s="173"/>
      <c r="V1" s="173"/>
      <c r="W1" s="174"/>
      <c r="X1" s="172" t="s">
        <v>9</v>
      </c>
      <c r="Y1" s="173"/>
      <c r="Z1" s="173"/>
      <c r="AA1" s="174"/>
      <c r="AB1" s="172" t="s">
        <v>10</v>
      </c>
      <c r="AC1" s="173"/>
      <c r="AD1" s="173"/>
      <c r="AE1" s="174"/>
      <c r="AF1" s="172" t="s">
        <v>11</v>
      </c>
      <c r="AG1" s="173"/>
      <c r="AH1" s="173"/>
      <c r="AI1" s="174"/>
      <c r="AJ1" s="172" t="s">
        <v>12</v>
      </c>
      <c r="AK1" s="173"/>
      <c r="AL1" s="173"/>
      <c r="AM1" s="174"/>
      <c r="AN1" s="172" t="s">
        <v>13</v>
      </c>
      <c r="AO1" s="173"/>
      <c r="AP1" s="173"/>
      <c r="AQ1" s="174"/>
      <c r="AR1" s="172" t="s">
        <v>14</v>
      </c>
      <c r="AS1" s="173"/>
      <c r="AT1" s="173"/>
      <c r="AU1" s="174"/>
      <c r="AV1" s="172" t="s">
        <v>15</v>
      </c>
      <c r="AW1" s="173"/>
      <c r="AX1" s="173"/>
      <c r="AY1" s="174"/>
      <c r="AZ1" s="172" t="s">
        <v>16</v>
      </c>
      <c r="BA1" s="173"/>
      <c r="BB1" s="173"/>
      <c r="BC1" s="174"/>
      <c r="BD1" s="172" t="s">
        <v>17</v>
      </c>
      <c r="BE1" s="173"/>
      <c r="BF1" s="173"/>
      <c r="BG1" s="174"/>
      <c r="BH1" s="172" t="s">
        <v>18</v>
      </c>
      <c r="BI1" s="173"/>
      <c r="BJ1" s="173"/>
      <c r="BK1" s="174"/>
      <c r="BL1" s="172" t="s">
        <v>19</v>
      </c>
      <c r="BM1" s="173"/>
      <c r="BN1" s="173"/>
      <c r="BO1" s="174"/>
      <c r="BP1" s="172" t="s">
        <v>20</v>
      </c>
      <c r="BQ1" s="173"/>
      <c r="BR1" s="173"/>
      <c r="BS1" s="174"/>
      <c r="BT1" s="172" t="s">
        <v>51</v>
      </c>
      <c r="BU1" s="173"/>
      <c r="BV1" s="173"/>
      <c r="BW1" s="174"/>
      <c r="BX1" s="172" t="s">
        <v>81</v>
      </c>
      <c r="BY1" s="173"/>
      <c r="BZ1" s="173"/>
      <c r="CA1" s="174"/>
      <c r="CB1" s="172" t="s">
        <v>83</v>
      </c>
      <c r="CC1" s="173"/>
      <c r="CD1" s="173"/>
      <c r="CE1" s="174"/>
      <c r="CF1" s="172" t="s">
        <v>84</v>
      </c>
      <c r="CG1" s="173"/>
      <c r="CH1" s="173"/>
      <c r="CI1" s="174"/>
      <c r="CJ1" s="172" t="s">
        <v>85</v>
      </c>
      <c r="CK1" s="173"/>
      <c r="CL1" s="173"/>
      <c r="CM1" s="174"/>
      <c r="CN1" s="172" t="s">
        <v>93</v>
      </c>
      <c r="CO1" s="173"/>
      <c r="CP1" s="173"/>
      <c r="CQ1" s="174"/>
      <c r="CR1" s="172" t="s">
        <v>94</v>
      </c>
      <c r="CS1" s="173"/>
      <c r="CT1" s="173"/>
      <c r="CU1" s="174"/>
      <c r="CV1" s="172" t="s">
        <v>95</v>
      </c>
      <c r="CW1" s="173"/>
      <c r="CX1" s="173"/>
      <c r="CY1" s="174"/>
      <c r="CZ1" s="172" t="s">
        <v>96</v>
      </c>
      <c r="DA1" s="173"/>
      <c r="DB1" s="173"/>
      <c r="DC1" s="174"/>
    </row>
    <row r="2" spans="1:107" ht="13.9" customHeight="1" x14ac:dyDescent="0.25">
      <c r="A2" s="180"/>
      <c r="B2" s="180"/>
      <c r="C2" s="180"/>
      <c r="D2" s="143" t="s">
        <v>272</v>
      </c>
      <c r="E2" s="143"/>
      <c r="F2" s="143"/>
      <c r="G2" s="144"/>
      <c r="H2" s="140" t="str">
        <f>+_xlfn.XLOOKUP($A$1,Fixture!$D$2:$D$9,Fixture!$F$2:$F$9,_xlfn.XLOOKUP($A$1,Fixture!$F$2:$F$9,Fixture!$D$2:$D$9,"Descansa",FALSE))</f>
        <v>Konami</v>
      </c>
      <c r="I2" s="141"/>
      <c r="J2" s="141"/>
      <c r="K2" s="142"/>
      <c r="L2" s="140" t="str">
        <f>+_xlfn.XLOOKUP($A$1,Fixture!$D$10:$D$17,Fixture!$F$10:$F$17,_xlfn.XLOOKUP($A$1,Fixture!$F$10:$F$17,Fixture!$D$10:$D$17,"Descansa",FALSE))</f>
        <v>Villanueva</v>
      </c>
      <c r="M2" s="141"/>
      <c r="N2" s="141"/>
      <c r="O2" s="142"/>
      <c r="P2" s="175" t="str">
        <f>+_xlfn.XLOOKUP($A$1,Fixture!$D$18:$D$25,Fixture!$F$18:$F$25,_xlfn.XLOOKUP($A$1,Fixture!$F$18:$F$25,Fixture!$D$18:$D$25,"Descansa",FALSE))</f>
        <v>La Nueva Era</v>
      </c>
      <c r="Q2" s="176"/>
      <c r="R2" s="176"/>
      <c r="S2" s="177"/>
      <c r="T2" s="140" t="str">
        <f>+_xlfn.XLOOKUP($A$1,Fixture!$D$26:$D$33,Fixture!$F$26:$F$33,_xlfn.XLOOKUP($A$1,Fixture!$F$26:$F$33,Fixture!$D$26:$D$33,"Descansa",FALSE))</f>
        <v>Amenadim</v>
      </c>
      <c r="U2" s="141"/>
      <c r="V2" s="141"/>
      <c r="W2" s="142"/>
      <c r="X2" s="140" t="str">
        <f>+_xlfn.XLOOKUP($A$1,Fixture!$D$34:$D$41,Fixture!$F$34:$F$41,_xlfn.XLOOKUP($A$1,Fixture!$F$34:$F$41,Fixture!$D$34:$D$41,"Descansa",FALSE))</f>
        <v>Hojas Anchas</v>
      </c>
      <c r="Y2" s="141"/>
      <c r="Z2" s="141"/>
      <c r="AA2" s="142"/>
      <c r="AB2" s="140" t="str">
        <f>+_xlfn.XLOOKUP($A$1,Fixture!$D$42:$D$49,Fixture!$F$42:$F$49,_xlfn.XLOOKUP($A$1,Fixture!$F$42:$F$49,Fixture!$D$42:$D$49,"Descansa",FALSE))</f>
        <v>Los Aliados</v>
      </c>
      <c r="AC2" s="141"/>
      <c r="AD2" s="141"/>
      <c r="AE2" s="142"/>
      <c r="AF2" s="140" t="str">
        <f>+_xlfn.XLOOKUP($A$1,Fixture!$D$50:$D$57,Fixture!$F$50:$F$57,_xlfn.XLOOKUP($A$1,Fixture!$F$50:$F$57,Fixture!$D$50:$D$57,"Descansa",FALSE))</f>
        <v>Boca Juniors</v>
      </c>
      <c r="AG2" s="141"/>
      <c r="AH2" s="141"/>
      <c r="AI2" s="142"/>
      <c r="AJ2" s="140" t="str">
        <f>+_xlfn.XLOOKUP($A$1,Fixture!$D$58:$D$65,Fixture!$F$58:$F$65,_xlfn.XLOOKUP($A$1,Fixture!$F$58:$F$65,Fixture!$D$58:$D$65,"Descansa",FALSE))</f>
        <v>Deportivo Fénix</v>
      </c>
      <c r="AK2" s="141"/>
      <c r="AL2" s="141"/>
      <c r="AM2" s="142"/>
      <c r="AN2" s="140" t="str">
        <f>+_xlfn.XLOOKUP($A$1,Fixture!$D$66:$D$73,Fixture!$F$66:$F$73,_xlfn.XLOOKUP($A$1,Fixture!$F$66:$F$73,Fixture!$D$66:$D$73,"Descansa",FALSE))</f>
        <v>Rayos FC</v>
      </c>
      <c r="AO2" s="141"/>
      <c r="AP2" s="141"/>
      <c r="AQ2" s="142"/>
      <c r="AR2" s="140" t="str">
        <f>+_xlfn.XLOOKUP($A$1,Fixture!$D$74:$D$81,Fixture!$F$74:$F$81,_xlfn.XLOOKUP($A$1,Fixture!$F$74:$F$81,Fixture!$D$74:$D$81,"Descansa",FALSE))</f>
        <v>La Unión FC</v>
      </c>
      <c r="AS2" s="141"/>
      <c r="AT2" s="141"/>
      <c r="AU2" s="142"/>
      <c r="AV2" s="140" t="str">
        <f>+_xlfn.XLOOKUP($A$1,Fixture!$D$82:$D$89,Fixture!$F$82:$F$89,_xlfn.XLOOKUP($A$1,Fixture!$F$82:$F$89,Fixture!$D$82:$D$89,"Descansa",FALSE))</f>
        <v>Valentín FC</v>
      </c>
      <c r="AW2" s="141"/>
      <c r="AX2" s="141"/>
      <c r="AY2" s="142"/>
      <c r="AZ2" s="140" t="str">
        <f>+_xlfn.XLOOKUP($A$1,Fixture!$D$90:$D$97,Fixture!$F$90:$F$97,_xlfn.XLOOKUP($A$1,Fixture!$F$90:$F$97,Fixture!$D$90:$D$97,"Descansa",FALSE))</f>
        <v>Atalanta</v>
      </c>
      <c r="BA2" s="141"/>
      <c r="BB2" s="141"/>
      <c r="BC2" s="142"/>
      <c r="BD2" s="140" t="str">
        <f>+_xlfn.XLOOKUP($A$1,Fixture!$D$98:$D$105,Fixture!$F$98:$F$105,_xlfn.XLOOKUP($A$1,Fixture!$F$98:$F$105,Fixture!$D$98:$D$105,"Descansa",FALSE))</f>
        <v>Los Amigos</v>
      </c>
      <c r="BE2" s="141"/>
      <c r="BF2" s="141"/>
      <c r="BG2" s="142"/>
      <c r="BH2" s="140" t="str">
        <f>+_xlfn.XLOOKUP($A$1,Fixture!$D$106:$D$113,Fixture!$F$106:$F$113,_xlfn.XLOOKUP($A$1,Fixture!$F$106:$F$113,Fixture!$D$106:$D$113,"Descansa",FALSE))</f>
        <v>Ron Star</v>
      </c>
      <c r="BI2" s="141"/>
      <c r="BJ2" s="141"/>
      <c r="BK2" s="142"/>
      <c r="BL2" s="140" t="str">
        <f>+_xlfn.XLOOKUP($A$1,Fixture!$D$114:$D$121,Fixture!$F$114:$F$121,_xlfn.XLOOKUP($A$1,Fixture!$F$114:$F$121,Fixture!$D$114:$D$121,"Descansa",FALSE))</f>
        <v>La Amistad</v>
      </c>
      <c r="BM2" s="141"/>
      <c r="BN2" s="141"/>
      <c r="BO2" s="142"/>
      <c r="BP2" s="140" t="str">
        <f>+_xlfn.XLOOKUP($A$1,Fixture!$D$122:$D$128,Fixture!$F$122:$F$128,_xlfn.XLOOKUP($A$1,Fixture!$F$122:$F$128,Fixture!$D$122:$D$128,"Descansa",FALSE))</f>
        <v>Descansa</v>
      </c>
      <c r="BQ2" s="141"/>
      <c r="BR2" s="141"/>
      <c r="BS2" s="142"/>
      <c r="BT2" s="140" t="str">
        <f>+_xlfn.XLOOKUP($A$1,Fixture!$D$129:$D$135,Fixture!$F$129:$F$135,_xlfn.XLOOKUP($A$1,Fixture!$F$129:$F$135,Fixture!$D$129:$D$135,"Descansa",FALSE))</f>
        <v>La Amistad</v>
      </c>
      <c r="BU2" s="141"/>
      <c r="BV2" s="141"/>
      <c r="BW2" s="142"/>
      <c r="BX2" s="140" t="str">
        <f>+_xlfn.XLOOKUP($A$1,Fixture!$D$136:$D$141,Fixture!$F$136:$F$141,_xlfn.XLOOKUP($A$1,Fixture!$F$136:$F$141,Fixture!$D$136:$D$141,"Descansa",FALSE))</f>
        <v>Descansa</v>
      </c>
      <c r="BY2" s="141"/>
      <c r="BZ2" s="141"/>
      <c r="CA2" s="142"/>
      <c r="CB2" s="140" t="str">
        <f>+_xlfn.XLOOKUP($A$1,Fixture!$D$142:$D$149,Fixture!$F$142:$F$149,_xlfn.XLOOKUP($A$1,Fixture!$F$142:$F$149,Fixture!$D$142:$D$149,"Descansa",FALSE))</f>
        <v>Deportivo Fénix</v>
      </c>
      <c r="CC2" s="141"/>
      <c r="CD2" s="141"/>
      <c r="CE2" s="142"/>
      <c r="CF2" s="140" t="str">
        <f>+_xlfn.XLOOKUP($A$1,Fixture!$D$150:$D$155,Fixture!$F$150:$F$155,_xlfn.XLOOKUP($A$1,Fixture!$F$150:$F$155,Fixture!$D$150:$D$155,"Descansa",FALSE))</f>
        <v>Descansa</v>
      </c>
      <c r="CG2" s="141"/>
      <c r="CH2" s="141"/>
      <c r="CI2" s="142"/>
      <c r="CJ2" s="140" t="str">
        <f>+_xlfn.XLOOKUP($A$1,Fixture!$D$156:$D$161,Fixture!$F$156:$F$161,_xlfn.XLOOKUP($A$1,Fixture!$F$156:$F$161,Fixture!$D$156:$D$161,"Descansa",FALSE))</f>
        <v>La Nueva Era</v>
      </c>
      <c r="CK2" s="141"/>
      <c r="CL2" s="141"/>
      <c r="CM2" s="142"/>
      <c r="CN2" s="140" t="str">
        <f>+_xlfn.XLOOKUP($A$1,Fixture!$D$162:$D$167,Fixture!$F$162:$F$167,_xlfn.XLOOKUP($A$1,Fixture!$F$162:$F$167,Fixture!$D$162:$D$167,"Descansa",FALSE))</f>
        <v>Konami</v>
      </c>
      <c r="CO2" s="141"/>
      <c r="CP2" s="141"/>
      <c r="CQ2" s="142"/>
      <c r="CR2" s="140" t="str">
        <f>+_xlfn.XLOOKUP($A$1,Fixture!$D$168:$D$169,Fixture!$F$168:$F$169,_xlfn.XLOOKUP($A$1,Fixture!$F$168:$F$169,Fixture!$D$168:$D$169,"Descanssa",FALSE))</f>
        <v>Descanssa</v>
      </c>
      <c r="CS2" s="141"/>
      <c r="CT2" s="141"/>
      <c r="CU2" s="142"/>
      <c r="CV2" s="140" t="str">
        <f>+_xlfn.XLOOKUP($A$1,Fixture!$D$170:$D$171,Fixture!$F$170:$F$171,_xlfn.XLOOKUP($A$1,Fixture!$F$170:$F$171,Fixture!$D$170:$D$171,"Descansa",FALSE))</f>
        <v>Amenadim</v>
      </c>
      <c r="CW2" s="141"/>
      <c r="CX2" s="141"/>
      <c r="CY2" s="142"/>
      <c r="CZ2" s="72"/>
      <c r="DA2" s="73"/>
      <c r="DB2" s="73"/>
      <c r="DC2" s="74"/>
    </row>
    <row r="3" spans="1:107" ht="14.45" customHeight="1" x14ac:dyDescent="0.25">
      <c r="A3" s="180"/>
      <c r="B3" s="180"/>
      <c r="C3" s="180"/>
      <c r="D3" s="22" t="s">
        <v>89</v>
      </c>
      <c r="E3" s="22" t="s">
        <v>90</v>
      </c>
      <c r="F3" s="22" t="s">
        <v>91</v>
      </c>
      <c r="G3" s="24" t="s">
        <v>92</v>
      </c>
      <c r="H3" s="166">
        <f>IF(Fixture!$C7=0,"",Fixture!$C7)</f>
        <v>45676</v>
      </c>
      <c r="I3" s="167"/>
      <c r="J3" s="167"/>
      <c r="K3" s="168"/>
      <c r="L3" s="166">
        <f>IF(Fixture!$C11=0,"",Fixture!$C11)</f>
        <v>45683</v>
      </c>
      <c r="M3" s="167"/>
      <c r="N3" s="167"/>
      <c r="O3" s="168"/>
      <c r="P3" s="166">
        <f>IF(Fixture!$C23=0,"",Fixture!$C23)</f>
        <v>45690</v>
      </c>
      <c r="Q3" s="167"/>
      <c r="R3" s="167"/>
      <c r="S3" s="168"/>
      <c r="T3" s="166">
        <f>IF(Fixture!$C31=0,"",Fixture!$C31)</f>
        <v>45697</v>
      </c>
      <c r="U3" s="167"/>
      <c r="V3" s="167"/>
      <c r="W3" s="168"/>
      <c r="X3" s="166">
        <f>IF(Fixture!$C39=0,"",Fixture!$C39)</f>
        <v>45704</v>
      </c>
      <c r="Y3" s="167"/>
      <c r="Z3" s="167"/>
      <c r="AA3" s="168"/>
      <c r="AB3" s="166">
        <f>IF(Fixture!$C45=0,"",Fixture!$C45)</f>
        <v>45711</v>
      </c>
      <c r="AC3" s="167"/>
      <c r="AD3" s="167"/>
      <c r="AE3" s="168"/>
      <c r="AF3" s="166">
        <f>IF(Fixture!$C55=0,"",Fixture!$C55)</f>
        <v>45718</v>
      </c>
      <c r="AG3" s="167"/>
      <c r="AH3" s="167"/>
      <c r="AI3" s="168"/>
      <c r="AJ3" s="166">
        <f>IF(Fixture!$C63=0,"",Fixture!$C63)</f>
        <v>45725</v>
      </c>
      <c r="AK3" s="167"/>
      <c r="AL3" s="167"/>
      <c r="AM3" s="168"/>
      <c r="AN3" s="166">
        <f>IF(Fixture!$C71=0,"",Fixture!$C71)</f>
        <v>45704</v>
      </c>
      <c r="AO3" s="167"/>
      <c r="AP3" s="167"/>
      <c r="AQ3" s="168"/>
      <c r="AR3" s="166">
        <f>IF(Fixture!$C79=0,"",Fixture!$C79)</f>
        <v>45746</v>
      </c>
      <c r="AS3" s="167"/>
      <c r="AT3" s="167"/>
      <c r="AU3" s="168"/>
      <c r="AV3" s="166">
        <f>IF(Fixture!$C89=0,"",Fixture!$C89)</f>
        <v>45753</v>
      </c>
      <c r="AW3" s="167"/>
      <c r="AX3" s="167"/>
      <c r="AY3" s="168"/>
      <c r="AZ3" s="166">
        <f>IF(Fixture!$C95=0,"",Fixture!$C95)</f>
        <v>45774</v>
      </c>
      <c r="BA3" s="167"/>
      <c r="BB3" s="167"/>
      <c r="BC3" s="168"/>
      <c r="BD3" s="166">
        <f>IF(Fixture!$C103=0,"",Fixture!$C103)</f>
        <v>45781</v>
      </c>
      <c r="BE3" s="167"/>
      <c r="BF3" s="167"/>
      <c r="BG3" s="168"/>
      <c r="BH3" s="163" t="e">
        <f>+VLOOKUP(BH1,Resultados!$A$3:$B$71,2,FALSE)</f>
        <v>#N/A</v>
      </c>
      <c r="BI3" s="164"/>
      <c r="BJ3" s="164"/>
      <c r="BK3" s="165"/>
      <c r="BL3" s="163" t="e">
        <f>+VLOOKUP(BL1,Resultados!$A$3:$B$71,2,FALSE)</f>
        <v>#N/A</v>
      </c>
      <c r="BM3" s="164"/>
      <c r="BN3" s="164"/>
      <c r="BO3" s="165"/>
      <c r="BP3" s="163" t="e">
        <f>+VLOOKUP(BP1,Resultados!$A$3:$B$71,2,FALSE)</f>
        <v>#N/A</v>
      </c>
      <c r="BQ3" s="164"/>
      <c r="BR3" s="164"/>
      <c r="BS3" s="165"/>
      <c r="BT3" s="163" t="e">
        <f>+VLOOKUP(BT1,Resultados!$A$3:$B$71,2,FALSE)</f>
        <v>#N/A</v>
      </c>
      <c r="BU3" s="164"/>
      <c r="BV3" s="164"/>
      <c r="BW3" s="165"/>
      <c r="BX3" s="163" t="e">
        <f>+VLOOKUP(BX1,Resultados!$A$3:$B$71,2,FALSE)</f>
        <v>#N/A</v>
      </c>
      <c r="BY3" s="164"/>
      <c r="BZ3" s="164"/>
      <c r="CA3" s="165"/>
      <c r="CB3" s="163" t="e">
        <f>+VLOOKUP(CB1,Resultados!$A$3:$B$71,2,FALSE)</f>
        <v>#N/A</v>
      </c>
      <c r="CC3" s="164"/>
      <c r="CD3" s="164"/>
      <c r="CE3" s="165"/>
      <c r="CF3" s="163" t="e">
        <f>+VLOOKUP(CF1,Resultados!$A$3:$B$71,2,FALSE)</f>
        <v>#N/A</v>
      </c>
      <c r="CG3" s="164"/>
      <c r="CH3" s="164"/>
      <c r="CI3" s="165"/>
      <c r="CJ3" s="163" t="e">
        <f>+VLOOKUP(CJ1,Resultados!$A$3:$B$71,2,FALSE)</f>
        <v>#N/A</v>
      </c>
      <c r="CK3" s="164"/>
      <c r="CL3" s="164"/>
      <c r="CM3" s="165"/>
      <c r="CN3" s="163" t="e">
        <f>+VLOOKUP(CN1,Resultados!$A$3:$B$71,2,FALSE)</f>
        <v>#N/A</v>
      </c>
      <c r="CO3" s="164"/>
      <c r="CP3" s="164"/>
      <c r="CQ3" s="165"/>
      <c r="CR3" s="163" t="e">
        <f>+VLOOKUP(CR1,Resultados!$A$3:$B$71,2,FALSE)</f>
        <v>#N/A</v>
      </c>
      <c r="CS3" s="164"/>
      <c r="CT3" s="164"/>
      <c r="CU3" s="165"/>
      <c r="CV3" s="163" t="e">
        <f>+VLOOKUP(CV1,Resultados!$A$3:$B$71,2,FALSE)</f>
        <v>#N/A</v>
      </c>
      <c r="CW3" s="164"/>
      <c r="CX3" s="164"/>
      <c r="CY3" s="165"/>
      <c r="CZ3" s="163" t="e">
        <f>+VLOOKUP(CZ1,Resultados!$A$3:$B$71,2,FALSE)</f>
        <v>#N/A</v>
      </c>
      <c r="DA3" s="164"/>
      <c r="DB3" s="164"/>
      <c r="DC3" s="165"/>
    </row>
    <row r="4" spans="1:107" ht="19.899999999999999" customHeight="1" x14ac:dyDescent="0.25">
      <c r="A4" s="169" t="s">
        <v>3</v>
      </c>
      <c r="B4" s="154" t="str">
        <f>Jugadores!P3</f>
        <v>Andy Urango Viloria</v>
      </c>
      <c r="C4" s="155"/>
      <c r="D4" s="24">
        <f>H4+L4+P4+T4+X4+AB4+AF4+AJ4+AN4+AR4+AV4+AZ4+BD4+BH4+BL4+BP4+BT4+BX4+CB4+CF4+CJ4+CN4+CR4+CV4+CZ4</f>
        <v>7</v>
      </c>
      <c r="E4" s="24">
        <f>I4+M4+Q4+U4+Y4+AC4+AG4+AK4+AO4+AS4+AW4+BA4+BE4+BI4+BM4+BQ4+BV4+BY4+CD4+CG4+CL4+CO4+CT4+CW4+DB4</f>
        <v>1</v>
      </c>
      <c r="F4" s="115">
        <f>J4+N4+R4+V4+Z4+AD4+AH4+AL4+AP4+AT4+AX4+BB4+BF4+BJ4+BN4+BT4+BX4+CB4+CF4+CJ4+CN4+CR4+CV4+CZ4</f>
        <v>0</v>
      </c>
      <c r="G4" s="115">
        <f>K4+O4+S4+W4+AA4+AE4+AI4+AM4+AQ4+AU4+AY4+BC4+BG4+BK4+BO4+BV4+BY4+CD4+CG4+CL4+CO4+CT4+CW4+DB4</f>
        <v>0</v>
      </c>
      <c r="H4" s="28"/>
      <c r="I4" s="26"/>
      <c r="J4" s="26"/>
      <c r="K4" s="29"/>
      <c r="L4" s="28">
        <v>2</v>
      </c>
      <c r="M4" s="26"/>
      <c r="N4" s="26"/>
      <c r="O4" s="29"/>
      <c r="P4" s="28">
        <v>1</v>
      </c>
      <c r="Q4" s="26"/>
      <c r="R4" s="26"/>
      <c r="S4" s="29"/>
      <c r="T4" s="28"/>
      <c r="U4" s="26"/>
      <c r="V4" s="26"/>
      <c r="W4" s="29"/>
      <c r="X4" s="28">
        <v>2</v>
      </c>
      <c r="Y4" s="26">
        <v>1</v>
      </c>
      <c r="Z4" s="26"/>
      <c r="AA4" s="29"/>
      <c r="AB4" s="28"/>
      <c r="AC4" s="26"/>
      <c r="AD4" s="26"/>
      <c r="AE4" s="29"/>
      <c r="AF4" s="28"/>
      <c r="AG4" s="26"/>
      <c r="AH4" s="26"/>
      <c r="AI4" s="29"/>
      <c r="AJ4" s="28"/>
      <c r="AK4" s="26"/>
      <c r="AL4" s="26"/>
      <c r="AM4" s="29"/>
      <c r="AN4" s="28"/>
      <c r="AO4" s="26"/>
      <c r="AP4" s="26"/>
      <c r="AQ4" s="29"/>
      <c r="AR4" s="28">
        <v>1</v>
      </c>
      <c r="AS4" s="26"/>
      <c r="AT4" s="26"/>
      <c r="AU4" s="29"/>
      <c r="AV4" s="28">
        <v>1</v>
      </c>
      <c r="AW4" s="26"/>
      <c r="AX4" s="26"/>
      <c r="AY4" s="29"/>
      <c r="AZ4" s="28"/>
      <c r="BA4" s="26"/>
      <c r="BB4" s="26"/>
      <c r="BC4" s="29"/>
      <c r="BD4" s="28"/>
      <c r="BE4" s="26"/>
      <c r="BF4" s="26"/>
      <c r="BG4" s="29"/>
      <c r="BH4" s="28"/>
      <c r="BI4" s="26"/>
      <c r="BJ4" s="26"/>
      <c r="BK4" s="29"/>
      <c r="BL4" s="28"/>
      <c r="BM4" s="26"/>
      <c r="BN4" s="26"/>
      <c r="BO4" s="29"/>
      <c r="BP4" s="28"/>
      <c r="BQ4" s="26"/>
      <c r="BR4" s="26"/>
      <c r="BS4" s="29"/>
      <c r="BT4" s="28"/>
      <c r="BU4" s="26"/>
      <c r="BV4" s="26"/>
      <c r="BW4" s="29"/>
      <c r="BX4" s="28"/>
      <c r="BY4" s="26"/>
      <c r="BZ4" s="26"/>
      <c r="CA4" s="29"/>
      <c r="CB4" s="28"/>
      <c r="CC4" s="26"/>
      <c r="CD4" s="26"/>
      <c r="CE4" s="29"/>
      <c r="CF4" s="28"/>
      <c r="CG4" s="26"/>
      <c r="CH4" s="26"/>
      <c r="CI4" s="29"/>
      <c r="CJ4" s="28"/>
      <c r="CK4" s="26"/>
      <c r="CL4" s="26"/>
      <c r="CM4" s="29"/>
      <c r="CN4" s="28"/>
      <c r="CO4" s="26"/>
      <c r="CP4" s="26"/>
      <c r="CQ4" s="29"/>
      <c r="CR4" s="28"/>
      <c r="CS4" s="26"/>
      <c r="CT4" s="26"/>
      <c r="CU4" s="29"/>
      <c r="CV4" s="28"/>
      <c r="CW4" s="26"/>
      <c r="CX4" s="26"/>
      <c r="CY4" s="29"/>
      <c r="CZ4" s="28"/>
      <c r="DA4" s="26"/>
      <c r="DB4" s="26"/>
      <c r="DC4" s="29"/>
    </row>
    <row r="5" spans="1:107" ht="19.899999999999999" customHeight="1" x14ac:dyDescent="0.25">
      <c r="A5" s="169"/>
      <c r="B5" s="154" t="str">
        <f>Jugadores!P4</f>
        <v>Andrés Suárez Martínez</v>
      </c>
      <c r="C5" s="155"/>
      <c r="D5" s="24">
        <f t="shared" ref="D5:D18" si="0">H5+L5+P5+T5+X5+AB5+AF5+AJ5+AN5+AR5+AV5+AZ5+BD5+BH5+BL5+BP5+BT5+BX5+CB5+CF5+CJ5+CN5+CR5+CV5+CZ5</f>
        <v>1</v>
      </c>
      <c r="E5" s="24">
        <f t="shared" ref="E5:E18" si="1">I5+M5+Q5+U5+Y5+AC5+AG5+AK5+AO5+AS5+AW5+BA5+BE5+BI5+BM5+BQ5+BV5+BY5+CD5+CG5+CL5+CO5+CT5+CW5+DB5</f>
        <v>1</v>
      </c>
      <c r="F5" s="115">
        <f t="shared" ref="F5:F18" si="2">J5+N5+R5+V5+Z5+AD5+AH5+AL5+AP5+AT5+AX5+BB5+BF5+BJ5+BN5+BT5+BX5+CB5+CF5+CJ5+CN5+CR5+CV5+CZ5</f>
        <v>0</v>
      </c>
      <c r="G5" s="115">
        <f t="shared" ref="G5:G18" si="3">K5+O5+S5+W5+AA5+AE5+AI5+AM5+AQ5+AU5+AY5+BC5+BG5+BK5+BO5+BV5+BY5+CD5+CG5+CL5+CO5+CT5+CW5+DB5</f>
        <v>0</v>
      </c>
      <c r="H5" s="28"/>
      <c r="I5" s="26"/>
      <c r="J5" s="26"/>
      <c r="K5" s="29"/>
      <c r="L5" s="28"/>
      <c r="M5" s="26"/>
      <c r="N5" s="26"/>
      <c r="O5" s="29"/>
      <c r="P5" s="28"/>
      <c r="Q5" s="26"/>
      <c r="R5" s="26"/>
      <c r="S5" s="29"/>
      <c r="T5" s="28"/>
      <c r="U5" s="26"/>
      <c r="V5" s="26"/>
      <c r="W5" s="29"/>
      <c r="X5" s="28"/>
      <c r="Y5" s="26"/>
      <c r="Z5" s="26"/>
      <c r="AA5" s="29"/>
      <c r="AB5" s="28"/>
      <c r="AC5" s="26"/>
      <c r="AD5" s="26"/>
      <c r="AE5" s="29"/>
      <c r="AF5" s="28"/>
      <c r="AG5" s="26"/>
      <c r="AH5" s="26"/>
      <c r="AI5" s="29"/>
      <c r="AJ5" s="28"/>
      <c r="AK5" s="26"/>
      <c r="AL5" s="26"/>
      <c r="AM5" s="29"/>
      <c r="AN5" s="28"/>
      <c r="AO5" s="26"/>
      <c r="AP5" s="26"/>
      <c r="AQ5" s="29"/>
      <c r="AR5" s="28"/>
      <c r="AS5" s="26"/>
      <c r="AT5" s="26"/>
      <c r="AU5" s="29"/>
      <c r="AV5" s="28">
        <v>1</v>
      </c>
      <c r="AW5" s="26">
        <v>1</v>
      </c>
      <c r="AX5" s="26"/>
      <c r="AY5" s="29"/>
      <c r="AZ5" s="28"/>
      <c r="BA5" s="26"/>
      <c r="BB5" s="26"/>
      <c r="BC5" s="29"/>
      <c r="BD5" s="28"/>
      <c r="BE5" s="26"/>
      <c r="BF5" s="26"/>
      <c r="BG5" s="29"/>
      <c r="BH5" s="28"/>
      <c r="BI5" s="26"/>
      <c r="BJ5" s="26"/>
      <c r="BK5" s="29"/>
      <c r="BL5" s="28"/>
      <c r="BM5" s="26"/>
      <c r="BN5" s="26"/>
      <c r="BO5" s="29"/>
      <c r="BP5" s="28"/>
      <c r="BQ5" s="26"/>
      <c r="BR5" s="26"/>
      <c r="BS5" s="29"/>
      <c r="BT5" s="28"/>
      <c r="BU5" s="26"/>
      <c r="BV5" s="26"/>
      <c r="BW5" s="29"/>
      <c r="BX5" s="28"/>
      <c r="BY5" s="26"/>
      <c r="BZ5" s="26"/>
      <c r="CA5" s="29"/>
      <c r="CB5" s="28"/>
      <c r="CC5" s="26"/>
      <c r="CD5" s="26"/>
      <c r="CE5" s="29"/>
      <c r="CF5" s="28"/>
      <c r="CG5" s="26"/>
      <c r="CH5" s="26"/>
      <c r="CI5" s="29"/>
      <c r="CJ5" s="28"/>
      <c r="CK5" s="26"/>
      <c r="CL5" s="26"/>
      <c r="CM5" s="29"/>
      <c r="CN5" s="28"/>
      <c r="CO5" s="26"/>
      <c r="CP5" s="26"/>
      <c r="CQ5" s="29"/>
      <c r="CR5" s="28"/>
      <c r="CS5" s="26"/>
      <c r="CT5" s="26"/>
      <c r="CU5" s="29"/>
      <c r="CV5" s="28"/>
      <c r="CW5" s="26"/>
      <c r="CX5" s="26"/>
      <c r="CY5" s="29"/>
      <c r="CZ5" s="28"/>
      <c r="DA5" s="26"/>
      <c r="DB5" s="26"/>
      <c r="DC5" s="29"/>
    </row>
    <row r="6" spans="1:107" ht="19.899999999999999" customHeight="1" x14ac:dyDescent="0.25">
      <c r="A6" s="169"/>
      <c r="B6" s="154" t="str">
        <f>Jugadores!P5</f>
        <v>Osneider Benítez Feria</v>
      </c>
      <c r="C6" s="155"/>
      <c r="D6" s="24">
        <f t="shared" si="0"/>
        <v>3</v>
      </c>
      <c r="E6" s="24">
        <f t="shared" si="1"/>
        <v>2</v>
      </c>
      <c r="F6" s="115">
        <f t="shared" si="2"/>
        <v>0</v>
      </c>
      <c r="G6" s="115">
        <f t="shared" si="3"/>
        <v>0</v>
      </c>
      <c r="H6" s="28"/>
      <c r="I6" s="26"/>
      <c r="J6" s="26"/>
      <c r="K6" s="29"/>
      <c r="L6" s="28"/>
      <c r="M6" s="26"/>
      <c r="N6" s="26"/>
      <c r="O6" s="29"/>
      <c r="P6" s="28"/>
      <c r="Q6" s="26"/>
      <c r="R6" s="26"/>
      <c r="S6" s="29"/>
      <c r="T6" s="28"/>
      <c r="U6" s="26">
        <v>1</v>
      </c>
      <c r="V6" s="26"/>
      <c r="W6" s="29"/>
      <c r="X6" s="28"/>
      <c r="Y6" s="26"/>
      <c r="Z6" s="26"/>
      <c r="AA6" s="29"/>
      <c r="AB6" s="28"/>
      <c r="AC6" s="26"/>
      <c r="AD6" s="26"/>
      <c r="AE6" s="29"/>
      <c r="AF6" s="28"/>
      <c r="AG6" s="26"/>
      <c r="AH6" s="26"/>
      <c r="AI6" s="29"/>
      <c r="AJ6" s="28">
        <v>2</v>
      </c>
      <c r="AK6" s="26"/>
      <c r="AL6" s="26"/>
      <c r="AM6" s="29"/>
      <c r="AN6" s="28"/>
      <c r="AO6" s="26"/>
      <c r="AP6" s="26"/>
      <c r="AQ6" s="29"/>
      <c r="AR6" s="28"/>
      <c r="AS6" s="26"/>
      <c r="AT6" s="26"/>
      <c r="AU6" s="29"/>
      <c r="AV6" s="28">
        <v>1</v>
      </c>
      <c r="AW6" s="26">
        <v>1</v>
      </c>
      <c r="AX6" s="26"/>
      <c r="AY6" s="29"/>
      <c r="AZ6" s="28"/>
      <c r="BA6" s="26"/>
      <c r="BB6" s="26"/>
      <c r="BC6" s="29"/>
      <c r="BD6" s="28"/>
      <c r="BE6" s="26"/>
      <c r="BF6" s="26"/>
      <c r="BG6" s="29"/>
      <c r="BH6" s="28"/>
      <c r="BI6" s="26"/>
      <c r="BJ6" s="26"/>
      <c r="BK6" s="29"/>
      <c r="BL6" s="28"/>
      <c r="BM6" s="26"/>
      <c r="BN6" s="26"/>
      <c r="BO6" s="29"/>
      <c r="BP6" s="28"/>
      <c r="BQ6" s="26"/>
      <c r="BR6" s="26"/>
      <c r="BS6" s="29"/>
      <c r="BT6" s="28"/>
      <c r="BU6" s="26"/>
      <c r="BV6" s="26"/>
      <c r="BW6" s="29"/>
      <c r="BX6" s="28"/>
      <c r="BY6" s="26"/>
      <c r="BZ6" s="26"/>
      <c r="CA6" s="29"/>
      <c r="CB6" s="28"/>
      <c r="CC6" s="26"/>
      <c r="CD6" s="26"/>
      <c r="CE6" s="29"/>
      <c r="CF6" s="28"/>
      <c r="CG6" s="26"/>
      <c r="CH6" s="26"/>
      <c r="CI6" s="29"/>
      <c r="CJ6" s="28"/>
      <c r="CK6" s="26"/>
      <c r="CL6" s="26"/>
      <c r="CM6" s="29"/>
      <c r="CN6" s="28"/>
      <c r="CO6" s="26"/>
      <c r="CP6" s="26"/>
      <c r="CQ6" s="29"/>
      <c r="CR6" s="28"/>
      <c r="CS6" s="26"/>
      <c r="CT6" s="26"/>
      <c r="CU6" s="29"/>
      <c r="CV6" s="28"/>
      <c r="CW6" s="26"/>
      <c r="CX6" s="26"/>
      <c r="CY6" s="29"/>
      <c r="CZ6" s="28"/>
      <c r="DA6" s="26"/>
      <c r="DB6" s="26"/>
      <c r="DC6" s="29"/>
    </row>
    <row r="7" spans="1:107" ht="19.899999999999999" customHeight="1" x14ac:dyDescent="0.25">
      <c r="A7" s="169"/>
      <c r="B7" s="154" t="str">
        <f>Jugadores!P6</f>
        <v>Carlos Suárez Martínez</v>
      </c>
      <c r="C7" s="155"/>
      <c r="D7" s="24">
        <f t="shared" si="0"/>
        <v>9</v>
      </c>
      <c r="E7" s="24">
        <f t="shared" si="1"/>
        <v>2</v>
      </c>
      <c r="F7" s="115">
        <f t="shared" si="2"/>
        <v>0</v>
      </c>
      <c r="G7" s="115">
        <f t="shared" si="3"/>
        <v>0</v>
      </c>
      <c r="H7" s="28"/>
      <c r="I7" s="26"/>
      <c r="J7" s="26"/>
      <c r="K7" s="29"/>
      <c r="L7" s="28"/>
      <c r="M7" s="26"/>
      <c r="N7" s="26"/>
      <c r="O7" s="29"/>
      <c r="P7" s="28">
        <v>6</v>
      </c>
      <c r="Q7" s="26"/>
      <c r="R7" s="26"/>
      <c r="S7" s="29"/>
      <c r="T7" s="28"/>
      <c r="U7" s="26"/>
      <c r="V7" s="26"/>
      <c r="W7" s="29"/>
      <c r="X7" s="28"/>
      <c r="Y7" s="26">
        <v>1</v>
      </c>
      <c r="Z7" s="26"/>
      <c r="AA7" s="29"/>
      <c r="AB7" s="28"/>
      <c r="AC7" s="26"/>
      <c r="AD7" s="26"/>
      <c r="AE7" s="29"/>
      <c r="AF7" s="28"/>
      <c r="AG7" s="26"/>
      <c r="AH7" s="26"/>
      <c r="AI7" s="29"/>
      <c r="AJ7" s="28">
        <v>1</v>
      </c>
      <c r="AK7" s="26"/>
      <c r="AL7" s="26"/>
      <c r="AM7" s="29"/>
      <c r="AN7" s="28"/>
      <c r="AO7" s="26"/>
      <c r="AP7" s="26"/>
      <c r="AQ7" s="29"/>
      <c r="AR7" s="28"/>
      <c r="AS7" s="26"/>
      <c r="AT7" s="26"/>
      <c r="AU7" s="29"/>
      <c r="AV7" s="28"/>
      <c r="AW7" s="26"/>
      <c r="AX7" s="26"/>
      <c r="AY7" s="29"/>
      <c r="AZ7" s="28">
        <v>1</v>
      </c>
      <c r="BA7" s="26"/>
      <c r="BB7" s="26"/>
      <c r="BC7" s="29"/>
      <c r="BD7" s="28">
        <v>1</v>
      </c>
      <c r="BE7" s="26">
        <v>1</v>
      </c>
      <c r="BF7" s="26"/>
      <c r="BG7" s="29"/>
      <c r="BH7" s="28"/>
      <c r="BI7" s="26"/>
      <c r="BJ7" s="26"/>
      <c r="BK7" s="29"/>
      <c r="BL7" s="28"/>
      <c r="BM7" s="26"/>
      <c r="BN7" s="26"/>
      <c r="BO7" s="29"/>
      <c r="BP7" s="28"/>
      <c r="BQ7" s="26"/>
      <c r="BR7" s="26"/>
      <c r="BS7" s="29"/>
      <c r="BT7" s="28"/>
      <c r="BU7" s="26">
        <v>1</v>
      </c>
      <c r="BV7" s="26"/>
      <c r="BW7" s="29"/>
      <c r="BX7" s="28"/>
      <c r="BY7" s="26"/>
      <c r="BZ7" s="26"/>
      <c r="CA7" s="29"/>
      <c r="CB7" s="28"/>
      <c r="CC7" s="26"/>
      <c r="CD7" s="26"/>
      <c r="CE7" s="29"/>
      <c r="CF7" s="28"/>
      <c r="CG7" s="26"/>
      <c r="CH7" s="26"/>
      <c r="CI7" s="29"/>
      <c r="CJ7" s="28"/>
      <c r="CK7" s="26"/>
      <c r="CL7" s="26"/>
      <c r="CM7" s="29"/>
      <c r="CN7" s="28"/>
      <c r="CO7" s="26"/>
      <c r="CP7" s="26"/>
      <c r="CQ7" s="29"/>
      <c r="CR7" s="28"/>
      <c r="CS7" s="26"/>
      <c r="CT7" s="26"/>
      <c r="CU7" s="29"/>
      <c r="CV7" s="28"/>
      <c r="CW7" s="26"/>
      <c r="CX7" s="26"/>
      <c r="CY7" s="29"/>
      <c r="CZ7" s="28"/>
      <c r="DA7" s="26"/>
      <c r="DB7" s="26"/>
      <c r="DC7" s="29"/>
    </row>
    <row r="8" spans="1:107" ht="19.899999999999999" customHeight="1" x14ac:dyDescent="0.25">
      <c r="A8" s="169"/>
      <c r="B8" s="154" t="str">
        <f>Jugadores!P7</f>
        <v>Germán Urango Suárez</v>
      </c>
      <c r="C8" s="155"/>
      <c r="D8" s="24">
        <f t="shared" si="0"/>
        <v>1</v>
      </c>
      <c r="E8" s="24">
        <f t="shared" si="1"/>
        <v>0</v>
      </c>
      <c r="F8" s="115">
        <f t="shared" si="2"/>
        <v>0</v>
      </c>
      <c r="G8" s="115">
        <f t="shared" si="3"/>
        <v>0</v>
      </c>
      <c r="H8" s="28"/>
      <c r="I8" s="26"/>
      <c r="J8" s="26"/>
      <c r="K8" s="29"/>
      <c r="L8" s="28"/>
      <c r="M8" s="26"/>
      <c r="N8" s="26"/>
      <c r="O8" s="29"/>
      <c r="P8" s="28"/>
      <c r="Q8" s="26"/>
      <c r="R8" s="26"/>
      <c r="S8" s="29"/>
      <c r="T8" s="28"/>
      <c r="U8" s="26"/>
      <c r="V8" s="26"/>
      <c r="W8" s="29"/>
      <c r="X8" s="28"/>
      <c r="Y8" s="26"/>
      <c r="Z8" s="26"/>
      <c r="AA8" s="29"/>
      <c r="AB8" s="28"/>
      <c r="AC8" s="26"/>
      <c r="AD8" s="26"/>
      <c r="AE8" s="29"/>
      <c r="AF8" s="28"/>
      <c r="AG8" s="26"/>
      <c r="AH8" s="26"/>
      <c r="AI8" s="29"/>
      <c r="AJ8" s="28"/>
      <c r="AK8" s="26"/>
      <c r="AL8" s="26"/>
      <c r="AM8" s="29"/>
      <c r="AN8" s="28"/>
      <c r="AO8" s="26"/>
      <c r="AP8" s="26"/>
      <c r="AQ8" s="29"/>
      <c r="AR8" s="28"/>
      <c r="AS8" s="26"/>
      <c r="AT8" s="26"/>
      <c r="AU8" s="29"/>
      <c r="AV8" s="28"/>
      <c r="AW8" s="26"/>
      <c r="AX8" s="26"/>
      <c r="AY8" s="29"/>
      <c r="AZ8" s="28">
        <v>1</v>
      </c>
      <c r="BA8" s="26"/>
      <c r="BB8" s="26"/>
      <c r="BC8" s="29"/>
      <c r="BD8" s="28"/>
      <c r="BE8" s="26"/>
      <c r="BF8" s="26"/>
      <c r="BG8" s="29"/>
      <c r="BH8" s="28"/>
      <c r="BI8" s="26"/>
      <c r="BJ8" s="26"/>
      <c r="BK8" s="29"/>
      <c r="BL8" s="28"/>
      <c r="BM8" s="26"/>
      <c r="BN8" s="26"/>
      <c r="BO8" s="29"/>
      <c r="BP8" s="28"/>
      <c r="BQ8" s="26"/>
      <c r="BR8" s="26"/>
      <c r="BS8" s="29"/>
      <c r="BT8" s="28"/>
      <c r="BU8" s="26"/>
      <c r="BV8" s="26"/>
      <c r="BW8" s="29"/>
      <c r="BX8" s="28"/>
      <c r="BY8" s="26"/>
      <c r="BZ8" s="26"/>
      <c r="CA8" s="29"/>
      <c r="CB8" s="28"/>
      <c r="CC8" s="26"/>
      <c r="CD8" s="26"/>
      <c r="CE8" s="29"/>
      <c r="CF8" s="28"/>
      <c r="CG8" s="26"/>
      <c r="CH8" s="26"/>
      <c r="CI8" s="29"/>
      <c r="CJ8" s="28"/>
      <c r="CK8" s="26"/>
      <c r="CL8" s="26"/>
      <c r="CM8" s="29"/>
      <c r="CN8" s="28"/>
      <c r="CO8" s="26"/>
      <c r="CP8" s="26"/>
      <c r="CQ8" s="29"/>
      <c r="CR8" s="28"/>
      <c r="CS8" s="26"/>
      <c r="CT8" s="26"/>
      <c r="CU8" s="29"/>
      <c r="CV8" s="28"/>
      <c r="CW8" s="26"/>
      <c r="CX8" s="26"/>
      <c r="CY8" s="29"/>
      <c r="CZ8" s="28"/>
      <c r="DA8" s="26"/>
      <c r="DB8" s="26"/>
      <c r="DC8" s="29"/>
    </row>
    <row r="9" spans="1:107" ht="19.899999999999999" customHeight="1" x14ac:dyDescent="0.25">
      <c r="A9" s="169"/>
      <c r="B9" s="154" t="str">
        <f>Jugadores!P8</f>
        <v>Manuel Carrascal Espitía</v>
      </c>
      <c r="C9" s="155"/>
      <c r="D9" s="24">
        <f t="shared" si="0"/>
        <v>14</v>
      </c>
      <c r="E9" s="24">
        <f t="shared" si="1"/>
        <v>3</v>
      </c>
      <c r="F9" s="115">
        <f t="shared" si="2"/>
        <v>2</v>
      </c>
      <c r="G9" s="115">
        <f t="shared" si="3"/>
        <v>0</v>
      </c>
      <c r="H9" s="28"/>
      <c r="I9" s="26"/>
      <c r="J9" s="26"/>
      <c r="K9" s="29"/>
      <c r="L9" s="28"/>
      <c r="M9" s="26"/>
      <c r="N9" s="26"/>
      <c r="O9" s="29"/>
      <c r="P9" s="28">
        <v>4</v>
      </c>
      <c r="Q9" s="26"/>
      <c r="R9" s="26"/>
      <c r="S9" s="29"/>
      <c r="T9" s="28"/>
      <c r="U9" s="26"/>
      <c r="V9" s="26"/>
      <c r="W9" s="29"/>
      <c r="X9" s="28">
        <v>1</v>
      </c>
      <c r="Y9" s="26">
        <v>1</v>
      </c>
      <c r="Z9" s="26"/>
      <c r="AA9" s="29"/>
      <c r="AB9" s="28">
        <v>4</v>
      </c>
      <c r="AC9" s="26"/>
      <c r="AD9" s="26"/>
      <c r="AE9" s="29"/>
      <c r="AF9" s="28"/>
      <c r="AG9" s="26"/>
      <c r="AH9" s="26"/>
      <c r="AI9" s="29"/>
      <c r="AJ9" s="28">
        <v>1</v>
      </c>
      <c r="AK9" s="26"/>
      <c r="AL9" s="26"/>
      <c r="AM9" s="29"/>
      <c r="AN9" s="28"/>
      <c r="AO9" s="26"/>
      <c r="AP9" s="26"/>
      <c r="AQ9" s="29"/>
      <c r="AR9" s="28"/>
      <c r="AS9" s="26"/>
      <c r="AT9" s="26"/>
      <c r="AU9" s="29"/>
      <c r="AV9" s="28"/>
      <c r="AW9" s="26"/>
      <c r="AX9" s="26"/>
      <c r="AY9" s="29"/>
      <c r="AZ9" s="28">
        <v>1</v>
      </c>
      <c r="BA9" s="26">
        <v>1</v>
      </c>
      <c r="BB9" s="26"/>
      <c r="BC9" s="29"/>
      <c r="BD9" s="28"/>
      <c r="BE9" s="26"/>
      <c r="BF9" s="26"/>
      <c r="BG9" s="29"/>
      <c r="BH9" s="28"/>
      <c r="BI9" s="26"/>
      <c r="BJ9" s="26"/>
      <c r="BK9" s="29"/>
      <c r="BL9" s="28">
        <v>1</v>
      </c>
      <c r="BM9" s="26">
        <v>1</v>
      </c>
      <c r="BN9" s="26"/>
      <c r="BO9" s="29"/>
      <c r="BP9" s="28"/>
      <c r="BQ9" s="26"/>
      <c r="BR9" s="26"/>
      <c r="BS9" s="29"/>
      <c r="BT9" s="28">
        <v>2</v>
      </c>
      <c r="BU9" s="26"/>
      <c r="BV9" s="26"/>
      <c r="BW9" s="29"/>
      <c r="BX9" s="28"/>
      <c r="BY9" s="26"/>
      <c r="BZ9" s="26"/>
      <c r="CA9" s="29"/>
      <c r="CB9" s="28"/>
      <c r="CC9" s="26"/>
      <c r="CD9" s="26"/>
      <c r="CE9" s="29"/>
      <c r="CF9" s="28"/>
      <c r="CG9" s="26"/>
      <c r="CH9" s="26"/>
      <c r="CI9" s="29"/>
      <c r="CJ9" s="28"/>
      <c r="CK9" s="26"/>
      <c r="CL9" s="26"/>
      <c r="CM9" s="29"/>
      <c r="CN9" s="28"/>
      <c r="CO9" s="26"/>
      <c r="CP9" s="26"/>
      <c r="CQ9" s="29"/>
      <c r="CR9" s="28"/>
      <c r="CS9" s="26"/>
      <c r="CT9" s="26"/>
      <c r="CU9" s="29"/>
      <c r="CV9" s="28"/>
      <c r="CW9" s="26"/>
      <c r="CX9" s="26"/>
      <c r="CY9" s="29"/>
      <c r="CZ9" s="28"/>
      <c r="DA9" s="26"/>
      <c r="DB9" s="26"/>
      <c r="DC9" s="29"/>
    </row>
    <row r="10" spans="1:107" ht="19.899999999999999" customHeight="1" x14ac:dyDescent="0.25">
      <c r="A10" s="169"/>
      <c r="B10" s="154" t="str">
        <f>Jugadores!P9</f>
        <v>Elkín Osorio</v>
      </c>
      <c r="C10" s="155"/>
      <c r="D10" s="24">
        <f t="shared" si="0"/>
        <v>1</v>
      </c>
      <c r="E10" s="24">
        <f t="shared" si="1"/>
        <v>2</v>
      </c>
      <c r="F10" s="115">
        <f t="shared" si="2"/>
        <v>1</v>
      </c>
      <c r="G10" s="115">
        <f t="shared" si="3"/>
        <v>0</v>
      </c>
      <c r="H10" s="28"/>
      <c r="I10" s="26"/>
      <c r="J10" s="26"/>
      <c r="K10" s="29"/>
      <c r="L10" s="28"/>
      <c r="M10" s="26"/>
      <c r="N10" s="26"/>
      <c r="O10" s="29"/>
      <c r="P10" s="28"/>
      <c r="Q10" s="26"/>
      <c r="R10" s="26"/>
      <c r="S10" s="29"/>
      <c r="T10" s="28"/>
      <c r="U10" s="26"/>
      <c r="V10" s="26"/>
      <c r="W10" s="29"/>
      <c r="X10" s="28"/>
      <c r="Y10" s="26">
        <v>1</v>
      </c>
      <c r="Z10" s="26"/>
      <c r="AA10" s="29"/>
      <c r="AB10" s="28"/>
      <c r="AC10" s="26">
        <v>1</v>
      </c>
      <c r="AD10" s="26"/>
      <c r="AE10" s="29"/>
      <c r="AF10" s="28"/>
      <c r="AG10" s="26"/>
      <c r="AH10" s="26"/>
      <c r="AI10" s="29"/>
      <c r="AJ10" s="28"/>
      <c r="AK10" s="26"/>
      <c r="AL10" s="26"/>
      <c r="AM10" s="29"/>
      <c r="AN10" s="28"/>
      <c r="AO10" s="26"/>
      <c r="AP10" s="26"/>
      <c r="AQ10" s="29"/>
      <c r="AR10" s="28"/>
      <c r="AS10" s="26"/>
      <c r="AT10" s="26"/>
      <c r="AU10" s="29"/>
      <c r="AV10" s="28"/>
      <c r="AW10" s="26"/>
      <c r="AX10" s="26"/>
      <c r="AY10" s="29"/>
      <c r="AZ10" s="28"/>
      <c r="BA10" s="26"/>
      <c r="BB10" s="26"/>
      <c r="BC10" s="29"/>
      <c r="BD10" s="28"/>
      <c r="BE10" s="26"/>
      <c r="BF10" s="26"/>
      <c r="BG10" s="29"/>
      <c r="BH10" s="28"/>
      <c r="BI10" s="26"/>
      <c r="BJ10" s="26"/>
      <c r="BK10" s="29"/>
      <c r="BL10" s="28"/>
      <c r="BM10" s="26"/>
      <c r="BN10" s="26"/>
      <c r="BO10" s="29"/>
      <c r="BP10" s="28"/>
      <c r="BQ10" s="26"/>
      <c r="BR10" s="26"/>
      <c r="BS10" s="29"/>
      <c r="BT10" s="28"/>
      <c r="BU10" s="26"/>
      <c r="BV10" s="26"/>
      <c r="BW10" s="29"/>
      <c r="BX10" s="28">
        <v>1</v>
      </c>
      <c r="BY10" s="26"/>
      <c r="BZ10" s="26"/>
      <c r="CA10" s="29"/>
      <c r="CB10" s="28"/>
      <c r="CC10" s="26"/>
      <c r="CD10" s="26"/>
      <c r="CE10" s="29"/>
      <c r="CF10" s="28"/>
      <c r="CG10" s="26"/>
      <c r="CH10" s="26"/>
      <c r="CI10" s="29"/>
      <c r="CJ10" s="28"/>
      <c r="CK10" s="26"/>
      <c r="CL10" s="26"/>
      <c r="CM10" s="29"/>
      <c r="CN10" s="28"/>
      <c r="CO10" s="26"/>
      <c r="CP10" s="26"/>
      <c r="CQ10" s="29"/>
      <c r="CR10" s="28"/>
      <c r="CS10" s="26"/>
      <c r="CT10" s="26"/>
      <c r="CU10" s="29"/>
      <c r="CV10" s="28"/>
      <c r="CW10" s="26"/>
      <c r="CX10" s="26"/>
      <c r="CY10" s="29"/>
      <c r="CZ10" s="28"/>
      <c r="DA10" s="26"/>
      <c r="DB10" s="26"/>
      <c r="DC10" s="29"/>
    </row>
    <row r="11" spans="1:107" ht="19.899999999999999" customHeight="1" x14ac:dyDescent="0.25">
      <c r="A11" s="169"/>
      <c r="B11" s="154" t="str">
        <f>Jugadores!P10</f>
        <v>Lucas Urango Viloria</v>
      </c>
      <c r="C11" s="155"/>
      <c r="D11" s="24">
        <f t="shared" si="0"/>
        <v>0</v>
      </c>
      <c r="E11" s="24">
        <f t="shared" si="1"/>
        <v>1</v>
      </c>
      <c r="F11" s="115">
        <f t="shared" si="2"/>
        <v>0</v>
      </c>
      <c r="G11" s="115">
        <f t="shared" si="3"/>
        <v>0</v>
      </c>
      <c r="H11" s="28"/>
      <c r="I11" s="26"/>
      <c r="J11" s="26"/>
      <c r="K11" s="29"/>
      <c r="L11" s="28"/>
      <c r="M11" s="26"/>
      <c r="N11" s="26"/>
      <c r="O11" s="29"/>
      <c r="P11" s="28"/>
      <c r="Q11" s="26"/>
      <c r="R11" s="26"/>
      <c r="S11" s="29"/>
      <c r="T11" s="28"/>
      <c r="U11" s="26"/>
      <c r="V11" s="26"/>
      <c r="W11" s="29"/>
      <c r="X11" s="28"/>
      <c r="Y11" s="26"/>
      <c r="Z11" s="26"/>
      <c r="AA11" s="29"/>
      <c r="AB11" s="28"/>
      <c r="AC11" s="26"/>
      <c r="AD11" s="26"/>
      <c r="AE11" s="29"/>
      <c r="AF11" s="28"/>
      <c r="AG11" s="26"/>
      <c r="AH11" s="26"/>
      <c r="AI11" s="29"/>
      <c r="AJ11" s="28"/>
      <c r="AK11" s="26"/>
      <c r="AL11" s="26"/>
      <c r="AM11" s="29"/>
      <c r="AN11" s="28"/>
      <c r="AO11" s="26"/>
      <c r="AP11" s="26"/>
      <c r="AQ11" s="29"/>
      <c r="AR11" s="28"/>
      <c r="AS11" s="26"/>
      <c r="AT11" s="26"/>
      <c r="AU11" s="29"/>
      <c r="AV11" s="28"/>
      <c r="AW11" s="26"/>
      <c r="AX11" s="26"/>
      <c r="AY11" s="29"/>
      <c r="AZ11" s="28"/>
      <c r="BA11" s="26"/>
      <c r="BB11" s="26"/>
      <c r="BC11" s="29"/>
      <c r="BD11" s="28"/>
      <c r="BE11" s="26"/>
      <c r="BF11" s="26"/>
      <c r="BG11" s="29"/>
      <c r="BH11" s="28"/>
      <c r="BI11" s="26">
        <v>1</v>
      </c>
      <c r="BJ11" s="26"/>
      <c r="BK11" s="29"/>
      <c r="BL11" s="28"/>
      <c r="BM11" s="26"/>
      <c r="BN11" s="26"/>
      <c r="BO11" s="29"/>
      <c r="BP11" s="28"/>
      <c r="BQ11" s="26"/>
      <c r="BR11" s="26"/>
      <c r="BS11" s="29"/>
      <c r="BT11" s="28"/>
      <c r="BU11" s="26"/>
      <c r="BV11" s="26"/>
      <c r="BW11" s="29"/>
      <c r="BX11" s="28"/>
      <c r="BY11" s="26"/>
      <c r="BZ11" s="26"/>
      <c r="CA11" s="29">
        <v>1</v>
      </c>
      <c r="CB11" s="28"/>
      <c r="CC11" s="26"/>
      <c r="CD11" s="26"/>
      <c r="CE11" s="29"/>
      <c r="CF11" s="28"/>
      <c r="CG11" s="26"/>
      <c r="CH11" s="26"/>
      <c r="CI11" s="29"/>
      <c r="CJ11" s="28"/>
      <c r="CK11" s="26"/>
      <c r="CL11" s="26"/>
      <c r="CM11" s="29"/>
      <c r="CN11" s="28"/>
      <c r="CO11" s="26"/>
      <c r="CP11" s="26"/>
      <c r="CQ11" s="29"/>
      <c r="CR11" s="28"/>
      <c r="CS11" s="26"/>
      <c r="CT11" s="26"/>
      <c r="CU11" s="29"/>
      <c r="CV11" s="28"/>
      <c r="CW11" s="26"/>
      <c r="CX11" s="26"/>
      <c r="CY11" s="29"/>
      <c r="CZ11" s="28"/>
      <c r="DA11" s="26"/>
      <c r="DB11" s="26"/>
      <c r="DC11" s="29"/>
    </row>
    <row r="12" spans="1:107" ht="19.899999999999999" customHeight="1" x14ac:dyDescent="0.25">
      <c r="A12" s="169"/>
      <c r="B12" s="154" t="str">
        <f>Jugadores!P11</f>
        <v>Aldrin Calderín Ruiz</v>
      </c>
      <c r="C12" s="155"/>
      <c r="D12" s="24">
        <f t="shared" si="0"/>
        <v>19</v>
      </c>
      <c r="E12" s="24">
        <f t="shared" si="1"/>
        <v>2</v>
      </c>
      <c r="F12" s="115">
        <f t="shared" si="2"/>
        <v>0</v>
      </c>
      <c r="G12" s="115">
        <f t="shared" si="3"/>
        <v>0</v>
      </c>
      <c r="H12" s="28"/>
      <c r="I12" s="26">
        <v>1</v>
      </c>
      <c r="J12" s="26"/>
      <c r="K12" s="29"/>
      <c r="L12" s="28"/>
      <c r="M12" s="26"/>
      <c r="N12" s="26"/>
      <c r="O12" s="29"/>
      <c r="P12" s="28">
        <v>6</v>
      </c>
      <c r="Q12" s="26"/>
      <c r="R12" s="26"/>
      <c r="S12" s="29"/>
      <c r="T12" s="28"/>
      <c r="U12" s="26"/>
      <c r="V12" s="26"/>
      <c r="W12" s="29"/>
      <c r="X12" s="28"/>
      <c r="Y12" s="26"/>
      <c r="Z12" s="26"/>
      <c r="AA12" s="29"/>
      <c r="AB12" s="28"/>
      <c r="AC12" s="26"/>
      <c r="AD12" s="26"/>
      <c r="AE12" s="29"/>
      <c r="AF12" s="28"/>
      <c r="AG12" s="26"/>
      <c r="AH12" s="26"/>
      <c r="AI12" s="29"/>
      <c r="AJ12" s="28"/>
      <c r="AK12" s="26"/>
      <c r="AL12" s="26"/>
      <c r="AM12" s="29"/>
      <c r="AN12" s="28"/>
      <c r="AO12" s="26"/>
      <c r="AP12" s="26"/>
      <c r="AQ12" s="29"/>
      <c r="AR12" s="28">
        <v>3</v>
      </c>
      <c r="AS12" s="26"/>
      <c r="AT12" s="26"/>
      <c r="AU12" s="29"/>
      <c r="AV12" s="28">
        <v>3</v>
      </c>
      <c r="AW12" s="26">
        <v>1</v>
      </c>
      <c r="AX12" s="26"/>
      <c r="AY12" s="29"/>
      <c r="AZ12" s="28">
        <v>1</v>
      </c>
      <c r="BA12" s="26"/>
      <c r="BB12" s="26"/>
      <c r="BC12" s="29"/>
      <c r="BD12" s="28">
        <v>2</v>
      </c>
      <c r="BE12" s="26"/>
      <c r="BF12" s="26"/>
      <c r="BG12" s="29"/>
      <c r="BH12" s="28">
        <v>3</v>
      </c>
      <c r="BI12" s="26"/>
      <c r="BJ12" s="26"/>
      <c r="BK12" s="29"/>
      <c r="BL12" s="28">
        <v>1</v>
      </c>
      <c r="BM12" s="26"/>
      <c r="BN12" s="26"/>
      <c r="BO12" s="29"/>
      <c r="BP12" s="28"/>
      <c r="BQ12" s="26"/>
      <c r="BR12" s="26"/>
      <c r="BS12" s="29"/>
      <c r="BT12" s="28"/>
      <c r="BU12" s="26"/>
      <c r="BV12" s="26"/>
      <c r="BW12" s="29"/>
      <c r="BX12" s="28"/>
      <c r="BY12" s="26"/>
      <c r="BZ12" s="26"/>
      <c r="CA12" s="29"/>
      <c r="CB12" s="28"/>
      <c r="CC12" s="26"/>
      <c r="CD12" s="26"/>
      <c r="CE12" s="29"/>
      <c r="CF12" s="28"/>
      <c r="CG12" s="26"/>
      <c r="CH12" s="26"/>
      <c r="CI12" s="29"/>
      <c r="CJ12" s="28"/>
      <c r="CK12" s="26"/>
      <c r="CL12" s="26"/>
      <c r="CM12" s="29"/>
      <c r="CN12" s="28"/>
      <c r="CO12" s="26"/>
      <c r="CP12" s="26"/>
      <c r="CQ12" s="29"/>
      <c r="CR12" s="28"/>
      <c r="CS12" s="26"/>
      <c r="CT12" s="26"/>
      <c r="CU12" s="29"/>
      <c r="CV12" s="28"/>
      <c r="CW12" s="26"/>
      <c r="CX12" s="26"/>
      <c r="CY12" s="29"/>
      <c r="CZ12" s="28"/>
      <c r="DA12" s="26"/>
      <c r="DB12" s="26"/>
      <c r="DC12" s="29"/>
    </row>
    <row r="13" spans="1:107" ht="19.899999999999999" customHeight="1" x14ac:dyDescent="0.25">
      <c r="A13" s="169"/>
      <c r="B13" s="154" t="str">
        <f>Jugadores!P12</f>
        <v>Antonio Urango Suárez</v>
      </c>
      <c r="C13" s="155"/>
      <c r="D13" s="24">
        <f t="shared" si="0"/>
        <v>1</v>
      </c>
      <c r="E13" s="24">
        <f t="shared" si="1"/>
        <v>0</v>
      </c>
      <c r="F13" s="115">
        <f t="shared" si="2"/>
        <v>1</v>
      </c>
      <c r="G13" s="115">
        <f t="shared" si="3"/>
        <v>0</v>
      </c>
      <c r="H13" s="28"/>
      <c r="I13" s="26"/>
      <c r="J13" s="26"/>
      <c r="K13" s="29"/>
      <c r="L13" s="28"/>
      <c r="M13" s="26"/>
      <c r="N13" s="26"/>
      <c r="O13" s="29"/>
      <c r="P13" s="28"/>
      <c r="Q13" s="26"/>
      <c r="R13" s="26"/>
      <c r="S13" s="29"/>
      <c r="T13" s="28"/>
      <c r="U13" s="26"/>
      <c r="V13" s="26"/>
      <c r="W13" s="29"/>
      <c r="X13" s="28"/>
      <c r="Y13" s="26"/>
      <c r="Z13" s="26"/>
      <c r="AA13" s="29"/>
      <c r="AB13" s="28"/>
      <c r="AC13" s="26"/>
      <c r="AD13" s="26"/>
      <c r="AE13" s="29"/>
      <c r="AF13" s="28"/>
      <c r="AG13" s="26"/>
      <c r="AH13" s="26"/>
      <c r="AI13" s="29"/>
      <c r="AJ13" s="28"/>
      <c r="AK13" s="26"/>
      <c r="AL13" s="26"/>
      <c r="AM13" s="29"/>
      <c r="AN13" s="28"/>
      <c r="AO13" s="26"/>
      <c r="AP13" s="26"/>
      <c r="AQ13" s="29"/>
      <c r="AR13" s="28"/>
      <c r="AS13" s="26"/>
      <c r="AT13" s="26"/>
      <c r="AU13" s="29"/>
      <c r="AV13" s="28"/>
      <c r="AW13" s="26"/>
      <c r="AX13" s="26"/>
      <c r="AY13" s="29"/>
      <c r="AZ13" s="28"/>
      <c r="BA13" s="26"/>
      <c r="BB13" s="26"/>
      <c r="BC13" s="29"/>
      <c r="BD13" s="28"/>
      <c r="BE13" s="26"/>
      <c r="BF13" s="26"/>
      <c r="BG13" s="29"/>
      <c r="BH13" s="28"/>
      <c r="BI13" s="26"/>
      <c r="BJ13" s="26"/>
      <c r="BK13" s="29"/>
      <c r="BL13" s="28"/>
      <c r="BM13" s="26"/>
      <c r="BN13" s="26"/>
      <c r="BO13" s="29"/>
      <c r="BP13" s="28"/>
      <c r="BQ13" s="26"/>
      <c r="BR13" s="26"/>
      <c r="BS13" s="29"/>
      <c r="BT13" s="28"/>
      <c r="BU13" s="26"/>
      <c r="BV13" s="26"/>
      <c r="BW13" s="29"/>
      <c r="BX13" s="28">
        <v>1</v>
      </c>
      <c r="BY13" s="26"/>
      <c r="BZ13" s="26"/>
      <c r="CA13" s="29"/>
      <c r="CB13" s="28"/>
      <c r="CC13" s="26"/>
      <c r="CD13" s="26"/>
      <c r="CE13" s="29"/>
      <c r="CF13" s="28"/>
      <c r="CG13" s="26"/>
      <c r="CH13" s="26"/>
      <c r="CI13" s="29"/>
      <c r="CJ13" s="28"/>
      <c r="CK13" s="26"/>
      <c r="CL13" s="26"/>
      <c r="CM13" s="29"/>
      <c r="CN13" s="28"/>
      <c r="CO13" s="26"/>
      <c r="CP13" s="26"/>
      <c r="CQ13" s="29"/>
      <c r="CR13" s="28"/>
      <c r="CS13" s="26"/>
      <c r="CT13" s="26"/>
      <c r="CU13" s="29"/>
      <c r="CV13" s="28"/>
      <c r="CW13" s="26"/>
      <c r="CX13" s="26"/>
      <c r="CY13" s="29"/>
      <c r="CZ13" s="28"/>
      <c r="DA13" s="26"/>
      <c r="DB13" s="26"/>
      <c r="DC13" s="29"/>
    </row>
    <row r="14" spans="1:107" ht="19.899999999999999" customHeight="1" x14ac:dyDescent="0.25">
      <c r="A14" s="169"/>
      <c r="B14" s="154" t="str">
        <f>Jugadores!P13</f>
        <v>Jesús de Hoyos</v>
      </c>
      <c r="C14" s="155"/>
      <c r="D14" s="24">
        <f t="shared" si="0"/>
        <v>1</v>
      </c>
      <c r="E14" s="24">
        <f t="shared" si="1"/>
        <v>0</v>
      </c>
      <c r="F14" s="115">
        <f t="shared" si="2"/>
        <v>0</v>
      </c>
      <c r="G14" s="115">
        <f t="shared" si="3"/>
        <v>0</v>
      </c>
      <c r="H14" s="28">
        <v>1</v>
      </c>
      <c r="I14" s="26"/>
      <c r="J14" s="26"/>
      <c r="K14" s="29"/>
      <c r="L14" s="28"/>
      <c r="M14" s="26"/>
      <c r="N14" s="26"/>
      <c r="O14" s="29"/>
      <c r="P14" s="28"/>
      <c r="Q14" s="26"/>
      <c r="R14" s="26"/>
      <c r="S14" s="29"/>
      <c r="T14" s="28"/>
      <c r="U14" s="26"/>
      <c r="V14" s="26"/>
      <c r="W14" s="29"/>
      <c r="X14" s="28"/>
      <c r="Y14" s="26"/>
      <c r="Z14" s="26"/>
      <c r="AA14" s="29"/>
      <c r="AB14" s="28"/>
      <c r="AC14" s="26"/>
      <c r="AD14" s="26"/>
      <c r="AE14" s="29"/>
      <c r="AF14" s="28"/>
      <c r="AG14" s="26"/>
      <c r="AH14" s="26"/>
      <c r="AI14" s="29"/>
      <c r="AJ14" s="28"/>
      <c r="AK14" s="26"/>
      <c r="AL14" s="26"/>
      <c r="AM14" s="29"/>
      <c r="AN14" s="28"/>
      <c r="AO14" s="26"/>
      <c r="AP14" s="26"/>
      <c r="AQ14" s="29"/>
      <c r="AR14" s="28"/>
      <c r="AS14" s="26"/>
      <c r="AT14" s="26"/>
      <c r="AU14" s="29"/>
      <c r="AV14" s="28"/>
      <c r="AW14" s="26"/>
      <c r="AX14" s="26"/>
      <c r="AY14" s="29"/>
      <c r="AZ14" s="28"/>
      <c r="BA14" s="26"/>
      <c r="BB14" s="26"/>
      <c r="BC14" s="29"/>
      <c r="BD14" s="28"/>
      <c r="BE14" s="26"/>
      <c r="BF14" s="26"/>
      <c r="BG14" s="29"/>
      <c r="BH14" s="28"/>
      <c r="BI14" s="26"/>
      <c r="BJ14" s="26"/>
      <c r="BK14" s="29"/>
      <c r="BL14" s="28"/>
      <c r="BM14" s="26"/>
      <c r="BN14" s="26"/>
      <c r="BO14" s="29"/>
      <c r="BP14" s="28"/>
      <c r="BQ14" s="26"/>
      <c r="BR14" s="26"/>
      <c r="BS14" s="29"/>
      <c r="BT14" s="28"/>
      <c r="BU14" s="26"/>
      <c r="BV14" s="26"/>
      <c r="BW14" s="29"/>
      <c r="BX14" s="28"/>
      <c r="BY14" s="26"/>
      <c r="BZ14" s="26"/>
      <c r="CA14" s="29"/>
      <c r="CB14" s="28"/>
      <c r="CC14" s="26"/>
      <c r="CD14" s="26"/>
      <c r="CE14" s="29"/>
      <c r="CF14" s="28"/>
      <c r="CG14" s="26"/>
      <c r="CH14" s="26"/>
      <c r="CI14" s="29"/>
      <c r="CJ14" s="28"/>
      <c r="CK14" s="26"/>
      <c r="CL14" s="26"/>
      <c r="CM14" s="29"/>
      <c r="CN14" s="28"/>
      <c r="CO14" s="26"/>
      <c r="CP14" s="26"/>
      <c r="CQ14" s="29"/>
      <c r="CR14" s="28"/>
      <c r="CS14" s="26"/>
      <c r="CT14" s="26"/>
      <c r="CU14" s="29"/>
      <c r="CV14" s="28"/>
      <c r="CW14" s="26"/>
      <c r="CX14" s="26"/>
      <c r="CY14" s="29"/>
      <c r="CZ14" s="28"/>
      <c r="DA14" s="26"/>
      <c r="DB14" s="26"/>
      <c r="DC14" s="29"/>
    </row>
    <row r="15" spans="1:107" ht="19.899999999999999" customHeight="1" x14ac:dyDescent="0.25">
      <c r="A15" s="169"/>
      <c r="B15" s="154" t="str">
        <f>Jugadores!P14</f>
        <v xml:space="preserve">Jhonys Chávez </v>
      </c>
      <c r="C15" s="155"/>
      <c r="D15" s="24">
        <f t="shared" si="0"/>
        <v>1</v>
      </c>
      <c r="E15" s="24">
        <f t="shared" si="1"/>
        <v>1</v>
      </c>
      <c r="F15" s="115">
        <f t="shared" si="2"/>
        <v>0</v>
      </c>
      <c r="G15" s="115">
        <f t="shared" si="3"/>
        <v>0</v>
      </c>
      <c r="H15" s="28"/>
      <c r="I15" s="26"/>
      <c r="J15" s="26"/>
      <c r="K15" s="29"/>
      <c r="L15" s="28"/>
      <c r="M15" s="26"/>
      <c r="N15" s="26"/>
      <c r="O15" s="29"/>
      <c r="P15" s="28"/>
      <c r="Q15" s="26"/>
      <c r="R15" s="26"/>
      <c r="S15" s="29"/>
      <c r="T15" s="28"/>
      <c r="U15" s="26"/>
      <c r="V15" s="26"/>
      <c r="W15" s="29"/>
      <c r="X15" s="28"/>
      <c r="Y15" s="26"/>
      <c r="Z15" s="26"/>
      <c r="AA15" s="29"/>
      <c r="AB15" s="28"/>
      <c r="AC15" s="26"/>
      <c r="AD15" s="26"/>
      <c r="AE15" s="29"/>
      <c r="AF15" s="28"/>
      <c r="AG15" s="26"/>
      <c r="AH15" s="26"/>
      <c r="AI15" s="29"/>
      <c r="AJ15" s="28"/>
      <c r="AK15" s="26"/>
      <c r="AL15" s="26"/>
      <c r="AM15" s="29"/>
      <c r="AN15" s="28"/>
      <c r="AO15" s="26"/>
      <c r="AP15" s="26"/>
      <c r="AQ15" s="29"/>
      <c r="AR15" s="28"/>
      <c r="AS15" s="26"/>
      <c r="AT15" s="26"/>
      <c r="AU15" s="29"/>
      <c r="AV15" s="28"/>
      <c r="AW15" s="26"/>
      <c r="AX15" s="26"/>
      <c r="AY15" s="29"/>
      <c r="AZ15" s="28"/>
      <c r="BA15" s="26"/>
      <c r="BB15" s="26"/>
      <c r="BC15" s="29"/>
      <c r="BD15" s="28"/>
      <c r="BE15" s="26"/>
      <c r="BF15" s="26"/>
      <c r="BG15" s="29"/>
      <c r="BH15" s="28">
        <v>1</v>
      </c>
      <c r="BI15" s="26">
        <v>1</v>
      </c>
      <c r="BJ15" s="26"/>
      <c r="BK15" s="29"/>
      <c r="BL15" s="28"/>
      <c r="BM15" s="26"/>
      <c r="BN15" s="26"/>
      <c r="BO15" s="29"/>
      <c r="BP15" s="28"/>
      <c r="BQ15" s="26"/>
      <c r="BR15" s="26"/>
      <c r="BS15" s="29"/>
      <c r="BT15" s="28"/>
      <c r="BU15" s="26"/>
      <c r="BV15" s="26"/>
      <c r="BW15" s="29"/>
      <c r="BX15" s="28"/>
      <c r="BY15" s="26"/>
      <c r="BZ15" s="26"/>
      <c r="CA15" s="29"/>
      <c r="CB15" s="28"/>
      <c r="CC15" s="26"/>
      <c r="CD15" s="26"/>
      <c r="CE15" s="29"/>
      <c r="CF15" s="28"/>
      <c r="CG15" s="26"/>
      <c r="CH15" s="26"/>
      <c r="CI15" s="29"/>
      <c r="CJ15" s="28"/>
      <c r="CK15" s="26"/>
      <c r="CL15" s="26"/>
      <c r="CM15" s="29"/>
      <c r="CN15" s="28"/>
      <c r="CO15" s="26"/>
      <c r="CP15" s="26"/>
      <c r="CQ15" s="29"/>
      <c r="CR15" s="28"/>
      <c r="CS15" s="26"/>
      <c r="CT15" s="26"/>
      <c r="CU15" s="29"/>
      <c r="CV15" s="28"/>
      <c r="CW15" s="26"/>
      <c r="CX15" s="26"/>
      <c r="CY15" s="29"/>
      <c r="CZ15" s="28"/>
      <c r="DA15" s="26"/>
      <c r="DB15" s="26"/>
      <c r="DC15" s="29"/>
    </row>
    <row r="16" spans="1:107" ht="19.899999999999999" customHeight="1" x14ac:dyDescent="0.25">
      <c r="A16" s="169"/>
      <c r="B16" s="154" t="str">
        <f>Jugadores!P15</f>
        <v>Francico Montoya</v>
      </c>
      <c r="C16" s="155"/>
      <c r="D16" s="24">
        <f t="shared" si="0"/>
        <v>1</v>
      </c>
      <c r="E16" s="24">
        <f t="shared" si="1"/>
        <v>0</v>
      </c>
      <c r="F16" s="115">
        <f t="shared" si="2"/>
        <v>0</v>
      </c>
      <c r="G16" s="115">
        <f t="shared" si="3"/>
        <v>0</v>
      </c>
      <c r="H16" s="28"/>
      <c r="I16" s="26"/>
      <c r="J16" s="26"/>
      <c r="K16" s="29"/>
      <c r="L16" s="28"/>
      <c r="M16" s="26"/>
      <c r="N16" s="26"/>
      <c r="O16" s="29"/>
      <c r="P16" s="28"/>
      <c r="Q16" s="26"/>
      <c r="R16" s="26"/>
      <c r="S16" s="29"/>
      <c r="T16" s="28"/>
      <c r="U16" s="26"/>
      <c r="V16" s="26"/>
      <c r="W16" s="29"/>
      <c r="X16" s="28"/>
      <c r="Y16" s="26"/>
      <c r="Z16" s="26"/>
      <c r="AA16" s="29"/>
      <c r="AB16" s="28"/>
      <c r="AC16" s="26"/>
      <c r="AD16" s="26"/>
      <c r="AE16" s="29"/>
      <c r="AF16" s="28"/>
      <c r="AG16" s="26"/>
      <c r="AH16" s="26"/>
      <c r="AI16" s="29"/>
      <c r="AJ16" s="28">
        <v>1</v>
      </c>
      <c r="AK16" s="26"/>
      <c r="AL16" s="26"/>
      <c r="AM16" s="29"/>
      <c r="AN16" s="28"/>
      <c r="AO16" s="26"/>
      <c r="AP16" s="26"/>
      <c r="AQ16" s="29"/>
      <c r="AR16" s="28"/>
      <c r="AS16" s="26"/>
      <c r="AT16" s="26"/>
      <c r="AU16" s="29"/>
      <c r="AV16" s="28"/>
      <c r="AW16" s="26"/>
      <c r="AX16" s="26"/>
      <c r="AY16" s="29"/>
      <c r="AZ16" s="28"/>
      <c r="BA16" s="26"/>
      <c r="BB16" s="26"/>
      <c r="BC16" s="29"/>
      <c r="BD16" s="28"/>
      <c r="BE16" s="26"/>
      <c r="BF16" s="26"/>
      <c r="BG16" s="29"/>
      <c r="BH16" s="28"/>
      <c r="BI16" s="26"/>
      <c r="BJ16" s="26"/>
      <c r="BK16" s="29"/>
      <c r="BL16" s="28"/>
      <c r="BM16" s="26"/>
      <c r="BN16" s="26"/>
      <c r="BO16" s="29"/>
      <c r="BP16" s="28"/>
      <c r="BQ16" s="26"/>
      <c r="BR16" s="26"/>
      <c r="BS16" s="29"/>
      <c r="BT16" s="28"/>
      <c r="BU16" s="26"/>
      <c r="BV16" s="26"/>
      <c r="BW16" s="29"/>
      <c r="BX16" s="28"/>
      <c r="BY16" s="26"/>
      <c r="BZ16" s="26"/>
      <c r="CA16" s="29"/>
      <c r="CB16" s="28"/>
      <c r="CC16" s="26"/>
      <c r="CD16" s="26"/>
      <c r="CE16" s="29"/>
      <c r="CF16" s="28"/>
      <c r="CG16" s="26"/>
      <c r="CH16" s="26"/>
      <c r="CI16" s="29"/>
      <c r="CJ16" s="28"/>
      <c r="CK16" s="26"/>
      <c r="CL16" s="26"/>
      <c r="CM16" s="29"/>
      <c r="CN16" s="28"/>
      <c r="CO16" s="26"/>
      <c r="CP16" s="26"/>
      <c r="CQ16" s="29"/>
      <c r="CR16" s="28"/>
      <c r="CS16" s="26"/>
      <c r="CT16" s="26"/>
      <c r="CU16" s="29"/>
      <c r="CV16" s="28"/>
      <c r="CW16" s="26"/>
      <c r="CX16" s="26"/>
      <c r="CY16" s="29"/>
      <c r="CZ16" s="28"/>
      <c r="DA16" s="26"/>
      <c r="DB16" s="26"/>
      <c r="DC16" s="29"/>
    </row>
    <row r="17" spans="1:107" ht="19.899999999999999" customHeight="1" x14ac:dyDescent="0.25">
      <c r="A17" s="169"/>
      <c r="B17" s="154" t="str">
        <f>Jugadores!P16</f>
        <v>Jhoser Pastrana</v>
      </c>
      <c r="C17" s="155"/>
      <c r="D17" s="24">
        <f t="shared" si="0"/>
        <v>1</v>
      </c>
      <c r="E17" s="24">
        <f t="shared" si="1"/>
        <v>1</v>
      </c>
      <c r="F17" s="115">
        <f t="shared" si="2"/>
        <v>0</v>
      </c>
      <c r="G17" s="115">
        <f t="shared" si="3"/>
        <v>0</v>
      </c>
      <c r="H17" s="28">
        <v>1</v>
      </c>
      <c r="I17" s="26"/>
      <c r="J17" s="26"/>
      <c r="K17" s="29"/>
      <c r="L17" s="28"/>
      <c r="M17" s="26"/>
      <c r="N17" s="26"/>
      <c r="O17" s="29"/>
      <c r="P17" s="28"/>
      <c r="Q17" s="26"/>
      <c r="R17" s="26"/>
      <c r="S17" s="29"/>
      <c r="T17" s="28"/>
      <c r="U17" s="26"/>
      <c r="V17" s="26"/>
      <c r="W17" s="29"/>
      <c r="X17" s="28"/>
      <c r="Y17" s="26"/>
      <c r="Z17" s="26"/>
      <c r="AA17" s="29"/>
      <c r="AB17" s="28"/>
      <c r="AC17" s="26"/>
      <c r="AD17" s="26"/>
      <c r="AE17" s="29"/>
      <c r="AF17" s="28"/>
      <c r="AG17" s="26"/>
      <c r="AH17" s="26"/>
      <c r="AI17" s="29"/>
      <c r="AJ17" s="28"/>
      <c r="AK17" s="26"/>
      <c r="AL17" s="26"/>
      <c r="AM17" s="29"/>
      <c r="AN17" s="28"/>
      <c r="AO17" s="26"/>
      <c r="AP17" s="26"/>
      <c r="AQ17" s="29"/>
      <c r="AR17" s="28"/>
      <c r="AS17" s="26"/>
      <c r="AT17" s="26"/>
      <c r="AU17" s="29"/>
      <c r="AV17" s="28"/>
      <c r="AW17" s="26"/>
      <c r="AX17" s="26"/>
      <c r="AY17" s="29"/>
      <c r="AZ17" s="28"/>
      <c r="BA17" s="26"/>
      <c r="BB17" s="26"/>
      <c r="BC17" s="29"/>
      <c r="BD17" s="28"/>
      <c r="BE17" s="26"/>
      <c r="BF17" s="26"/>
      <c r="BG17" s="29"/>
      <c r="BH17" s="28"/>
      <c r="BI17" s="26">
        <v>1</v>
      </c>
      <c r="BJ17" s="26"/>
      <c r="BK17" s="29"/>
      <c r="BL17" s="28"/>
      <c r="BM17" s="26"/>
      <c r="BN17" s="26"/>
      <c r="BO17" s="29"/>
      <c r="BP17" s="28"/>
      <c r="BQ17" s="26"/>
      <c r="BR17" s="26"/>
      <c r="BS17" s="29"/>
      <c r="BT17" s="28"/>
      <c r="BU17" s="26"/>
      <c r="BV17" s="26"/>
      <c r="BW17" s="29"/>
      <c r="BX17" s="28"/>
      <c r="BY17" s="26"/>
      <c r="BZ17" s="26"/>
      <c r="CA17" s="29"/>
      <c r="CB17" s="28"/>
      <c r="CC17" s="26"/>
      <c r="CD17" s="26"/>
      <c r="CE17" s="29"/>
      <c r="CF17" s="28"/>
      <c r="CG17" s="26"/>
      <c r="CH17" s="26"/>
      <c r="CI17" s="29"/>
      <c r="CJ17" s="28"/>
      <c r="CK17" s="26"/>
      <c r="CL17" s="26"/>
      <c r="CM17" s="29"/>
      <c r="CN17" s="28"/>
      <c r="CO17" s="26"/>
      <c r="CP17" s="26"/>
      <c r="CQ17" s="29"/>
      <c r="CR17" s="28"/>
      <c r="CS17" s="26"/>
      <c r="CT17" s="26"/>
      <c r="CU17" s="29"/>
      <c r="CV17" s="28"/>
      <c r="CW17" s="26"/>
      <c r="CX17" s="26"/>
      <c r="CY17" s="29"/>
      <c r="CZ17" s="28"/>
      <c r="DA17" s="26"/>
      <c r="DB17" s="26"/>
      <c r="DC17" s="29"/>
    </row>
    <row r="18" spans="1:107" ht="19.899999999999999" customHeight="1" x14ac:dyDescent="0.25">
      <c r="A18" s="170"/>
      <c r="B18" s="154" t="str">
        <f>Jugadores!P17</f>
        <v>Michael Guerrero</v>
      </c>
      <c r="C18" s="155"/>
      <c r="D18" s="24">
        <f t="shared" si="0"/>
        <v>2</v>
      </c>
      <c r="E18" s="24">
        <f t="shared" si="1"/>
        <v>1</v>
      </c>
      <c r="F18" s="115">
        <f t="shared" si="2"/>
        <v>0</v>
      </c>
      <c r="G18" s="115">
        <f t="shared" si="3"/>
        <v>0</v>
      </c>
      <c r="H18" s="28"/>
      <c r="I18" s="26"/>
      <c r="J18" s="26"/>
      <c r="K18" s="29"/>
      <c r="L18" s="28"/>
      <c r="M18" s="26"/>
      <c r="N18" s="26"/>
      <c r="O18" s="29"/>
      <c r="P18" s="28">
        <v>1</v>
      </c>
      <c r="Q18" s="26">
        <v>1</v>
      </c>
      <c r="R18" s="26"/>
      <c r="S18" s="29"/>
      <c r="T18" s="28"/>
      <c r="U18" s="26"/>
      <c r="V18" s="26"/>
      <c r="W18" s="29"/>
      <c r="X18" s="28"/>
      <c r="Y18" s="26"/>
      <c r="Z18" s="26"/>
      <c r="AA18" s="29"/>
      <c r="AB18" s="28"/>
      <c r="AC18" s="26"/>
      <c r="AD18" s="26"/>
      <c r="AE18" s="29"/>
      <c r="AF18" s="28"/>
      <c r="AG18" s="26"/>
      <c r="AH18" s="26"/>
      <c r="AI18" s="29"/>
      <c r="AJ18" s="28"/>
      <c r="AK18" s="26"/>
      <c r="AL18" s="26"/>
      <c r="AM18" s="29"/>
      <c r="AN18" s="28"/>
      <c r="AO18" s="26"/>
      <c r="AP18" s="26"/>
      <c r="AQ18" s="29"/>
      <c r="AR18" s="28"/>
      <c r="AS18" s="26"/>
      <c r="AT18" s="26"/>
      <c r="AU18" s="29"/>
      <c r="AV18" s="28"/>
      <c r="AW18" s="26"/>
      <c r="AX18" s="26"/>
      <c r="AY18" s="29"/>
      <c r="AZ18" s="28">
        <v>1</v>
      </c>
      <c r="BA18" s="26"/>
      <c r="BB18" s="26"/>
      <c r="BC18" s="29"/>
      <c r="BD18" s="28"/>
      <c r="BE18" s="26"/>
      <c r="BF18" s="26"/>
      <c r="BG18" s="29"/>
      <c r="BH18" s="28"/>
      <c r="BI18" s="26"/>
      <c r="BJ18" s="26"/>
      <c r="BK18" s="29"/>
      <c r="BL18" s="28"/>
      <c r="BM18" s="26"/>
      <c r="BN18" s="26"/>
      <c r="BO18" s="29"/>
      <c r="BP18" s="28"/>
      <c r="BQ18" s="26"/>
      <c r="BR18" s="26"/>
      <c r="BS18" s="29"/>
      <c r="BT18" s="28"/>
      <c r="BU18" s="26"/>
      <c r="BV18" s="26"/>
      <c r="BW18" s="29"/>
      <c r="BX18" s="28"/>
      <c r="BY18" s="26"/>
      <c r="BZ18" s="26"/>
      <c r="CA18" s="29"/>
      <c r="CB18" s="28"/>
      <c r="CC18" s="26"/>
      <c r="CD18" s="26"/>
      <c r="CE18" s="29"/>
      <c r="CF18" s="28"/>
      <c r="CG18" s="26"/>
      <c r="CH18" s="26"/>
      <c r="CI18" s="29"/>
      <c r="CJ18" s="28"/>
      <c r="CK18" s="26"/>
      <c r="CL18" s="26"/>
      <c r="CM18" s="29"/>
      <c r="CN18" s="28"/>
      <c r="CO18" s="26"/>
      <c r="CP18" s="26"/>
      <c r="CQ18" s="29"/>
      <c r="CR18" s="28"/>
      <c r="CS18" s="26"/>
      <c r="CT18" s="26"/>
      <c r="CU18" s="29"/>
      <c r="CV18" s="28"/>
      <c r="CW18" s="26"/>
      <c r="CX18" s="26"/>
      <c r="CY18" s="29"/>
      <c r="CZ18" s="28"/>
      <c r="DA18" s="26"/>
      <c r="DB18" s="26"/>
      <c r="DC18" s="29"/>
    </row>
    <row r="19" spans="1:107" ht="14.45" customHeight="1" x14ac:dyDescent="0.25">
      <c r="B19" s="158" t="s">
        <v>105</v>
      </c>
      <c r="C19" s="159"/>
      <c r="D19" s="160"/>
      <c r="E19" s="160"/>
      <c r="F19" s="160"/>
      <c r="G19" s="160"/>
      <c r="H19" s="28"/>
      <c r="I19" s="26"/>
      <c r="J19" s="26"/>
      <c r="K19" s="29"/>
      <c r="L19" s="28"/>
      <c r="M19" s="26"/>
      <c r="N19" s="26"/>
      <c r="O19" s="29"/>
      <c r="P19" s="28"/>
      <c r="Q19" s="26"/>
      <c r="R19" s="26"/>
      <c r="S19" s="29"/>
      <c r="T19" s="28"/>
      <c r="U19" s="26"/>
      <c r="V19" s="26"/>
      <c r="W19" s="29"/>
      <c r="X19" s="28"/>
      <c r="Y19" s="26"/>
      <c r="Z19" s="26"/>
      <c r="AA19" s="29"/>
      <c r="AB19" s="28"/>
      <c r="AC19" s="26"/>
      <c r="AD19" s="26"/>
      <c r="AE19" s="29"/>
      <c r="AF19" s="28"/>
      <c r="AG19" s="26"/>
      <c r="AH19" s="26"/>
      <c r="AI19" s="29"/>
      <c r="AJ19" s="28"/>
      <c r="AK19" s="26"/>
      <c r="AL19" s="26"/>
      <c r="AM19" s="29"/>
      <c r="AN19" s="28"/>
      <c r="AO19" s="26"/>
      <c r="AP19" s="26"/>
      <c r="AQ19" s="29"/>
      <c r="AR19" s="28">
        <v>2</v>
      </c>
      <c r="AS19" s="26"/>
      <c r="AT19" s="26"/>
      <c r="AU19" s="29"/>
      <c r="AV19" s="28"/>
      <c r="AW19" s="26"/>
      <c r="AX19" s="26"/>
      <c r="AY19" s="29"/>
      <c r="AZ19" s="28"/>
      <c r="BA19" s="26"/>
      <c r="BB19" s="26"/>
      <c r="BC19" s="29"/>
      <c r="BD19" s="28"/>
      <c r="BE19" s="26"/>
      <c r="BF19" s="26"/>
      <c r="BG19" s="29"/>
      <c r="BH19" s="28"/>
      <c r="BI19" s="26"/>
      <c r="BJ19" s="26"/>
      <c r="BK19" s="29"/>
      <c r="BL19" s="28"/>
      <c r="BM19" s="26"/>
      <c r="BN19" s="26"/>
      <c r="BO19" s="29"/>
      <c r="BP19" s="28"/>
      <c r="BQ19" s="26"/>
      <c r="BR19" s="26"/>
      <c r="BS19" s="29"/>
      <c r="BT19" s="28"/>
      <c r="BU19" s="26"/>
      <c r="BV19" s="26"/>
      <c r="BW19" s="29"/>
      <c r="BX19" s="28"/>
      <c r="BY19" s="26"/>
      <c r="BZ19" s="26"/>
      <c r="CA19" s="29"/>
      <c r="CB19" s="28"/>
      <c r="CC19" s="26"/>
      <c r="CD19" s="26"/>
      <c r="CE19" s="29"/>
      <c r="CF19" s="28"/>
      <c r="CG19" s="26"/>
      <c r="CH19" s="26"/>
      <c r="CI19" s="29"/>
      <c r="CJ19" s="28"/>
      <c r="CK19" s="26"/>
      <c r="CL19" s="26"/>
      <c r="CM19" s="29"/>
      <c r="CN19" s="28"/>
      <c r="CO19" s="26"/>
      <c r="CP19" s="26"/>
      <c r="CQ19" s="29"/>
      <c r="CR19" s="28"/>
      <c r="CS19" s="26"/>
      <c r="CT19" s="26"/>
      <c r="CU19" s="29"/>
      <c r="CV19" s="28"/>
      <c r="CW19" s="26"/>
      <c r="CX19" s="26"/>
      <c r="CY19" s="29"/>
      <c r="CZ19" s="28"/>
      <c r="DA19" s="26"/>
      <c r="DB19" s="26"/>
      <c r="DC19" s="29"/>
    </row>
    <row r="20" spans="1:107" x14ac:dyDescent="0.25">
      <c r="B20" s="158" t="s">
        <v>104</v>
      </c>
      <c r="C20" s="159"/>
      <c r="D20" s="159"/>
      <c r="E20" s="159"/>
      <c r="F20" s="159"/>
      <c r="G20" s="159"/>
      <c r="H20" s="28"/>
      <c r="I20" s="26"/>
      <c r="J20" s="26"/>
      <c r="K20" s="29"/>
      <c r="L20" s="28"/>
      <c r="M20" s="26"/>
      <c r="N20" s="26"/>
      <c r="O20" s="29"/>
      <c r="P20" s="28"/>
      <c r="Q20" s="26"/>
      <c r="R20" s="26"/>
      <c r="S20" s="29"/>
      <c r="T20" s="28"/>
      <c r="U20" s="26"/>
      <c r="V20" s="26"/>
      <c r="W20" s="29"/>
      <c r="X20" s="28"/>
      <c r="Y20" s="26"/>
      <c r="Z20" s="26"/>
      <c r="AA20" s="29"/>
      <c r="AB20" s="28"/>
      <c r="AC20" s="26"/>
      <c r="AD20" s="26"/>
      <c r="AE20" s="29"/>
      <c r="AF20" s="28"/>
      <c r="AG20" s="26"/>
      <c r="AH20" s="26"/>
      <c r="AI20" s="29"/>
      <c r="AJ20" s="28"/>
      <c r="AK20" s="26"/>
      <c r="AL20" s="26"/>
      <c r="AM20" s="29"/>
      <c r="AN20" s="28">
        <v>3</v>
      </c>
      <c r="AO20" s="26"/>
      <c r="AP20" s="26"/>
      <c r="AQ20" s="29"/>
      <c r="AR20" s="28"/>
      <c r="AS20" s="26"/>
      <c r="AT20" s="26"/>
      <c r="AU20" s="29"/>
      <c r="AV20" s="28"/>
      <c r="AW20" s="26"/>
      <c r="AX20" s="26"/>
      <c r="AY20" s="29"/>
      <c r="AZ20" s="28"/>
      <c r="BA20" s="26"/>
      <c r="BB20" s="26"/>
      <c r="BC20" s="29"/>
      <c r="BD20" s="28"/>
      <c r="BE20" s="26"/>
      <c r="BF20" s="26"/>
      <c r="BG20" s="29"/>
      <c r="BH20" s="28"/>
      <c r="BI20" s="26"/>
      <c r="BJ20" s="26"/>
      <c r="BK20" s="29"/>
      <c r="BL20" s="28"/>
      <c r="BM20" s="26"/>
      <c r="BN20" s="26"/>
      <c r="BO20" s="29"/>
      <c r="BP20" s="28"/>
      <c r="BQ20" s="26"/>
      <c r="BR20" s="26"/>
      <c r="BS20" s="29"/>
      <c r="BT20" s="28"/>
      <c r="BU20" s="26"/>
      <c r="BV20" s="26"/>
      <c r="BW20" s="29"/>
      <c r="BX20" s="28"/>
      <c r="BY20" s="26"/>
      <c r="BZ20" s="26"/>
      <c r="CA20" s="29"/>
      <c r="CB20" s="28"/>
      <c r="CC20" s="26"/>
      <c r="CD20" s="26"/>
      <c r="CE20" s="29">
        <v>3</v>
      </c>
      <c r="CF20" s="28"/>
      <c r="CG20" s="26"/>
      <c r="CH20" s="26"/>
      <c r="CI20" s="29">
        <v>3</v>
      </c>
      <c r="CJ20" s="28"/>
      <c r="CK20" s="26"/>
      <c r="CL20" s="26"/>
      <c r="CM20" s="29">
        <v>3</v>
      </c>
      <c r="CN20" s="28"/>
      <c r="CO20" s="26"/>
      <c r="CP20" s="26"/>
      <c r="CQ20" s="29">
        <v>3</v>
      </c>
      <c r="CR20" s="28"/>
      <c r="CS20" s="26"/>
      <c r="CT20" s="26"/>
      <c r="CU20" s="29">
        <v>3</v>
      </c>
      <c r="CV20" s="28"/>
      <c r="CW20" s="26"/>
      <c r="CX20" s="26"/>
      <c r="CY20" s="29">
        <v>3</v>
      </c>
      <c r="CZ20" s="28"/>
      <c r="DA20" s="26"/>
      <c r="DB20" s="26"/>
      <c r="DC20" s="29">
        <v>3</v>
      </c>
    </row>
    <row r="21" spans="1:107" ht="15.75" thickBot="1" x14ac:dyDescent="0.3">
      <c r="B21" s="161" t="s">
        <v>106</v>
      </c>
      <c r="C21" s="162"/>
      <c r="D21" s="162"/>
      <c r="E21" s="162"/>
      <c r="F21" s="162"/>
      <c r="G21" s="162"/>
      <c r="H21" s="30"/>
      <c r="I21" s="31"/>
      <c r="J21" s="31"/>
      <c r="K21" s="32"/>
      <c r="L21" s="30"/>
      <c r="M21" s="31"/>
      <c r="N21" s="31"/>
      <c r="O21" s="32"/>
      <c r="P21" s="30"/>
      <c r="Q21" s="31"/>
      <c r="R21" s="31"/>
      <c r="S21" s="32"/>
      <c r="T21" s="30"/>
      <c r="U21" s="31"/>
      <c r="V21" s="31"/>
      <c r="W21" s="32"/>
      <c r="X21" s="30"/>
      <c r="Y21" s="31"/>
      <c r="Z21" s="31"/>
      <c r="AA21" s="32"/>
      <c r="AB21" s="30"/>
      <c r="AC21" s="31"/>
      <c r="AD21" s="31"/>
      <c r="AE21" s="32"/>
      <c r="AF21" s="30"/>
      <c r="AG21" s="31"/>
      <c r="AH21" s="31"/>
      <c r="AI21" s="32"/>
      <c r="AJ21" s="30"/>
      <c r="AK21" s="31"/>
      <c r="AL21" s="31"/>
      <c r="AM21" s="32"/>
      <c r="AN21" s="30"/>
      <c r="AO21" s="31"/>
      <c r="AP21" s="31"/>
      <c r="AQ21" s="32"/>
      <c r="AR21" s="30"/>
      <c r="AS21" s="31"/>
      <c r="AT21" s="31"/>
      <c r="AU21" s="32"/>
      <c r="AV21" s="30"/>
      <c r="AW21" s="31"/>
      <c r="AX21" s="31"/>
      <c r="AY21" s="32"/>
      <c r="AZ21" s="30"/>
      <c r="BA21" s="31"/>
      <c r="BB21" s="31"/>
      <c r="BC21" s="32"/>
      <c r="BD21" s="30"/>
      <c r="BE21" s="31"/>
      <c r="BF21" s="31"/>
      <c r="BG21" s="32"/>
      <c r="BH21" s="30"/>
      <c r="BI21" s="31"/>
      <c r="BJ21" s="31"/>
      <c r="BK21" s="32"/>
      <c r="BL21" s="30"/>
      <c r="BM21" s="31"/>
      <c r="BN21" s="31"/>
      <c r="BO21" s="32"/>
      <c r="BP21" s="30"/>
      <c r="BQ21" s="31"/>
      <c r="BR21" s="31"/>
      <c r="BS21" s="32"/>
      <c r="BT21" s="30"/>
      <c r="BU21" s="31"/>
      <c r="BV21" s="31"/>
      <c r="BW21" s="32"/>
      <c r="BX21" s="30"/>
      <c r="BY21" s="31"/>
      <c r="BZ21" s="31"/>
      <c r="CA21" s="32"/>
      <c r="CB21" s="30"/>
      <c r="CC21" s="31"/>
      <c r="CD21" s="31"/>
      <c r="CE21" s="32"/>
      <c r="CF21" s="30"/>
      <c r="CG21" s="31"/>
      <c r="CH21" s="31"/>
      <c r="CI21" s="32"/>
      <c r="CJ21" s="30"/>
      <c r="CK21" s="31"/>
      <c r="CL21" s="31"/>
      <c r="CM21" s="32"/>
      <c r="CN21" s="30"/>
      <c r="CO21" s="31"/>
      <c r="CP21" s="31"/>
      <c r="CQ21" s="32"/>
      <c r="CR21" s="30"/>
      <c r="CS21" s="31"/>
      <c r="CT21" s="31"/>
      <c r="CU21" s="32"/>
      <c r="CV21" s="30"/>
      <c r="CW21" s="31"/>
      <c r="CX21" s="31"/>
      <c r="CY21" s="32"/>
      <c r="CZ21" s="30"/>
      <c r="DA21" s="31"/>
      <c r="DB21" s="31"/>
      <c r="DC21" s="32"/>
    </row>
    <row r="22" spans="1:107" x14ac:dyDescent="0.25">
      <c r="B22" s="3"/>
      <c r="C22" s="27"/>
      <c r="D22" s="23">
        <f>H22+L22+P22+T22+X22+AB22+AF22+AJ22+AN22+AR22+AV22+AZ22+BD22+BH22+BL22+BP22+BT22+BX22+CB22+CF22+CJ22+CN22+CR22+CV22+CZ22</f>
        <v>67</v>
      </c>
      <c r="E22" s="23">
        <f>I22+M22+Q22+U22+Y22+AC22+AG22+AK22+AO22+AS22+AW22+BA22+BE22+BI22+BM22+BQ22+BV22+BY22+CD22+CG22+CL22+CO22+CT22+CW22+DB22</f>
        <v>17</v>
      </c>
      <c r="F22" s="23">
        <f>J22+N22+R22+V22+Z22+AD22+AH22+AL22+AP22+AT22+AX22+BB22+BF22+BJ22+BN22+BT22+BX22+CB22+CF22+CJ22+CN22+CR22+CV22+CZ22</f>
        <v>4</v>
      </c>
      <c r="G22" s="23">
        <f>K22+O22+S22+W22+AA22+AE22+AI22+AM22+AQ22+AU22+AY22+BC22+BG22+BK22+BO22+BV22+BY22+CD22+CG22+CL22+CO22+CT22+CW22+DB22</f>
        <v>0</v>
      </c>
      <c r="H22" s="33">
        <f>SUM(H4:H21)</f>
        <v>2</v>
      </c>
      <c r="I22" s="34">
        <f>SUM(I4:I21)</f>
        <v>1</v>
      </c>
      <c r="J22" s="34">
        <f>SUM(J4:J21)</f>
        <v>0</v>
      </c>
      <c r="K22" s="35">
        <f>SUM(K4:K21)</f>
        <v>0</v>
      </c>
      <c r="L22" s="33">
        <f t="shared" ref="L22:BW22" si="4">SUM(L4:L21)</f>
        <v>2</v>
      </c>
      <c r="M22" s="34">
        <f t="shared" si="4"/>
        <v>0</v>
      </c>
      <c r="N22" s="34">
        <f t="shared" si="4"/>
        <v>0</v>
      </c>
      <c r="O22" s="35">
        <f t="shared" si="4"/>
        <v>0</v>
      </c>
      <c r="P22" s="33">
        <f t="shared" si="4"/>
        <v>18</v>
      </c>
      <c r="Q22" s="34">
        <f t="shared" si="4"/>
        <v>1</v>
      </c>
      <c r="R22" s="34">
        <f t="shared" si="4"/>
        <v>0</v>
      </c>
      <c r="S22" s="35">
        <f t="shared" si="4"/>
        <v>0</v>
      </c>
      <c r="T22" s="33">
        <f t="shared" si="4"/>
        <v>0</v>
      </c>
      <c r="U22" s="34">
        <f t="shared" si="4"/>
        <v>1</v>
      </c>
      <c r="V22" s="34">
        <f t="shared" si="4"/>
        <v>0</v>
      </c>
      <c r="W22" s="35">
        <f t="shared" si="4"/>
        <v>0</v>
      </c>
      <c r="X22" s="33">
        <f t="shared" si="4"/>
        <v>3</v>
      </c>
      <c r="Y22" s="34">
        <f t="shared" si="4"/>
        <v>4</v>
      </c>
      <c r="Z22" s="34">
        <f t="shared" si="4"/>
        <v>0</v>
      </c>
      <c r="AA22" s="35">
        <f t="shared" si="4"/>
        <v>0</v>
      </c>
      <c r="AB22" s="33">
        <f t="shared" si="4"/>
        <v>4</v>
      </c>
      <c r="AC22" s="34">
        <f t="shared" si="4"/>
        <v>1</v>
      </c>
      <c r="AD22" s="34">
        <f t="shared" si="4"/>
        <v>0</v>
      </c>
      <c r="AE22" s="35">
        <f t="shared" si="4"/>
        <v>0</v>
      </c>
      <c r="AF22" s="33">
        <f t="shared" si="4"/>
        <v>0</v>
      </c>
      <c r="AG22" s="34">
        <f t="shared" si="4"/>
        <v>0</v>
      </c>
      <c r="AH22" s="34">
        <f t="shared" si="4"/>
        <v>0</v>
      </c>
      <c r="AI22" s="35">
        <f t="shared" si="4"/>
        <v>0</v>
      </c>
      <c r="AJ22" s="33">
        <f t="shared" si="4"/>
        <v>5</v>
      </c>
      <c r="AK22" s="34">
        <f t="shared" si="4"/>
        <v>0</v>
      </c>
      <c r="AL22" s="34">
        <f t="shared" si="4"/>
        <v>0</v>
      </c>
      <c r="AM22" s="35">
        <f t="shared" si="4"/>
        <v>0</v>
      </c>
      <c r="AN22" s="33">
        <f t="shared" si="4"/>
        <v>3</v>
      </c>
      <c r="AO22" s="34">
        <f t="shared" si="4"/>
        <v>0</v>
      </c>
      <c r="AP22" s="34">
        <f t="shared" si="4"/>
        <v>0</v>
      </c>
      <c r="AQ22" s="35">
        <f t="shared" si="4"/>
        <v>0</v>
      </c>
      <c r="AR22" s="33">
        <f t="shared" si="4"/>
        <v>6</v>
      </c>
      <c r="AS22" s="34">
        <f t="shared" si="4"/>
        <v>0</v>
      </c>
      <c r="AT22" s="34">
        <f t="shared" si="4"/>
        <v>0</v>
      </c>
      <c r="AU22" s="35">
        <f t="shared" si="4"/>
        <v>0</v>
      </c>
      <c r="AV22" s="33">
        <f t="shared" si="4"/>
        <v>6</v>
      </c>
      <c r="AW22" s="34">
        <f t="shared" si="4"/>
        <v>3</v>
      </c>
      <c r="AX22" s="34">
        <f t="shared" si="4"/>
        <v>0</v>
      </c>
      <c r="AY22" s="35">
        <f t="shared" si="4"/>
        <v>0</v>
      </c>
      <c r="AZ22" s="33">
        <f t="shared" si="4"/>
        <v>5</v>
      </c>
      <c r="BA22" s="34">
        <f t="shared" si="4"/>
        <v>1</v>
      </c>
      <c r="BB22" s="34">
        <f t="shared" si="4"/>
        <v>0</v>
      </c>
      <c r="BC22" s="35">
        <f t="shared" si="4"/>
        <v>0</v>
      </c>
      <c r="BD22" s="33">
        <f t="shared" si="4"/>
        <v>3</v>
      </c>
      <c r="BE22" s="34">
        <f t="shared" si="4"/>
        <v>1</v>
      </c>
      <c r="BF22" s="34">
        <f t="shared" si="4"/>
        <v>0</v>
      </c>
      <c r="BG22" s="35">
        <f t="shared" si="4"/>
        <v>0</v>
      </c>
      <c r="BH22" s="33">
        <f t="shared" si="4"/>
        <v>4</v>
      </c>
      <c r="BI22" s="34">
        <f t="shared" si="4"/>
        <v>3</v>
      </c>
      <c r="BJ22" s="34">
        <f t="shared" si="4"/>
        <v>0</v>
      </c>
      <c r="BK22" s="35">
        <f t="shared" si="4"/>
        <v>0</v>
      </c>
      <c r="BL22" s="33">
        <f t="shared" si="4"/>
        <v>2</v>
      </c>
      <c r="BM22" s="34">
        <f t="shared" si="4"/>
        <v>1</v>
      </c>
      <c r="BN22" s="34">
        <f t="shared" si="4"/>
        <v>0</v>
      </c>
      <c r="BO22" s="35">
        <f t="shared" si="4"/>
        <v>0</v>
      </c>
      <c r="BP22" s="33">
        <f t="shared" si="4"/>
        <v>0</v>
      </c>
      <c r="BQ22" s="34">
        <f t="shared" si="4"/>
        <v>0</v>
      </c>
      <c r="BR22" s="34">
        <f t="shared" si="4"/>
        <v>0</v>
      </c>
      <c r="BS22" s="35">
        <f t="shared" si="4"/>
        <v>0</v>
      </c>
      <c r="BT22" s="33">
        <f t="shared" si="4"/>
        <v>2</v>
      </c>
      <c r="BU22" s="34">
        <f t="shared" si="4"/>
        <v>1</v>
      </c>
      <c r="BV22" s="34">
        <f t="shared" si="4"/>
        <v>0</v>
      </c>
      <c r="BW22" s="35">
        <f t="shared" si="4"/>
        <v>0</v>
      </c>
      <c r="BX22" s="33">
        <f t="shared" ref="BX22:DC22" si="5">SUM(BX4:BX21)</f>
        <v>2</v>
      </c>
      <c r="BY22" s="34">
        <f t="shared" si="5"/>
        <v>0</v>
      </c>
      <c r="BZ22" s="34">
        <f t="shared" si="5"/>
        <v>0</v>
      </c>
      <c r="CA22" s="35">
        <f t="shared" si="5"/>
        <v>1</v>
      </c>
      <c r="CB22" s="33">
        <f t="shared" si="5"/>
        <v>0</v>
      </c>
      <c r="CC22" s="34">
        <f t="shared" si="5"/>
        <v>0</v>
      </c>
      <c r="CD22" s="34">
        <f t="shared" si="5"/>
        <v>0</v>
      </c>
      <c r="CE22" s="35">
        <f t="shared" si="5"/>
        <v>3</v>
      </c>
      <c r="CF22" s="33">
        <f t="shared" si="5"/>
        <v>0</v>
      </c>
      <c r="CG22" s="34">
        <f t="shared" si="5"/>
        <v>0</v>
      </c>
      <c r="CH22" s="34">
        <f t="shared" si="5"/>
        <v>0</v>
      </c>
      <c r="CI22" s="35">
        <f t="shared" si="5"/>
        <v>3</v>
      </c>
      <c r="CJ22" s="33">
        <f t="shared" si="5"/>
        <v>0</v>
      </c>
      <c r="CK22" s="34">
        <f t="shared" si="5"/>
        <v>0</v>
      </c>
      <c r="CL22" s="34">
        <f t="shared" si="5"/>
        <v>0</v>
      </c>
      <c r="CM22" s="35">
        <f t="shared" si="5"/>
        <v>3</v>
      </c>
      <c r="CN22" s="33">
        <f t="shared" si="5"/>
        <v>0</v>
      </c>
      <c r="CO22" s="34">
        <f t="shared" si="5"/>
        <v>0</v>
      </c>
      <c r="CP22" s="34">
        <f t="shared" si="5"/>
        <v>0</v>
      </c>
      <c r="CQ22" s="35">
        <f t="shared" si="5"/>
        <v>3</v>
      </c>
      <c r="CR22" s="33">
        <f t="shared" si="5"/>
        <v>0</v>
      </c>
      <c r="CS22" s="34">
        <f t="shared" si="5"/>
        <v>0</v>
      </c>
      <c r="CT22" s="34">
        <f t="shared" si="5"/>
        <v>0</v>
      </c>
      <c r="CU22" s="35">
        <f t="shared" si="5"/>
        <v>3</v>
      </c>
      <c r="CV22" s="33">
        <f t="shared" si="5"/>
        <v>0</v>
      </c>
      <c r="CW22" s="34">
        <f t="shared" si="5"/>
        <v>0</v>
      </c>
      <c r="CX22" s="34">
        <f t="shared" si="5"/>
        <v>0</v>
      </c>
      <c r="CY22" s="35">
        <f t="shared" si="5"/>
        <v>3</v>
      </c>
      <c r="CZ22" s="33">
        <f t="shared" si="5"/>
        <v>0</v>
      </c>
      <c r="DA22" s="34">
        <f t="shared" si="5"/>
        <v>0</v>
      </c>
      <c r="DB22" s="34">
        <f t="shared" si="5"/>
        <v>0</v>
      </c>
      <c r="DC22" s="35">
        <f t="shared" si="5"/>
        <v>3</v>
      </c>
    </row>
    <row r="23" spans="1:107" ht="14.45" customHeight="1" x14ac:dyDescent="0.25">
      <c r="B23" s="3"/>
      <c r="C23" s="27"/>
      <c r="D23" s="148" t="s">
        <v>86</v>
      </c>
      <c r="E23" s="148" t="s">
        <v>97</v>
      </c>
      <c r="F23" s="148" t="s">
        <v>99</v>
      </c>
      <c r="G23" s="148" t="s">
        <v>98</v>
      </c>
      <c r="H23" s="145" t="s">
        <v>86</v>
      </c>
      <c r="I23" s="148" t="s">
        <v>97</v>
      </c>
      <c r="J23" s="148" t="s">
        <v>99</v>
      </c>
      <c r="K23" s="151" t="s">
        <v>98</v>
      </c>
      <c r="L23" s="145" t="s">
        <v>86</v>
      </c>
      <c r="M23" s="148" t="s">
        <v>97</v>
      </c>
      <c r="N23" s="148" t="s">
        <v>99</v>
      </c>
      <c r="O23" s="151" t="s">
        <v>98</v>
      </c>
      <c r="P23" s="145" t="s">
        <v>86</v>
      </c>
      <c r="Q23" s="148" t="s">
        <v>97</v>
      </c>
      <c r="R23" s="148" t="s">
        <v>99</v>
      </c>
      <c r="S23" s="151" t="s">
        <v>98</v>
      </c>
      <c r="T23" s="145" t="s">
        <v>86</v>
      </c>
      <c r="U23" s="148" t="s">
        <v>97</v>
      </c>
      <c r="V23" s="148" t="s">
        <v>99</v>
      </c>
      <c r="W23" s="151" t="s">
        <v>98</v>
      </c>
      <c r="X23" s="145" t="s">
        <v>86</v>
      </c>
      <c r="Y23" s="148" t="s">
        <v>97</v>
      </c>
      <c r="Z23" s="148" t="s">
        <v>99</v>
      </c>
      <c r="AA23" s="151" t="s">
        <v>98</v>
      </c>
      <c r="AB23" s="145" t="s">
        <v>86</v>
      </c>
      <c r="AC23" s="148" t="s">
        <v>97</v>
      </c>
      <c r="AD23" s="148" t="s">
        <v>99</v>
      </c>
      <c r="AE23" s="151" t="s">
        <v>98</v>
      </c>
      <c r="AF23" s="145" t="s">
        <v>86</v>
      </c>
      <c r="AG23" s="148" t="s">
        <v>97</v>
      </c>
      <c r="AH23" s="148" t="s">
        <v>99</v>
      </c>
      <c r="AI23" s="151" t="s">
        <v>98</v>
      </c>
      <c r="AJ23" s="145" t="s">
        <v>86</v>
      </c>
      <c r="AK23" s="148" t="s">
        <v>97</v>
      </c>
      <c r="AL23" s="148" t="s">
        <v>99</v>
      </c>
      <c r="AM23" s="151" t="s">
        <v>98</v>
      </c>
      <c r="AN23" s="145" t="s">
        <v>86</v>
      </c>
      <c r="AO23" s="148" t="s">
        <v>97</v>
      </c>
      <c r="AP23" s="148" t="s">
        <v>99</v>
      </c>
      <c r="AQ23" s="151" t="s">
        <v>98</v>
      </c>
      <c r="AR23" s="145" t="s">
        <v>86</v>
      </c>
      <c r="AS23" s="148" t="s">
        <v>97</v>
      </c>
      <c r="AT23" s="148" t="s">
        <v>99</v>
      </c>
      <c r="AU23" s="151" t="s">
        <v>98</v>
      </c>
      <c r="AV23" s="145" t="s">
        <v>86</v>
      </c>
      <c r="AW23" s="148" t="s">
        <v>97</v>
      </c>
      <c r="AX23" s="148" t="s">
        <v>99</v>
      </c>
      <c r="AY23" s="151" t="s">
        <v>98</v>
      </c>
      <c r="AZ23" s="145" t="s">
        <v>86</v>
      </c>
      <c r="BA23" s="148" t="s">
        <v>97</v>
      </c>
      <c r="BB23" s="148" t="s">
        <v>99</v>
      </c>
      <c r="BC23" s="151" t="s">
        <v>98</v>
      </c>
      <c r="BD23" s="145" t="s">
        <v>86</v>
      </c>
      <c r="BE23" s="148" t="s">
        <v>97</v>
      </c>
      <c r="BF23" s="148" t="s">
        <v>99</v>
      </c>
      <c r="BG23" s="151" t="s">
        <v>98</v>
      </c>
      <c r="BH23" s="145" t="s">
        <v>86</v>
      </c>
      <c r="BI23" s="148" t="s">
        <v>97</v>
      </c>
      <c r="BJ23" s="148" t="s">
        <v>99</v>
      </c>
      <c r="BK23" s="151" t="s">
        <v>98</v>
      </c>
      <c r="BL23" s="145" t="s">
        <v>86</v>
      </c>
      <c r="BM23" s="148" t="s">
        <v>97</v>
      </c>
      <c r="BN23" s="148" t="s">
        <v>99</v>
      </c>
      <c r="BO23" s="151" t="s">
        <v>98</v>
      </c>
      <c r="BP23" s="145" t="s">
        <v>86</v>
      </c>
      <c r="BQ23" s="148" t="s">
        <v>97</v>
      </c>
      <c r="BR23" s="148" t="s">
        <v>99</v>
      </c>
      <c r="BS23" s="151" t="s">
        <v>98</v>
      </c>
      <c r="BT23" s="145" t="s">
        <v>86</v>
      </c>
      <c r="BU23" s="148" t="s">
        <v>97</v>
      </c>
      <c r="BV23" s="148" t="s">
        <v>99</v>
      </c>
      <c r="BW23" s="151" t="s">
        <v>98</v>
      </c>
      <c r="BX23" s="145" t="s">
        <v>86</v>
      </c>
      <c r="BY23" s="148" t="s">
        <v>97</v>
      </c>
      <c r="BZ23" s="148" t="s">
        <v>99</v>
      </c>
      <c r="CA23" s="151" t="s">
        <v>98</v>
      </c>
      <c r="CB23" s="145" t="s">
        <v>86</v>
      </c>
      <c r="CC23" s="148" t="s">
        <v>97</v>
      </c>
      <c r="CD23" s="148" t="s">
        <v>99</v>
      </c>
      <c r="CE23" s="151" t="s">
        <v>98</v>
      </c>
      <c r="CF23" s="145" t="s">
        <v>86</v>
      </c>
      <c r="CG23" s="148" t="s">
        <v>97</v>
      </c>
      <c r="CH23" s="148" t="s">
        <v>99</v>
      </c>
      <c r="CI23" s="151" t="s">
        <v>98</v>
      </c>
      <c r="CJ23" s="145" t="s">
        <v>86</v>
      </c>
      <c r="CK23" s="148" t="s">
        <v>97</v>
      </c>
      <c r="CL23" s="148" t="s">
        <v>99</v>
      </c>
      <c r="CM23" s="151" t="s">
        <v>98</v>
      </c>
      <c r="CN23" s="145" t="s">
        <v>86</v>
      </c>
      <c r="CO23" s="148" t="s">
        <v>97</v>
      </c>
      <c r="CP23" s="148" t="s">
        <v>99</v>
      </c>
      <c r="CQ23" s="151" t="s">
        <v>98</v>
      </c>
      <c r="CR23" s="145" t="s">
        <v>86</v>
      </c>
      <c r="CS23" s="148" t="s">
        <v>97</v>
      </c>
      <c r="CT23" s="148" t="s">
        <v>99</v>
      </c>
      <c r="CU23" s="151" t="s">
        <v>98</v>
      </c>
      <c r="CV23" s="145" t="s">
        <v>86</v>
      </c>
      <c r="CW23" s="148" t="s">
        <v>97</v>
      </c>
      <c r="CX23" s="148" t="s">
        <v>99</v>
      </c>
      <c r="CY23" s="151" t="s">
        <v>98</v>
      </c>
      <c r="CZ23" s="145" t="s">
        <v>86</v>
      </c>
      <c r="DA23" s="148" t="s">
        <v>97</v>
      </c>
      <c r="DB23" s="148" t="s">
        <v>99</v>
      </c>
      <c r="DC23" s="151" t="s">
        <v>98</v>
      </c>
    </row>
    <row r="24" spans="1:107" x14ac:dyDescent="0.25">
      <c r="B24" s="3"/>
      <c r="C24" s="27"/>
      <c r="D24" s="149"/>
      <c r="E24" s="149"/>
      <c r="F24" s="149"/>
      <c r="G24" s="149"/>
      <c r="H24" s="146"/>
      <c r="I24" s="149"/>
      <c r="J24" s="149"/>
      <c r="K24" s="152"/>
      <c r="L24" s="146"/>
      <c r="M24" s="149"/>
      <c r="N24" s="149"/>
      <c r="O24" s="152"/>
      <c r="P24" s="146"/>
      <c r="Q24" s="149"/>
      <c r="R24" s="149"/>
      <c r="S24" s="152"/>
      <c r="T24" s="146"/>
      <c r="U24" s="149"/>
      <c r="V24" s="149"/>
      <c r="W24" s="152"/>
      <c r="X24" s="146"/>
      <c r="Y24" s="149"/>
      <c r="Z24" s="149"/>
      <c r="AA24" s="152"/>
      <c r="AB24" s="146"/>
      <c r="AC24" s="149"/>
      <c r="AD24" s="149"/>
      <c r="AE24" s="152"/>
      <c r="AF24" s="146"/>
      <c r="AG24" s="149"/>
      <c r="AH24" s="149"/>
      <c r="AI24" s="152"/>
      <c r="AJ24" s="146"/>
      <c r="AK24" s="149"/>
      <c r="AL24" s="149"/>
      <c r="AM24" s="152"/>
      <c r="AN24" s="146"/>
      <c r="AO24" s="149"/>
      <c r="AP24" s="149"/>
      <c r="AQ24" s="152"/>
      <c r="AR24" s="146"/>
      <c r="AS24" s="149"/>
      <c r="AT24" s="149"/>
      <c r="AU24" s="152"/>
      <c r="AV24" s="146"/>
      <c r="AW24" s="149"/>
      <c r="AX24" s="149"/>
      <c r="AY24" s="152"/>
      <c r="AZ24" s="146"/>
      <c r="BA24" s="149"/>
      <c r="BB24" s="149"/>
      <c r="BC24" s="152"/>
      <c r="BD24" s="146"/>
      <c r="BE24" s="149"/>
      <c r="BF24" s="149"/>
      <c r="BG24" s="152"/>
      <c r="BH24" s="146"/>
      <c r="BI24" s="149"/>
      <c r="BJ24" s="149"/>
      <c r="BK24" s="152"/>
      <c r="BL24" s="146"/>
      <c r="BM24" s="149"/>
      <c r="BN24" s="149"/>
      <c r="BO24" s="152"/>
      <c r="BP24" s="146"/>
      <c r="BQ24" s="149"/>
      <c r="BR24" s="149"/>
      <c r="BS24" s="152"/>
      <c r="BT24" s="146"/>
      <c r="BU24" s="149"/>
      <c r="BV24" s="149"/>
      <c r="BW24" s="152"/>
      <c r="BX24" s="146"/>
      <c r="BY24" s="149"/>
      <c r="BZ24" s="149"/>
      <c r="CA24" s="152"/>
      <c r="CB24" s="146"/>
      <c r="CC24" s="149"/>
      <c r="CD24" s="149"/>
      <c r="CE24" s="152"/>
      <c r="CF24" s="146"/>
      <c r="CG24" s="149"/>
      <c r="CH24" s="149"/>
      <c r="CI24" s="152"/>
      <c r="CJ24" s="146"/>
      <c r="CK24" s="149"/>
      <c r="CL24" s="149"/>
      <c r="CM24" s="152"/>
      <c r="CN24" s="146"/>
      <c r="CO24" s="149"/>
      <c r="CP24" s="149"/>
      <c r="CQ24" s="152"/>
      <c r="CR24" s="146"/>
      <c r="CS24" s="149"/>
      <c r="CT24" s="149"/>
      <c r="CU24" s="152"/>
      <c r="CV24" s="146"/>
      <c r="CW24" s="149"/>
      <c r="CX24" s="149"/>
      <c r="CY24" s="152"/>
      <c r="CZ24" s="146"/>
      <c r="DA24" s="149"/>
      <c r="DB24" s="149"/>
      <c r="DC24" s="152"/>
    </row>
    <row r="25" spans="1:107" x14ac:dyDescent="0.25">
      <c r="D25" s="149"/>
      <c r="E25" s="149"/>
      <c r="F25" s="149"/>
      <c r="G25" s="149"/>
      <c r="H25" s="146"/>
      <c r="I25" s="149"/>
      <c r="J25" s="149"/>
      <c r="K25" s="152"/>
      <c r="L25" s="146"/>
      <c r="M25" s="149"/>
      <c r="N25" s="149"/>
      <c r="O25" s="152"/>
      <c r="P25" s="146"/>
      <c r="Q25" s="149"/>
      <c r="R25" s="149"/>
      <c r="S25" s="152"/>
      <c r="T25" s="146"/>
      <c r="U25" s="149"/>
      <c r="V25" s="149"/>
      <c r="W25" s="152"/>
      <c r="X25" s="146"/>
      <c r="Y25" s="149"/>
      <c r="Z25" s="149"/>
      <c r="AA25" s="152"/>
      <c r="AB25" s="146"/>
      <c r="AC25" s="149"/>
      <c r="AD25" s="149"/>
      <c r="AE25" s="152"/>
      <c r="AF25" s="146"/>
      <c r="AG25" s="149"/>
      <c r="AH25" s="149"/>
      <c r="AI25" s="152"/>
      <c r="AJ25" s="146"/>
      <c r="AK25" s="149"/>
      <c r="AL25" s="149"/>
      <c r="AM25" s="152"/>
      <c r="AN25" s="146"/>
      <c r="AO25" s="149"/>
      <c r="AP25" s="149"/>
      <c r="AQ25" s="152"/>
      <c r="AR25" s="146"/>
      <c r="AS25" s="149"/>
      <c r="AT25" s="149"/>
      <c r="AU25" s="152"/>
      <c r="AV25" s="146"/>
      <c r="AW25" s="149"/>
      <c r="AX25" s="149"/>
      <c r="AY25" s="152"/>
      <c r="AZ25" s="146"/>
      <c r="BA25" s="149"/>
      <c r="BB25" s="149"/>
      <c r="BC25" s="152"/>
      <c r="BD25" s="146"/>
      <c r="BE25" s="149"/>
      <c r="BF25" s="149"/>
      <c r="BG25" s="152"/>
      <c r="BH25" s="146"/>
      <c r="BI25" s="149"/>
      <c r="BJ25" s="149"/>
      <c r="BK25" s="152"/>
      <c r="BL25" s="146"/>
      <c r="BM25" s="149"/>
      <c r="BN25" s="149"/>
      <c r="BO25" s="152"/>
      <c r="BP25" s="146"/>
      <c r="BQ25" s="149"/>
      <c r="BR25" s="149"/>
      <c r="BS25" s="152"/>
      <c r="BT25" s="146"/>
      <c r="BU25" s="149"/>
      <c r="BV25" s="149"/>
      <c r="BW25" s="152"/>
      <c r="BX25" s="146"/>
      <c r="BY25" s="149"/>
      <c r="BZ25" s="149"/>
      <c r="CA25" s="152"/>
      <c r="CB25" s="146"/>
      <c r="CC25" s="149"/>
      <c r="CD25" s="149"/>
      <c r="CE25" s="152"/>
      <c r="CF25" s="146"/>
      <c r="CG25" s="149"/>
      <c r="CH25" s="149"/>
      <c r="CI25" s="152"/>
      <c r="CJ25" s="146"/>
      <c r="CK25" s="149"/>
      <c r="CL25" s="149"/>
      <c r="CM25" s="152"/>
      <c r="CN25" s="146"/>
      <c r="CO25" s="149"/>
      <c r="CP25" s="149"/>
      <c r="CQ25" s="152"/>
      <c r="CR25" s="146"/>
      <c r="CS25" s="149"/>
      <c r="CT25" s="149"/>
      <c r="CU25" s="152"/>
      <c r="CV25" s="146"/>
      <c r="CW25" s="149"/>
      <c r="CX25" s="149"/>
      <c r="CY25" s="152"/>
      <c r="CZ25" s="146"/>
      <c r="DA25" s="149"/>
      <c r="DB25" s="149"/>
      <c r="DC25" s="152"/>
    </row>
    <row r="26" spans="1:107" ht="15.75" thickBot="1" x14ac:dyDescent="0.3">
      <c r="D26" s="149"/>
      <c r="E26" s="149"/>
      <c r="F26" s="149"/>
      <c r="G26" s="149"/>
      <c r="H26" s="147"/>
      <c r="I26" s="150"/>
      <c r="J26" s="150"/>
      <c r="K26" s="153"/>
      <c r="L26" s="147"/>
      <c r="M26" s="150"/>
      <c r="N26" s="150"/>
      <c r="O26" s="153"/>
      <c r="P26" s="147"/>
      <c r="Q26" s="150"/>
      <c r="R26" s="150"/>
      <c r="S26" s="153"/>
      <c r="T26" s="147"/>
      <c r="U26" s="150"/>
      <c r="V26" s="150"/>
      <c r="W26" s="153"/>
      <c r="X26" s="147"/>
      <c r="Y26" s="150"/>
      <c r="Z26" s="150"/>
      <c r="AA26" s="153"/>
      <c r="AB26" s="147"/>
      <c r="AC26" s="150"/>
      <c r="AD26" s="150"/>
      <c r="AE26" s="153"/>
      <c r="AF26" s="147"/>
      <c r="AG26" s="150"/>
      <c r="AH26" s="150"/>
      <c r="AI26" s="153"/>
      <c r="AJ26" s="147"/>
      <c r="AK26" s="150"/>
      <c r="AL26" s="150"/>
      <c r="AM26" s="153"/>
      <c r="AN26" s="147"/>
      <c r="AO26" s="150"/>
      <c r="AP26" s="150"/>
      <c r="AQ26" s="153"/>
      <c r="AR26" s="147"/>
      <c r="AS26" s="150"/>
      <c r="AT26" s="150"/>
      <c r="AU26" s="153"/>
      <c r="AV26" s="147"/>
      <c r="AW26" s="150"/>
      <c r="AX26" s="150"/>
      <c r="AY26" s="153"/>
      <c r="AZ26" s="147"/>
      <c r="BA26" s="150"/>
      <c r="BB26" s="150"/>
      <c r="BC26" s="153"/>
      <c r="BD26" s="147"/>
      <c r="BE26" s="150"/>
      <c r="BF26" s="150"/>
      <c r="BG26" s="153"/>
      <c r="BH26" s="147"/>
      <c r="BI26" s="150"/>
      <c r="BJ26" s="150"/>
      <c r="BK26" s="153"/>
      <c r="BL26" s="147"/>
      <c r="BM26" s="150"/>
      <c r="BN26" s="150"/>
      <c r="BO26" s="153"/>
      <c r="BP26" s="147"/>
      <c r="BQ26" s="150"/>
      <c r="BR26" s="150"/>
      <c r="BS26" s="153"/>
      <c r="BT26" s="147"/>
      <c r="BU26" s="150"/>
      <c r="BV26" s="150"/>
      <c r="BW26" s="153"/>
      <c r="BX26" s="147"/>
      <c r="BY26" s="150"/>
      <c r="BZ26" s="150"/>
      <c r="CA26" s="153"/>
      <c r="CB26" s="147"/>
      <c r="CC26" s="150"/>
      <c r="CD26" s="150"/>
      <c r="CE26" s="153"/>
      <c r="CF26" s="147"/>
      <c r="CG26" s="150"/>
      <c r="CH26" s="150"/>
      <c r="CI26" s="153"/>
      <c r="CJ26" s="147"/>
      <c r="CK26" s="150"/>
      <c r="CL26" s="150"/>
      <c r="CM26" s="153"/>
      <c r="CN26" s="147"/>
      <c r="CO26" s="150"/>
      <c r="CP26" s="150"/>
      <c r="CQ26" s="153"/>
      <c r="CR26" s="147"/>
      <c r="CS26" s="150"/>
      <c r="CT26" s="150"/>
      <c r="CU26" s="153"/>
      <c r="CV26" s="147"/>
      <c r="CW26" s="150"/>
      <c r="CX26" s="150"/>
      <c r="CY26" s="153"/>
      <c r="CZ26" s="147"/>
      <c r="DA26" s="150"/>
      <c r="DB26" s="150"/>
      <c r="DC26" s="153"/>
    </row>
  </sheetData>
  <mergeCells count="199">
    <mergeCell ref="AR1:AU1"/>
    <mergeCell ref="AV1:AY1"/>
    <mergeCell ref="AR2:AU2"/>
    <mergeCell ref="AV2:AY2"/>
    <mergeCell ref="AZ2:BC2"/>
    <mergeCell ref="BD2:BG2"/>
    <mergeCell ref="H2:K2"/>
    <mergeCell ref="L2:O2"/>
    <mergeCell ref="P2:S2"/>
    <mergeCell ref="T2:W2"/>
    <mergeCell ref="X2:AA2"/>
    <mergeCell ref="AB2:AE2"/>
    <mergeCell ref="AF2:AI2"/>
    <mergeCell ref="AJ2:AM2"/>
    <mergeCell ref="AN2:AQ2"/>
    <mergeCell ref="CV1:CY1"/>
    <mergeCell ref="CZ1:DC1"/>
    <mergeCell ref="BX1:CA1"/>
    <mergeCell ref="CB1:CE1"/>
    <mergeCell ref="CF1:CI1"/>
    <mergeCell ref="CJ1:CM1"/>
    <mergeCell ref="CN1:CQ1"/>
    <mergeCell ref="CR1:CU1"/>
    <mergeCell ref="AZ1:BC1"/>
    <mergeCell ref="BD1:BG1"/>
    <mergeCell ref="BH1:BK1"/>
    <mergeCell ref="BL1:BO1"/>
    <mergeCell ref="BP1:BS1"/>
    <mergeCell ref="BT1:BW1"/>
    <mergeCell ref="AV3:AY3"/>
    <mergeCell ref="AZ3:BC3"/>
    <mergeCell ref="BD3:BG3"/>
    <mergeCell ref="BH3:BK3"/>
    <mergeCell ref="BL3:BO3"/>
    <mergeCell ref="A1:C3"/>
    <mergeCell ref="H1:K1"/>
    <mergeCell ref="L1:O1"/>
    <mergeCell ref="H3:K3"/>
    <mergeCell ref="L3:O3"/>
    <mergeCell ref="P3:S3"/>
    <mergeCell ref="T3:W3"/>
    <mergeCell ref="X3:AA3"/>
    <mergeCell ref="AB3:AE3"/>
    <mergeCell ref="AF3:AI3"/>
    <mergeCell ref="AJ3:AM3"/>
    <mergeCell ref="AN3:AQ3"/>
    <mergeCell ref="P1:S1"/>
    <mergeCell ref="T1:W1"/>
    <mergeCell ref="X1:AA1"/>
    <mergeCell ref="AB1:AE1"/>
    <mergeCell ref="AF1:AI1"/>
    <mergeCell ref="AJ1:AM1"/>
    <mergeCell ref="AN1:AQ1"/>
    <mergeCell ref="B10:C10"/>
    <mergeCell ref="B11:C11"/>
    <mergeCell ref="B12:C12"/>
    <mergeCell ref="B13:C13"/>
    <mergeCell ref="B14:C14"/>
    <mergeCell ref="B15:C15"/>
    <mergeCell ref="CV3:CY3"/>
    <mergeCell ref="CZ3:DC3"/>
    <mergeCell ref="A4:A18"/>
    <mergeCell ref="B4:C4"/>
    <mergeCell ref="B5:C5"/>
    <mergeCell ref="B6:C6"/>
    <mergeCell ref="B7:C7"/>
    <mergeCell ref="B8:C8"/>
    <mergeCell ref="B9:C9"/>
    <mergeCell ref="CN3:CQ3"/>
    <mergeCell ref="CR3:CU3"/>
    <mergeCell ref="BP3:BS3"/>
    <mergeCell ref="BT3:BW3"/>
    <mergeCell ref="BX3:CA3"/>
    <mergeCell ref="CB3:CE3"/>
    <mergeCell ref="CF3:CI3"/>
    <mergeCell ref="CJ3:CM3"/>
    <mergeCell ref="AR3:AU3"/>
    <mergeCell ref="H23:H26"/>
    <mergeCell ref="I23:I26"/>
    <mergeCell ref="J23:J26"/>
    <mergeCell ref="K23:K26"/>
    <mergeCell ref="L23:L26"/>
    <mergeCell ref="M23:M26"/>
    <mergeCell ref="B16:C16"/>
    <mergeCell ref="B18:C18"/>
    <mergeCell ref="B19:G19"/>
    <mergeCell ref="B20:G20"/>
    <mergeCell ref="B21:G21"/>
    <mergeCell ref="D23:D26"/>
    <mergeCell ref="E23:E26"/>
    <mergeCell ref="F23:F26"/>
    <mergeCell ref="G23:G26"/>
    <mergeCell ref="B17:C17"/>
    <mergeCell ref="T23:T26"/>
    <mergeCell ref="U23:U26"/>
    <mergeCell ref="V23:V26"/>
    <mergeCell ref="W23:W26"/>
    <mergeCell ref="X23:X26"/>
    <mergeCell ref="Y23:Y26"/>
    <mergeCell ref="N23:N26"/>
    <mergeCell ref="O23:O26"/>
    <mergeCell ref="P23:P26"/>
    <mergeCell ref="Q23:Q26"/>
    <mergeCell ref="R23:R26"/>
    <mergeCell ref="S23:S26"/>
    <mergeCell ref="AF23:AF26"/>
    <mergeCell ref="AG23:AG26"/>
    <mergeCell ref="AH23:AH26"/>
    <mergeCell ref="AI23:AI26"/>
    <mergeCell ref="AJ23:AJ26"/>
    <mergeCell ref="AK23:AK26"/>
    <mergeCell ref="Z23:Z26"/>
    <mergeCell ref="AA23:AA26"/>
    <mergeCell ref="AB23:AB26"/>
    <mergeCell ref="AC23:AC26"/>
    <mergeCell ref="AD23:AD26"/>
    <mergeCell ref="AE23:AE26"/>
    <mergeCell ref="AR23:AR26"/>
    <mergeCell ref="AS23:AS26"/>
    <mergeCell ref="AT23:AT26"/>
    <mergeCell ref="AU23:AU26"/>
    <mergeCell ref="AV23:AV26"/>
    <mergeCell ref="AW23:AW26"/>
    <mergeCell ref="AL23:AL26"/>
    <mergeCell ref="AM23:AM26"/>
    <mergeCell ref="AN23:AN26"/>
    <mergeCell ref="AO23:AO26"/>
    <mergeCell ref="AP23:AP26"/>
    <mergeCell ref="AQ23:AQ26"/>
    <mergeCell ref="BD23:BD26"/>
    <mergeCell ref="BE23:BE26"/>
    <mergeCell ref="BF23:BF26"/>
    <mergeCell ref="BG23:BG26"/>
    <mergeCell ref="BH23:BH26"/>
    <mergeCell ref="BI23:BI26"/>
    <mergeCell ref="AX23:AX26"/>
    <mergeCell ref="AY23:AY26"/>
    <mergeCell ref="AZ23:AZ26"/>
    <mergeCell ref="BA23:BA26"/>
    <mergeCell ref="BB23:BB26"/>
    <mergeCell ref="BC23:BC26"/>
    <mergeCell ref="BP23:BP26"/>
    <mergeCell ref="BQ23:BQ26"/>
    <mergeCell ref="BR23:BR26"/>
    <mergeCell ref="BS23:BS26"/>
    <mergeCell ref="BT23:BT26"/>
    <mergeCell ref="BU23:BU26"/>
    <mergeCell ref="BJ23:BJ26"/>
    <mergeCell ref="BK23:BK26"/>
    <mergeCell ref="BL23:BL26"/>
    <mergeCell ref="BM23:BM26"/>
    <mergeCell ref="BN23:BN26"/>
    <mergeCell ref="BO23:BO26"/>
    <mergeCell ref="CB23:CB26"/>
    <mergeCell ref="CC23:CC26"/>
    <mergeCell ref="CD23:CD26"/>
    <mergeCell ref="CE23:CE26"/>
    <mergeCell ref="CF23:CF26"/>
    <mergeCell ref="CG23:CG26"/>
    <mergeCell ref="BV23:BV26"/>
    <mergeCell ref="BW23:BW26"/>
    <mergeCell ref="BX23:BX26"/>
    <mergeCell ref="BY23:BY26"/>
    <mergeCell ref="BZ23:BZ26"/>
    <mergeCell ref="CA23:CA26"/>
    <mergeCell ref="CN23:CN26"/>
    <mergeCell ref="CO23:CO26"/>
    <mergeCell ref="CP23:CP26"/>
    <mergeCell ref="CQ23:CQ26"/>
    <mergeCell ref="CR23:CR26"/>
    <mergeCell ref="CS23:CS26"/>
    <mergeCell ref="CH23:CH26"/>
    <mergeCell ref="CI23:CI26"/>
    <mergeCell ref="CJ23:CJ26"/>
    <mergeCell ref="CK23:CK26"/>
    <mergeCell ref="CL23:CL26"/>
    <mergeCell ref="CM23:CM26"/>
    <mergeCell ref="CZ23:CZ26"/>
    <mergeCell ref="DA23:DA26"/>
    <mergeCell ref="DB23:DB26"/>
    <mergeCell ref="DC23:DC26"/>
    <mergeCell ref="CT23:CT26"/>
    <mergeCell ref="CU23:CU26"/>
    <mergeCell ref="CV23:CV26"/>
    <mergeCell ref="CW23:CW26"/>
    <mergeCell ref="CX23:CX26"/>
    <mergeCell ref="CY23:CY26"/>
    <mergeCell ref="CN2:CQ2"/>
    <mergeCell ref="CR2:CU2"/>
    <mergeCell ref="CV2:CY2"/>
    <mergeCell ref="D2:G2"/>
    <mergeCell ref="BH2:BK2"/>
    <mergeCell ref="BL2:BO2"/>
    <mergeCell ref="BP2:BS2"/>
    <mergeCell ref="BT2:BW2"/>
    <mergeCell ref="BX2:CA2"/>
    <mergeCell ref="CB2:CE2"/>
    <mergeCell ref="CF2:CI2"/>
    <mergeCell ref="CJ2:CM2"/>
  </mergeCells>
  <hyperlinks>
    <hyperlink ref="A1:C3" location="Equipos!A1" display="Equipos!A1" xr:uid="{00000000-0004-0000-0D00-000000000000}"/>
    <hyperlink ref="A4:A18" location="Jugadores!A1" display="Jugador" xr:uid="{809149AD-A98C-4746-B804-CE47E85A7D03}"/>
  </hyperlinks>
  <pageMargins left="0.7" right="0.7" top="0.75" bottom="0.75" header="0.3" footer="0.3"/>
  <pageSetup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Z180"/>
  <sheetViews>
    <sheetView topLeftCell="Y1" zoomScaleNormal="100" workbookViewId="0">
      <pane ySplit="2" topLeftCell="A3" activePane="bottomLeft" state="frozen"/>
      <selection pane="bottomLeft" activeCell="Z1" sqref="Z1:Z2"/>
    </sheetView>
  </sheetViews>
  <sheetFormatPr baseColWidth="10" defaultColWidth="11.5703125" defaultRowHeight="15.75" x14ac:dyDescent="0.25"/>
  <cols>
    <col min="1" max="1" width="13" style="1" customWidth="1"/>
    <col min="2" max="2" width="14" style="54" customWidth="1"/>
    <col min="3" max="3" width="7.85546875" style="56" customWidth="1"/>
    <col min="4" max="4" width="16" style="1" customWidth="1"/>
    <col min="5" max="5" width="12.140625" style="1" bestFit="1" customWidth="1"/>
    <col min="6" max="6" width="5.140625" style="1" customWidth="1"/>
    <col min="7" max="7" width="17.7109375" style="1" bestFit="1" customWidth="1"/>
    <col min="8" max="8" width="4.28515625" style="1" customWidth="1"/>
    <col min="9" max="9" width="3.85546875" style="1" bestFit="1" customWidth="1"/>
    <col min="10" max="11" width="4.140625" style="1" customWidth="1"/>
    <col min="12" max="12" width="2.28515625" style="1" bestFit="1" customWidth="1"/>
    <col min="13" max="13" width="4.28515625" style="1" customWidth="1"/>
    <col min="14" max="14" width="2.28515625" style="1" bestFit="1" customWidth="1"/>
    <col min="15" max="15" width="4.85546875" style="1" customWidth="1"/>
    <col min="16" max="16" width="16" style="1" customWidth="1"/>
    <col min="17" max="17" width="5.42578125" style="1" customWidth="1"/>
    <col min="18" max="18" width="3.85546875" style="1" bestFit="1" customWidth="1"/>
    <col min="19" max="19" width="5.7109375" style="1" customWidth="1"/>
    <col min="20" max="20" width="3.140625" style="1" bestFit="1" customWidth="1"/>
    <col min="21" max="23" width="2.5703125" style="1" bestFit="1" customWidth="1"/>
    <col min="24" max="24" width="6.28515625" style="1" customWidth="1"/>
    <col min="25" max="26" width="11.5703125" style="1"/>
    <col min="27" max="27" width="4.140625" style="1" customWidth="1"/>
    <col min="28" max="28" width="5.42578125" style="1" customWidth="1"/>
    <col min="29" max="29" width="17.7109375" style="1" customWidth="1"/>
    <col min="30" max="31" width="5.5703125" style="1" bestFit="1" customWidth="1"/>
    <col min="32" max="32" width="2.7109375" style="1" customWidth="1"/>
    <col min="33" max="33" width="3.42578125" style="1" customWidth="1"/>
    <col min="34" max="34" width="4" style="1" customWidth="1"/>
    <col min="35" max="35" width="4.140625" style="1" customWidth="1"/>
    <col min="36" max="37" width="5.5703125" style="1" bestFit="1" customWidth="1"/>
    <col min="38" max="38" width="6" style="1" customWidth="1"/>
    <col min="39" max="39" width="8.5703125" style="1" customWidth="1"/>
    <col min="40" max="40" width="5.7109375" style="1" customWidth="1"/>
    <col min="41" max="41" width="6.85546875" style="1" customWidth="1"/>
    <col min="42" max="42" width="17.28515625" style="1" customWidth="1"/>
    <col min="43" max="43" width="3.5703125" style="1" customWidth="1"/>
    <col min="44" max="44" width="3.85546875" style="1" customWidth="1"/>
    <col min="45" max="45" width="2.5703125" style="1" bestFit="1" customWidth="1"/>
    <col min="46" max="46" width="3.5703125" style="1" bestFit="1" customWidth="1"/>
    <col min="47" max="47" width="3.7109375" style="1" bestFit="1" customWidth="1"/>
    <col min="48" max="48" width="4.7109375" style="1" customWidth="1"/>
    <col min="49" max="49" width="4.28515625" style="1" bestFit="1" customWidth="1"/>
    <col min="50" max="50" width="5.5703125" style="1" customWidth="1"/>
    <col min="51" max="51" width="4.140625" style="1" customWidth="1"/>
    <col min="52" max="52" width="10.28515625" style="1" customWidth="1"/>
    <col min="53" max="16384" width="11.5703125" style="1"/>
  </cols>
  <sheetData>
    <row r="1" spans="1:51" s="54" customFormat="1" ht="16.5" thickBot="1" x14ac:dyDescent="0.3">
      <c r="A1" s="54">
        <f ca="1">+TODAY()</f>
        <v>45873</v>
      </c>
      <c r="B1" s="52">
        <f ca="1">NOW()</f>
        <v>45873.932464120371</v>
      </c>
      <c r="C1" s="56" t="str">
        <f ca="1">CONCATENATE(E1,":",F1,":",G1," Horas")</f>
        <v>22:22:45 Horas</v>
      </c>
      <c r="D1" s="55">
        <f ca="1">TIME(E1,F1,0)</f>
        <v>0.93194444444444446</v>
      </c>
      <c r="E1" s="55">
        <f ca="1">HOUR(B1)</f>
        <v>22</v>
      </c>
      <c r="F1" s="55">
        <f ca="1">MINUTE(B1)</f>
        <v>22</v>
      </c>
      <c r="G1" s="55">
        <f ca="1">SECOND(B1)</f>
        <v>45</v>
      </c>
      <c r="Z1" s="218" t="s">
        <v>243</v>
      </c>
      <c r="AA1" s="215" t="s">
        <v>234</v>
      </c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</row>
    <row r="2" spans="1:51" ht="16.5" thickBot="1" x14ac:dyDescent="0.3">
      <c r="A2" s="38" t="s">
        <v>112</v>
      </c>
      <c r="B2" s="53" t="s">
        <v>100</v>
      </c>
      <c r="C2" s="57" t="s">
        <v>108</v>
      </c>
      <c r="D2" s="38" t="s">
        <v>109</v>
      </c>
      <c r="E2" s="38" t="s">
        <v>113</v>
      </c>
      <c r="F2" s="39" t="s">
        <v>107</v>
      </c>
      <c r="G2" s="39" t="s">
        <v>101</v>
      </c>
      <c r="H2" s="39" t="s">
        <v>120</v>
      </c>
      <c r="I2" s="39" t="s">
        <v>110</v>
      </c>
      <c r="J2" s="39" t="s">
        <v>111</v>
      </c>
      <c r="K2" s="39" t="s">
        <v>115</v>
      </c>
      <c r="L2" s="39" t="s">
        <v>116</v>
      </c>
      <c r="M2" s="39" t="s">
        <v>117</v>
      </c>
      <c r="N2" s="39" t="s">
        <v>118</v>
      </c>
      <c r="O2" s="38" t="s">
        <v>119</v>
      </c>
      <c r="P2" s="39" t="s">
        <v>102</v>
      </c>
      <c r="Q2" s="39" t="s">
        <v>120</v>
      </c>
      <c r="R2" s="39" t="s">
        <v>110</v>
      </c>
      <c r="S2" s="39" t="s">
        <v>111</v>
      </c>
      <c r="T2" s="39" t="s">
        <v>115</v>
      </c>
      <c r="U2" s="39" t="s">
        <v>116</v>
      </c>
      <c r="V2" s="39" t="s">
        <v>117</v>
      </c>
      <c r="W2" s="39" t="s">
        <v>118</v>
      </c>
      <c r="X2" s="38" t="s">
        <v>119</v>
      </c>
      <c r="Y2" s="38"/>
      <c r="Z2" s="218"/>
      <c r="AA2" s="40" t="s">
        <v>122</v>
      </c>
      <c r="AB2"/>
      <c r="AC2" s="41" t="s">
        <v>2</v>
      </c>
      <c r="AD2" s="40" t="s">
        <v>127</v>
      </c>
      <c r="AE2" s="40" t="s">
        <v>115</v>
      </c>
      <c r="AF2" s="40" t="s">
        <v>116</v>
      </c>
      <c r="AG2" s="40" t="s">
        <v>117</v>
      </c>
      <c r="AH2" s="40" t="s">
        <v>123</v>
      </c>
      <c r="AI2" s="40" t="s">
        <v>124</v>
      </c>
      <c r="AJ2" s="40" t="s">
        <v>125</v>
      </c>
      <c r="AK2" s="40" t="s">
        <v>119</v>
      </c>
      <c r="AL2" s="40" t="s">
        <v>126</v>
      </c>
      <c r="AP2" s="41" t="s">
        <v>2</v>
      </c>
      <c r="AQ2" s="40" t="s">
        <v>127</v>
      </c>
      <c r="AR2" s="40" t="s">
        <v>115</v>
      </c>
      <c r="AS2" s="40" t="s">
        <v>116</v>
      </c>
      <c r="AT2" s="40" t="s">
        <v>117</v>
      </c>
      <c r="AU2" s="40" t="s">
        <v>123</v>
      </c>
      <c r="AV2" s="40" t="s">
        <v>124</v>
      </c>
      <c r="AW2" s="40" t="s">
        <v>125</v>
      </c>
      <c r="AX2" s="40" t="s">
        <v>119</v>
      </c>
      <c r="AY2" s="40" t="s">
        <v>126</v>
      </c>
    </row>
    <row r="3" spans="1:51" ht="16.5" thickBot="1" x14ac:dyDescent="0.3">
      <c r="A3" s="217" t="s">
        <v>5</v>
      </c>
      <c r="B3" s="60">
        <f>IF(Fixture!C2,Fixture!C2,"")</f>
        <v>45676</v>
      </c>
      <c r="C3" s="58">
        <v>0.33333333333333331</v>
      </c>
      <c r="D3" s="82" t="str">
        <f ca="1">IF(OR(B3="",C3="",B3&lt;$A$1),"Finalizado",IF(B3=$A$1,IF(AND(C3&lt;=$D$1,$D$1&lt;=(C3+0.08333333333)),"En juego",IF($A$1&lt;C3,"HOY!","Finalizado")),IF($D$1&gt;B3,"Finalizado","Proximamente..")))</f>
        <v>Finalizado</v>
      </c>
      <c r="E3" s="216" t="s">
        <v>114</v>
      </c>
      <c r="F3" s="43">
        <f>+Fixture!B2</f>
        <v>1</v>
      </c>
      <c r="G3" s="42" t="str">
        <f>IF(VLOOKUP(F3,Fixture!$B$2:$F$137,3,FALSE)&lt;&gt;0,VLOOKUP(F3,Fixture!$B$2:$F$137,3,FALSE),"")</f>
        <v>Atalanta</v>
      </c>
      <c r="H3" s="44">
        <f ca="1">IF($D3="Finalizado",_xlfn.XLOOKUP(G3,Resumen!A6:A22,Resumen!B6:B22,0),"")</f>
        <v>1</v>
      </c>
      <c r="I3" s="44">
        <f ca="1">IF($D3="Finalizado",_xlfn.XLOOKUP(G3,Resumen!$A$6:$A$22,Resumen!C$6:C$22,0),"")</f>
        <v>0</v>
      </c>
      <c r="J3" s="44">
        <f ca="1">IF($D3="Finalizado",_xlfn.XLOOKUP(G3,Resumen!$A$6:$A$22,Resumen!D$6:D$22,0)+_xlfn.XLOOKUP(G3,Resumen!$A$6:$A$22,Resumen!E$6:E$22,0),"")</f>
        <v>0</v>
      </c>
      <c r="K3" s="44">
        <f t="shared" ref="K3:K75" ca="1" si="0">IF(D3="Finalizado",IF(H3&gt;Q3,1,0),"")</f>
        <v>0</v>
      </c>
      <c r="L3" s="44">
        <f t="shared" ref="L3:L38" ca="1" si="1">IF(D3="Finalizado",IF(H3=Q3,1,0),"")</f>
        <v>0</v>
      </c>
      <c r="M3" s="44">
        <f t="shared" ref="M3:M38" ca="1" si="2">IF(D3="Finalizado",IF(H3&lt;Q3,1,0),"")</f>
        <v>1</v>
      </c>
      <c r="N3" s="44">
        <f t="shared" ref="N3:N38" ca="1" si="3">IF(D3="Finalizado",1,"")</f>
        <v>1</v>
      </c>
      <c r="O3" s="45">
        <f t="shared" ref="O3:O38" ca="1" si="4">IF(D3="Finalizado",SUM(I3*5,J3*10),"")</f>
        <v>0</v>
      </c>
      <c r="P3" s="42" t="str">
        <f>IF(VLOOKUP(F3,Fixture!$B$2:$F$137,5,FALSE)&lt;&gt;0,VLOOKUP(F3,Fixture!$B$2:$F$137,5,FALSE),"")</f>
        <v>La Amistad</v>
      </c>
      <c r="Q3" s="44">
        <f ca="1">IF($D3="Finalizado",_xlfn.XLOOKUP(P3,Resumen!$A$6:$A$22,Resumen!B$6:B$22,0),"")</f>
        <v>4</v>
      </c>
      <c r="R3" s="44">
        <f ca="1">IF($D3="Finalizado",_xlfn.XLOOKUP(P3,Resumen!$A$6:$A$22,Resumen!C$6:C$22,0),"")</f>
        <v>0</v>
      </c>
      <c r="S3" s="44">
        <f ca="1">IF($D3="Finalizado",_xlfn.XLOOKUP(P3,Resumen!$A$6:$A$22,Resumen!D$6:D$22,0)+_xlfn.XLOOKUP(P3,Resumen!$A$6:$A$22,Resumen!E$6:E$22,0),"")</f>
        <v>0</v>
      </c>
      <c r="T3" s="44">
        <f t="shared" ref="T3:T10" ca="1" si="5">IF(D3="Finalizado",IF(Q3&gt;H3,1,0),"")</f>
        <v>1</v>
      </c>
      <c r="U3" s="44">
        <f ca="1">IF(D3="Finalizado",IF(Q3=H3,1,0),"")</f>
        <v>0</v>
      </c>
      <c r="V3" s="44">
        <f ca="1">IF(D3="Finalizado",IF(Q3&lt;H3,1,0),"")</f>
        <v>0</v>
      </c>
      <c r="W3" s="44">
        <f t="shared" ref="W3:W10" ca="1" si="6">IF(D3="Finalizado",1,"")</f>
        <v>1</v>
      </c>
      <c r="X3" s="45">
        <f t="shared" ref="X3:X10" ca="1" si="7">IF(D3="Finalizado",SUM(R3*5,S3*10),"")</f>
        <v>0</v>
      </c>
      <c r="Y3" s="216" t="str">
        <f>+A3</f>
        <v>Fecha 1</v>
      </c>
      <c r="AA3" s="19" t="s">
        <v>41</v>
      </c>
      <c r="AB3"/>
      <c r="AC3" s="46" t="str">
        <f ca="1">VLOOKUP(AZ36,$AO$36:$AP$51,2,FALSE)</f>
        <v>La Unión FC</v>
      </c>
      <c r="AD3">
        <f ca="1">VLOOKUP($AC3,$AP$36:$AX$51,2,FALSE)</f>
        <v>22</v>
      </c>
      <c r="AE3">
        <f ca="1">VLOOKUP($AC3,$AP$36:$AX$51,3,FALSE)</f>
        <v>16</v>
      </c>
      <c r="AF3">
        <f ca="1">VLOOKUP($AC3,$AP$36:$AX$51,4,FALSE)</f>
        <v>4</v>
      </c>
      <c r="AG3">
        <f ca="1">VLOOKUP($AC3,$AP$36:$AX$51,5,FALSE)</f>
        <v>2</v>
      </c>
      <c r="AH3">
        <f ca="1">VLOOKUP($AC3,$AP$36:$AX$51,6,FALSE)</f>
        <v>118</v>
      </c>
      <c r="AI3">
        <f ca="1">VLOOKUP($AC3,$AP$36:$AX$51,7,FALSE)</f>
        <v>57</v>
      </c>
      <c r="AJ3">
        <f ca="1">VLOOKUP($AC3,$AP$36:$AX$51,8,FALSE)</f>
        <v>61</v>
      </c>
      <c r="AK3">
        <f ca="1">VLOOKUP($AC3,$AP$36:$AY$51,9,FALSE)</f>
        <v>205</v>
      </c>
      <c r="AL3">
        <f ca="1">VLOOKUP($AC3,$AP$36:$AY$51,10,FALSE)</f>
        <v>52</v>
      </c>
    </row>
    <row r="4" spans="1:51" ht="16.5" thickBot="1" x14ac:dyDescent="0.3">
      <c r="A4" s="213"/>
      <c r="B4" s="60">
        <f>IF(Fixture!C3,Fixture!C3,"")</f>
        <v>45676</v>
      </c>
      <c r="C4" s="58">
        <v>0.38194444444444442</v>
      </c>
      <c r="D4" s="82" t="str">
        <f t="shared" ref="D4:D67" ca="1" si="8">IF(OR(B4="",C4="",B4&lt;$A$1),"Finalizado",IF(B4=$A$1,IF(AND(C4&lt;=$D$1,$D$1&lt;=(C4+0.08333333333)),"En juego",IF($A$1&lt;C4,"HOY!","Finalizado")),IF($D$1&gt;B4,"Finalizado","Proximamente..")))</f>
        <v>Finalizado</v>
      </c>
      <c r="E4" s="207"/>
      <c r="F4" s="43">
        <f>+Fixture!B3</f>
        <v>2</v>
      </c>
      <c r="G4" s="42" t="str">
        <f>IF(VLOOKUP(F4,Fixture!$B$2:$F$137,3,FALSE)&lt;&gt;0,VLOOKUP(F4,Fixture!$B$2:$F$137,3,FALSE),"")</f>
        <v>Rayos FC</v>
      </c>
      <c r="H4" s="44">
        <f ca="1">IF($D4="Finalizado",_xlfn.XLOOKUP(G4,Resumen!$A$6:$A$22,Resumen!B$6:B$22,0),"")</f>
        <v>0</v>
      </c>
      <c r="I4" s="44">
        <f ca="1">IF($D4="Finalizado",_xlfn.XLOOKUP(G4,Resumen!$A$6:$A$22,Resumen!C$6:C$22,0),"")</f>
        <v>1</v>
      </c>
      <c r="J4" s="44">
        <f ca="1">IF($D4="Finalizado",_xlfn.XLOOKUP(G4,Resumen!$A$6:$A$22,Resumen!D$6:D$22,0)+_xlfn.XLOOKUP(G4,Resumen!$A$6:$A$22,Resumen!E$6:E$22,0),"")</f>
        <v>0</v>
      </c>
      <c r="K4" s="44">
        <f t="shared" ca="1" si="0"/>
        <v>0</v>
      </c>
      <c r="L4" s="44">
        <f t="shared" ca="1" si="1"/>
        <v>0</v>
      </c>
      <c r="M4" s="44">
        <f t="shared" ca="1" si="2"/>
        <v>1</v>
      </c>
      <c r="N4" s="44">
        <f t="shared" ca="1" si="3"/>
        <v>1</v>
      </c>
      <c r="O4" s="45">
        <f t="shared" ca="1" si="4"/>
        <v>5</v>
      </c>
      <c r="P4" s="42" t="str">
        <f>IF(VLOOKUP(F4,Fixture!$B$2:$F$137,5,FALSE)&lt;&gt;0,VLOOKUP(F4,Fixture!$B$2:$F$137,5,FALSE),"")</f>
        <v>Ron Star</v>
      </c>
      <c r="Q4" s="44">
        <f ca="1">IF($D4="Finalizado",_xlfn.XLOOKUP(P4,Resumen!$A$6:$A$22,Resumen!B$6:B$22,0),"")</f>
        <v>3</v>
      </c>
      <c r="R4" s="44">
        <f ca="1">IF($D4="Finalizado",_xlfn.XLOOKUP(P4,Resumen!$A$6:$A$22,Resumen!C$6:C$22,0),"")</f>
        <v>0</v>
      </c>
      <c r="S4" s="44">
        <f ca="1">IF($D4="Finalizado",_xlfn.XLOOKUP(P4,Resumen!$A$6:$A$22,Resumen!D$6:D$22,0)+_xlfn.XLOOKUP(P4,Resumen!$A$6:$A$22,Resumen!E$6:E$22,0),"")</f>
        <v>0</v>
      </c>
      <c r="T4" s="44">
        <f t="shared" ca="1" si="5"/>
        <v>1</v>
      </c>
      <c r="U4" s="44">
        <f t="shared" ref="U4:U11" ca="1" si="9">IF(D4="Finalizado",IF(Q4=H4,1,0),"")</f>
        <v>0</v>
      </c>
      <c r="V4" s="44">
        <f t="shared" ref="V4:V11" ca="1" si="10">IF(D4="Finalizado",IF(Q4&lt;H4,1,0),"")</f>
        <v>0</v>
      </c>
      <c r="W4" s="44">
        <f t="shared" ca="1" si="6"/>
        <v>1</v>
      </c>
      <c r="X4" s="45">
        <f t="shared" ca="1" si="7"/>
        <v>0</v>
      </c>
      <c r="Y4" s="207"/>
      <c r="AA4" s="19" t="s">
        <v>42</v>
      </c>
      <c r="AB4"/>
      <c r="AC4" s="46" t="str">
        <f t="shared" ref="AC4:AC18" ca="1" si="11">VLOOKUP(AZ37,$AO$36:$AP$51,2,FALSE)</f>
        <v>Ron Star</v>
      </c>
      <c r="AD4">
        <f t="shared" ref="AD4:AD18" ca="1" si="12">VLOOKUP($AC4,$AP$36:$AX$51,2,FALSE)</f>
        <v>24</v>
      </c>
      <c r="AE4">
        <f t="shared" ref="AE4:AE18" ca="1" si="13">VLOOKUP($AC4,$AP$36:$AX$51,3,FALSE)</f>
        <v>16</v>
      </c>
      <c r="AF4">
        <f t="shared" ref="AF4:AF18" ca="1" si="14">VLOOKUP($AC4,$AP$36:$AX$51,4,FALSE)</f>
        <v>3</v>
      </c>
      <c r="AG4">
        <f t="shared" ref="AG4:AG18" ca="1" si="15">VLOOKUP($AC4,$AP$36:$AX$51,5,FALSE)</f>
        <v>5</v>
      </c>
      <c r="AH4">
        <f t="shared" ref="AH4:AH18" ca="1" si="16">VLOOKUP($AC4,$AP$36:$AX$51,6,FALSE)</f>
        <v>101</v>
      </c>
      <c r="AI4">
        <f t="shared" ref="AI4:AI18" ca="1" si="17">VLOOKUP($AC4,$AP$36:$AX$51,7,FALSE)</f>
        <v>53</v>
      </c>
      <c r="AJ4">
        <f t="shared" ref="AJ4:AJ18" ca="1" si="18">VLOOKUP($AC4,$AP$36:$AX$51,8,FALSE)</f>
        <v>48</v>
      </c>
      <c r="AK4">
        <f t="shared" ref="AK4:AK18" ca="1" si="19">VLOOKUP($AC4,$AP$36:$AY$51,9,FALSE)</f>
        <v>90</v>
      </c>
      <c r="AL4">
        <f t="shared" ref="AL4:AL18" ca="1" si="20">VLOOKUP($AC4,$AP$36:$AY$51,10,FALSE)</f>
        <v>51</v>
      </c>
    </row>
    <row r="5" spans="1:51" ht="16.5" thickBot="1" x14ac:dyDescent="0.3">
      <c r="A5" s="213"/>
      <c r="B5" s="60">
        <f>IF(Fixture!C4,Fixture!C4,"")</f>
        <v>45676</v>
      </c>
      <c r="C5" s="58">
        <v>0.43055555555555602</v>
      </c>
      <c r="D5" s="82" t="str">
        <f t="shared" ca="1" si="8"/>
        <v>Finalizado</v>
      </c>
      <c r="E5" s="207"/>
      <c r="F5" s="43">
        <f>+Fixture!B4</f>
        <v>3</v>
      </c>
      <c r="G5" s="42" t="str">
        <f>IF(VLOOKUP(F5,Fixture!$B$2:$F$137,3,FALSE)&lt;&gt;0,VLOOKUP(F5,Fixture!$B$2:$F$137,3,FALSE),"")</f>
        <v>Deportivo Fénix</v>
      </c>
      <c r="H5" s="44">
        <f ca="1">IF($D5="Finalizado",_xlfn.XLOOKUP(G5,Resumen!$A$6:$A$22,Resumen!B$6:B$22,0),"")</f>
        <v>4</v>
      </c>
      <c r="I5" s="44">
        <f ca="1">IF($D5="Finalizado",_xlfn.XLOOKUP(G5,Resumen!$A$6:$A$22,Resumen!C$6:C$22,0),"")</f>
        <v>0</v>
      </c>
      <c r="J5" s="44">
        <f ca="1">IF($D5="Finalizado",_xlfn.XLOOKUP(G5,Resumen!$A$6:$A$22,Resumen!D$6:D$22,0)+_xlfn.XLOOKUP(G5,Resumen!$A$6:$A$22,Resumen!E$6:E$22,0),"")</f>
        <v>0</v>
      </c>
      <c r="K5" s="44">
        <f t="shared" ca="1" si="0"/>
        <v>1</v>
      </c>
      <c r="L5" s="44">
        <f t="shared" ca="1" si="1"/>
        <v>0</v>
      </c>
      <c r="M5" s="44">
        <f t="shared" ca="1" si="2"/>
        <v>0</v>
      </c>
      <c r="N5" s="44">
        <f t="shared" ca="1" si="3"/>
        <v>1</v>
      </c>
      <c r="O5" s="45">
        <f t="shared" ca="1" si="4"/>
        <v>0</v>
      </c>
      <c r="P5" s="42" t="str">
        <f>IF(VLOOKUP(F5,Fixture!$B$2:$F$137,5,FALSE)&lt;&gt;0,VLOOKUP(F5,Fixture!$B$2:$F$137,5,FALSE),"")</f>
        <v>Amenadim</v>
      </c>
      <c r="Q5" s="44">
        <f ca="1">IF($D5="Finalizado",_xlfn.XLOOKUP(P5,Resumen!$A$6:$A$22,Resumen!B$6:B$22,0),"")</f>
        <v>3</v>
      </c>
      <c r="R5" s="44">
        <f ca="1">IF($D5="Finalizado",_xlfn.XLOOKUP(P5,Resumen!$A$6:$A$22,Resumen!C$6:C$22,0),"")</f>
        <v>0</v>
      </c>
      <c r="S5" s="44">
        <f ca="1">IF($D5="Finalizado",_xlfn.XLOOKUP(P5,Resumen!$A$6:$A$22,Resumen!D$6:D$22,0)+_xlfn.XLOOKUP(P5,Resumen!$A$6:$A$22,Resumen!E$6:E$22,0),"")</f>
        <v>0</v>
      </c>
      <c r="T5" s="44">
        <f t="shared" ca="1" si="5"/>
        <v>0</v>
      </c>
      <c r="U5" s="44">
        <f t="shared" ca="1" si="9"/>
        <v>0</v>
      </c>
      <c r="V5" s="44">
        <f t="shared" ca="1" si="10"/>
        <v>1</v>
      </c>
      <c r="W5" s="44">
        <f t="shared" ca="1" si="6"/>
        <v>1</v>
      </c>
      <c r="X5" s="45">
        <f t="shared" ca="1" si="7"/>
        <v>0</v>
      </c>
      <c r="Y5" s="207"/>
      <c r="AA5" s="19" t="s">
        <v>43</v>
      </c>
      <c r="AB5"/>
      <c r="AC5" s="46" t="str">
        <f t="shared" ca="1" si="11"/>
        <v>La Amistad</v>
      </c>
      <c r="AD5">
        <f t="shared" ca="1" si="12"/>
        <v>21</v>
      </c>
      <c r="AE5">
        <f t="shared" ca="1" si="13"/>
        <v>16</v>
      </c>
      <c r="AF5">
        <f t="shared" ca="1" si="14"/>
        <v>2</v>
      </c>
      <c r="AG5">
        <f t="shared" ca="1" si="15"/>
        <v>3</v>
      </c>
      <c r="AH5">
        <f t="shared" ca="1" si="16"/>
        <v>100</v>
      </c>
      <c r="AI5">
        <f t="shared" ca="1" si="17"/>
        <v>43</v>
      </c>
      <c r="AJ5">
        <f t="shared" ca="1" si="18"/>
        <v>57</v>
      </c>
      <c r="AK5">
        <f t="shared" ca="1" si="19"/>
        <v>120</v>
      </c>
      <c r="AL5">
        <f t="shared" ca="1" si="20"/>
        <v>50</v>
      </c>
    </row>
    <row r="6" spans="1:51" ht="16.5" thickBot="1" x14ac:dyDescent="0.3">
      <c r="A6" s="213"/>
      <c r="B6" s="60">
        <f>IF(Fixture!C5,Fixture!C5,"")</f>
        <v>45676</v>
      </c>
      <c r="C6" s="58">
        <v>0.47916666666666602</v>
      </c>
      <c r="D6" s="82" t="str">
        <f t="shared" ca="1" si="8"/>
        <v>Finalizado</v>
      </c>
      <c r="E6" s="207"/>
      <c r="F6" s="43">
        <f>+Fixture!B5</f>
        <v>4</v>
      </c>
      <c r="G6" s="42" t="str">
        <f>IF(VLOOKUP(F6,Fixture!$B$2:$F$137,3,FALSE)&lt;&gt;0,VLOOKUP(F6,Fixture!$B$2:$F$137,3,FALSE),"")</f>
        <v>La Nueva Era</v>
      </c>
      <c r="H6" s="44">
        <f ca="1">IF($D6="Finalizado",_xlfn.XLOOKUP(G6,Resumen!$A$6:$A$22,Resumen!B$6:B$22,0),"")</f>
        <v>2</v>
      </c>
      <c r="I6" s="44">
        <f ca="1">IF($D6="Finalizado",_xlfn.XLOOKUP(G6,Resumen!$A$6:$A$22,Resumen!C$6:C$22,0),"")</f>
        <v>0</v>
      </c>
      <c r="J6" s="44">
        <f ca="1">IF($D6="Finalizado",_xlfn.XLOOKUP(G6,Resumen!$A$6:$A$22,Resumen!D$6:D$22,0)+_xlfn.XLOOKUP(G6,Resumen!$A$6:$A$22,Resumen!E$6:E$22,0),"")</f>
        <v>0</v>
      </c>
      <c r="K6" s="44">
        <f t="shared" ca="1" si="0"/>
        <v>0</v>
      </c>
      <c r="L6" s="44">
        <f t="shared" ca="1" si="1"/>
        <v>0</v>
      </c>
      <c r="M6" s="44">
        <f t="shared" ca="1" si="2"/>
        <v>1</v>
      </c>
      <c r="N6" s="44">
        <f t="shared" ca="1" si="3"/>
        <v>1</v>
      </c>
      <c r="O6" s="45">
        <f t="shared" ca="1" si="4"/>
        <v>0</v>
      </c>
      <c r="P6" s="42" t="str">
        <f>IF(VLOOKUP(F6,Fixture!$B$2:$F$137,5,FALSE)&lt;&gt;0,VLOOKUP(F6,Fixture!$B$2:$F$137,5,FALSE),"")</f>
        <v>Los Amigos</v>
      </c>
      <c r="Q6" s="44">
        <f ca="1">IF($D6="Finalizado",_xlfn.XLOOKUP(P6,Resumen!$A$6:$A$22,Resumen!B$6:B$22,0),"")</f>
        <v>9</v>
      </c>
      <c r="R6" s="44">
        <f ca="1">IF($D6="Finalizado",_xlfn.XLOOKUP(P6,Resumen!$A$6:$A$22,Resumen!C$6:C$22,0),"")</f>
        <v>0</v>
      </c>
      <c r="S6" s="44">
        <f ca="1">IF($D6="Finalizado",_xlfn.XLOOKUP(P6,Resumen!$A$6:$A$22,Resumen!D$6:D$22,0)+_xlfn.XLOOKUP(P6,Resumen!$A$6:$A$22,Resumen!E$6:E$22,0),"")</f>
        <v>0</v>
      </c>
      <c r="T6" s="44">
        <f t="shared" ca="1" si="5"/>
        <v>1</v>
      </c>
      <c r="U6" s="44">
        <f t="shared" ca="1" si="9"/>
        <v>0</v>
      </c>
      <c r="V6" s="44">
        <f t="shared" ca="1" si="10"/>
        <v>0</v>
      </c>
      <c r="W6" s="44">
        <f t="shared" ca="1" si="6"/>
        <v>1</v>
      </c>
      <c r="X6" s="45">
        <f t="shared" ca="1" si="7"/>
        <v>0</v>
      </c>
      <c r="Y6" s="207"/>
      <c r="AA6" s="19" t="s">
        <v>44</v>
      </c>
      <c r="AB6"/>
      <c r="AC6" s="46" t="str">
        <f t="shared" ca="1" si="11"/>
        <v>Los Amigos</v>
      </c>
      <c r="AD6">
        <f t="shared" ca="1" si="12"/>
        <v>24</v>
      </c>
      <c r="AE6">
        <f t="shared" ca="1" si="13"/>
        <v>15</v>
      </c>
      <c r="AF6">
        <f t="shared" ca="1" si="14"/>
        <v>5</v>
      </c>
      <c r="AG6">
        <f t="shared" ca="1" si="15"/>
        <v>4</v>
      </c>
      <c r="AH6">
        <f t="shared" ca="1" si="16"/>
        <v>105</v>
      </c>
      <c r="AI6">
        <f t="shared" ca="1" si="17"/>
        <v>60</v>
      </c>
      <c r="AJ6">
        <f t="shared" ca="1" si="18"/>
        <v>45</v>
      </c>
      <c r="AK6">
        <f t="shared" ca="1" si="19"/>
        <v>135</v>
      </c>
      <c r="AL6">
        <f t="shared" ca="1" si="20"/>
        <v>50</v>
      </c>
    </row>
    <row r="7" spans="1:51" ht="16.5" thickBot="1" x14ac:dyDescent="0.3">
      <c r="A7" s="213"/>
      <c r="B7" s="60">
        <f>IF(Fixture!C6,Fixture!C6,"")</f>
        <v>45676</v>
      </c>
      <c r="C7" s="58">
        <v>0.52777777777777701</v>
      </c>
      <c r="D7" s="82" t="str">
        <f t="shared" ca="1" si="8"/>
        <v>Finalizado</v>
      </c>
      <c r="E7" s="207"/>
      <c r="F7" s="43">
        <f>+Fixture!B6</f>
        <v>5</v>
      </c>
      <c r="G7" s="42" t="str">
        <f>IF(VLOOKUP(F7,Fixture!$B$2:$F$137,3,FALSE)&lt;&gt;0,VLOOKUP(F7,Fixture!$B$2:$F$137,3,FALSE),"")</f>
        <v>Boca Juniors</v>
      </c>
      <c r="H7" s="44">
        <f ca="1">IF($D7="Finalizado",_xlfn.XLOOKUP(G7,Resumen!$A$6:$A$22,Resumen!B$6:B$22,0),"")</f>
        <v>1</v>
      </c>
      <c r="I7" s="44">
        <f ca="1">IF($D7="Finalizado",_xlfn.XLOOKUP(G7,Resumen!$A$6:$A$22,Resumen!C$6:C$22,0),"")</f>
        <v>1</v>
      </c>
      <c r="J7" s="44">
        <f ca="1">IF($D7="Finalizado",_xlfn.XLOOKUP(G7,Resumen!$A$6:$A$22,Resumen!D$6:D$22,0)+_xlfn.XLOOKUP(G7,Resumen!$A$6:$A$22,Resumen!E$6:E$22,0),"")</f>
        <v>0</v>
      </c>
      <c r="K7" s="44">
        <f ca="1">IF(D7="Finalizado",IF(H7&gt;Q7,1,0),"")</f>
        <v>1</v>
      </c>
      <c r="L7" s="44">
        <f t="shared" ca="1" si="1"/>
        <v>0</v>
      </c>
      <c r="M7" s="44">
        <f t="shared" ca="1" si="2"/>
        <v>0</v>
      </c>
      <c r="N7" s="44">
        <f t="shared" ca="1" si="3"/>
        <v>1</v>
      </c>
      <c r="O7" s="45">
        <f t="shared" ca="1" si="4"/>
        <v>5</v>
      </c>
      <c r="P7" s="42" t="str">
        <f>IF(VLOOKUP(F7,Fixture!$B$2:$F$137,5,FALSE)&lt;&gt;0,VLOOKUP(F7,Fixture!$B$2:$F$137,5,FALSE),"")</f>
        <v>Hojas Anchas</v>
      </c>
      <c r="Q7" s="44">
        <f ca="1">IF($D7="Finalizado",_xlfn.XLOOKUP(P7,Resumen!$A$6:$A$22,Resumen!B$6:B$22,0),"")</f>
        <v>0</v>
      </c>
      <c r="R7" s="44">
        <f ca="1">IF($D7="Finalizado",_xlfn.XLOOKUP(P7,Resumen!$A$6:$A$22,Resumen!C$6:C$22,0),"")</f>
        <v>2</v>
      </c>
      <c r="S7" s="44">
        <f ca="1">IF($D7="Finalizado",_xlfn.XLOOKUP(P7,Resumen!$A$6:$A$22,Resumen!D$6:D$22,0)+_xlfn.XLOOKUP(P7,Resumen!$A$6:$A$22,Resumen!E$6:E$22,0),"")</f>
        <v>0</v>
      </c>
      <c r="T7" s="44">
        <f ca="1">IF(D7="Finalizado",IF(Q7&gt;H7,1,0),"")</f>
        <v>0</v>
      </c>
      <c r="U7" s="44">
        <f t="shared" ca="1" si="9"/>
        <v>0</v>
      </c>
      <c r="V7" s="44">
        <f t="shared" ca="1" si="10"/>
        <v>1</v>
      </c>
      <c r="W7" s="44">
        <f t="shared" ca="1" si="6"/>
        <v>1</v>
      </c>
      <c r="X7" s="45">
        <f t="shared" ca="1" si="7"/>
        <v>10</v>
      </c>
      <c r="Y7" s="207"/>
      <c r="AA7" s="19" t="s">
        <v>45</v>
      </c>
      <c r="AB7"/>
      <c r="AC7" s="46" t="str">
        <f t="shared" ca="1" si="11"/>
        <v>Konami</v>
      </c>
      <c r="AD7">
        <f t="shared" ca="1" si="12"/>
        <v>23</v>
      </c>
      <c r="AE7">
        <f t="shared" ca="1" si="13"/>
        <v>15</v>
      </c>
      <c r="AF7">
        <f t="shared" ca="1" si="14"/>
        <v>1</v>
      </c>
      <c r="AG7">
        <f t="shared" ca="1" si="15"/>
        <v>7</v>
      </c>
      <c r="AH7">
        <f t="shared" ca="1" si="16"/>
        <v>75</v>
      </c>
      <c r="AI7">
        <f t="shared" ca="1" si="17"/>
        <v>41</v>
      </c>
      <c r="AJ7">
        <f t="shared" ca="1" si="18"/>
        <v>34</v>
      </c>
      <c r="AK7">
        <f t="shared" ca="1" si="19"/>
        <v>45</v>
      </c>
      <c r="AL7">
        <f t="shared" ca="1" si="20"/>
        <v>46</v>
      </c>
    </row>
    <row r="8" spans="1:51" ht="16.5" thickBot="1" x14ac:dyDescent="0.3">
      <c r="A8" s="213"/>
      <c r="B8" s="60">
        <f>IF(Fixture!C7,Fixture!C7,"")</f>
        <v>45676</v>
      </c>
      <c r="C8" s="58">
        <v>0.57638888888888895</v>
      </c>
      <c r="D8" s="82" t="str">
        <f t="shared" ca="1" si="8"/>
        <v>Finalizado</v>
      </c>
      <c r="E8" s="207"/>
      <c r="F8" s="43">
        <f>+Fixture!B7</f>
        <v>6</v>
      </c>
      <c r="G8" s="42" t="str">
        <f>IF(VLOOKUP(F8,Fixture!$B$2:$F$137,3,FALSE)&lt;&gt;0,VLOOKUP(F8,Fixture!$B$2:$F$137,3,FALSE),"")</f>
        <v>La Unión FC</v>
      </c>
      <c r="H8" s="44">
        <f ca="1">IF($D8="Finalizado",_xlfn.XLOOKUP(G8,Resumen!$A$6:$A$22,Resumen!B$6:B$22,0),"")</f>
        <v>7</v>
      </c>
      <c r="I8" s="44">
        <f ca="1">IF($D8="Finalizado",_xlfn.XLOOKUP(G8,Resumen!$A$6:$A$22,Resumen!C$6:C$22,0),"")</f>
        <v>2</v>
      </c>
      <c r="J8" s="44">
        <f ca="1">IF($D8="Finalizado",_xlfn.XLOOKUP(G8,Resumen!$A$6:$A$22,Resumen!D$6:D$22,0)+_xlfn.XLOOKUP(G8,Resumen!$A$6:$A$22,Resumen!E$6:E$22,0),"")</f>
        <v>0</v>
      </c>
      <c r="K8" s="44">
        <f t="shared" ca="1" si="0"/>
        <v>1</v>
      </c>
      <c r="L8" s="44">
        <f t="shared" ca="1" si="1"/>
        <v>0</v>
      </c>
      <c r="M8" s="44">
        <f t="shared" ca="1" si="2"/>
        <v>0</v>
      </c>
      <c r="N8" s="44">
        <f t="shared" ca="1" si="3"/>
        <v>1</v>
      </c>
      <c r="O8" s="45">
        <f t="shared" ca="1" si="4"/>
        <v>10</v>
      </c>
      <c r="P8" s="42" t="str">
        <f>IF(VLOOKUP(F8,Fixture!$B$2:$F$137,5,FALSE)&lt;&gt;0,VLOOKUP(F8,Fixture!$B$2:$F$137,5,FALSE),"")</f>
        <v>Villanueva</v>
      </c>
      <c r="Q8" s="44">
        <f ca="1">IF($D8="Finalizado",_xlfn.XLOOKUP(P8,Resumen!$A$6:$A$22,Resumen!B$6:B$22,0),"")</f>
        <v>3</v>
      </c>
      <c r="R8" s="44">
        <f ca="1">IF($D8="Finalizado",_xlfn.XLOOKUP(P8,Resumen!$A$6:$A$22,Resumen!C$6:C$22,0),"")</f>
        <v>0</v>
      </c>
      <c r="S8" s="44">
        <f ca="1">IF($D8="Finalizado",_xlfn.XLOOKUP(P8,Resumen!$A$6:$A$22,Resumen!D$6:D$22,0)+_xlfn.XLOOKUP(P8,Resumen!$A$6:$A$22,Resumen!E$6:E$22,0),"")</f>
        <v>1</v>
      </c>
      <c r="T8" s="44">
        <f t="shared" ca="1" si="5"/>
        <v>0</v>
      </c>
      <c r="U8" s="44">
        <f t="shared" ca="1" si="9"/>
        <v>0</v>
      </c>
      <c r="V8" s="44">
        <f t="shared" ca="1" si="10"/>
        <v>1</v>
      </c>
      <c r="W8" s="44">
        <f t="shared" ca="1" si="6"/>
        <v>1</v>
      </c>
      <c r="X8" s="45">
        <f t="shared" ca="1" si="7"/>
        <v>10</v>
      </c>
      <c r="Y8" s="207"/>
      <c r="AA8" s="19" t="s">
        <v>46</v>
      </c>
      <c r="AB8"/>
      <c r="AC8" s="46" t="str">
        <f t="shared" ca="1" si="11"/>
        <v>Valentín FC</v>
      </c>
      <c r="AD8">
        <f t="shared" ca="1" si="12"/>
        <v>24</v>
      </c>
      <c r="AE8">
        <f t="shared" ca="1" si="13"/>
        <v>13</v>
      </c>
      <c r="AF8">
        <f t="shared" ca="1" si="14"/>
        <v>5</v>
      </c>
      <c r="AG8">
        <f t="shared" ca="1" si="15"/>
        <v>6</v>
      </c>
      <c r="AH8">
        <f t="shared" ca="1" si="16"/>
        <v>88</v>
      </c>
      <c r="AI8">
        <f t="shared" ca="1" si="17"/>
        <v>46</v>
      </c>
      <c r="AJ8">
        <f t="shared" ca="1" si="18"/>
        <v>42</v>
      </c>
      <c r="AK8">
        <f t="shared" ca="1" si="19"/>
        <v>230</v>
      </c>
      <c r="AL8">
        <f t="shared" ca="1" si="20"/>
        <v>44</v>
      </c>
    </row>
    <row r="9" spans="1:51" ht="16.5" thickBot="1" x14ac:dyDescent="0.3">
      <c r="A9" s="213"/>
      <c r="B9" s="60">
        <f>IF(Fixture!C8,Fixture!C8,"")</f>
        <v>45809</v>
      </c>
      <c r="C9" s="58">
        <v>0.625</v>
      </c>
      <c r="D9" s="82" t="str">
        <f t="shared" ca="1" si="8"/>
        <v>Finalizado</v>
      </c>
      <c r="E9" s="207"/>
      <c r="F9" s="43">
        <f>+Fixture!B8</f>
        <v>7</v>
      </c>
      <c r="G9" s="42" t="str">
        <f>IF(VLOOKUP(F9,Fixture!$B$2:$F$137,3,FALSE)&lt;&gt;0,VLOOKUP(F9,Fixture!$B$2:$F$137,3,FALSE),"")</f>
        <v>Valentín FC</v>
      </c>
      <c r="H9" s="44">
        <f ca="1">IF($D9="Finalizado",_xlfn.XLOOKUP(G9,Resumen!$A$6:$A$22,Resumen!B$6:B$22,0),"")</f>
        <v>1</v>
      </c>
      <c r="I9" s="44">
        <f ca="1">IF($D9="Finalizado",_xlfn.XLOOKUP(G9,Resumen!$A$6:$A$22,Resumen!C$6:C$22,0),"")</f>
        <v>1</v>
      </c>
      <c r="J9" s="44">
        <f ca="1">IF($D9="Finalizado",_xlfn.XLOOKUP(G9,Resumen!$A$6:$A$22,Resumen!D$6:D$22,0)+_xlfn.XLOOKUP(G9,Resumen!$A$6:$A$22,Resumen!E$6:E$22,0),"")</f>
        <v>0</v>
      </c>
      <c r="K9" s="44">
        <f t="shared" ref="K9" ca="1" si="21">IF(D9="Finalizado",IF(H9&gt;Q9,1,0),"")</f>
        <v>0</v>
      </c>
      <c r="L9" s="44">
        <f t="shared" ref="L9" ca="1" si="22">IF(D9="Finalizado",IF(H9=Q9,1,0),"")</f>
        <v>0</v>
      </c>
      <c r="M9" s="44">
        <f t="shared" ref="M9" ca="1" si="23">IF(D9="Finalizado",IF(H9&lt;Q9,1,0),"")</f>
        <v>1</v>
      </c>
      <c r="N9" s="44">
        <f t="shared" ref="N9" ca="1" si="24">IF(D9="Finalizado",1,"")</f>
        <v>1</v>
      </c>
      <c r="O9" s="45">
        <f t="shared" ref="O9" ca="1" si="25">IF(D9="Finalizado",SUM(I9*5,J9*10),"")</f>
        <v>5</v>
      </c>
      <c r="P9" s="42" t="str">
        <f>IF(VLOOKUP(F9,Fixture!$B$2:$F$137,5,FALSE)&lt;&gt;0,VLOOKUP(F9,Fixture!$B$2:$F$137,5,FALSE),"")</f>
        <v>Los Aliados</v>
      </c>
      <c r="Q9" s="44">
        <f ca="1">IF($D9="Finalizado",_xlfn.XLOOKUP(P9,Resumen!$A$6:$A$22,Resumen!B$6:B$22,0),"")</f>
        <v>2</v>
      </c>
      <c r="R9" s="44">
        <f ca="1">IF($D9="Finalizado",_xlfn.XLOOKUP(P9,Resumen!$A$6:$A$22,Resumen!C$6:C$22,0),"")</f>
        <v>1</v>
      </c>
      <c r="S9" s="44">
        <f ca="1">IF($D9="Finalizado",_xlfn.XLOOKUP(P9,Resumen!$A$6:$A$22,Resumen!D$6:D$22,0)+_xlfn.XLOOKUP(P9,Resumen!$A$6:$A$22,Resumen!E$6:E$22,0),"")</f>
        <v>1</v>
      </c>
      <c r="T9" s="44">
        <f t="shared" ca="1" si="5"/>
        <v>1</v>
      </c>
      <c r="U9" s="44">
        <f t="shared" ca="1" si="9"/>
        <v>0</v>
      </c>
      <c r="V9" s="44">
        <f t="shared" ca="1" si="10"/>
        <v>0</v>
      </c>
      <c r="W9" s="44">
        <f t="shared" ca="1" si="6"/>
        <v>1</v>
      </c>
      <c r="X9" s="45">
        <f t="shared" ca="1" si="7"/>
        <v>15</v>
      </c>
      <c r="Y9" s="207"/>
      <c r="AA9" s="19" t="s">
        <v>47</v>
      </c>
      <c r="AB9"/>
      <c r="AC9" s="46" t="str">
        <f t="shared" ca="1" si="11"/>
        <v>Villanueva</v>
      </c>
      <c r="AD9">
        <f t="shared" ca="1" si="12"/>
        <v>21</v>
      </c>
      <c r="AE9">
        <f t="shared" ca="1" si="13"/>
        <v>13</v>
      </c>
      <c r="AF9">
        <f t="shared" ca="1" si="14"/>
        <v>1</v>
      </c>
      <c r="AG9">
        <f t="shared" ca="1" si="15"/>
        <v>7</v>
      </c>
      <c r="AH9">
        <f t="shared" ca="1" si="16"/>
        <v>71</v>
      </c>
      <c r="AI9">
        <f t="shared" ca="1" si="17"/>
        <v>43</v>
      </c>
      <c r="AJ9">
        <f t="shared" ca="1" si="18"/>
        <v>28</v>
      </c>
      <c r="AK9">
        <f t="shared" ca="1" si="19"/>
        <v>170</v>
      </c>
      <c r="AL9">
        <f t="shared" ca="1" si="20"/>
        <v>40</v>
      </c>
    </row>
    <row r="10" spans="1:51" ht="16.5" thickBot="1" x14ac:dyDescent="0.3">
      <c r="A10" s="214"/>
      <c r="B10" s="60">
        <f>IF(Fixture!C9,Fixture!C9,"")</f>
        <v>45809</v>
      </c>
      <c r="C10" s="58">
        <v>0.67361111111111116</v>
      </c>
      <c r="D10" s="82" t="str">
        <f t="shared" ca="1" si="8"/>
        <v>Finalizado</v>
      </c>
      <c r="E10" s="208"/>
      <c r="F10" s="43">
        <f>+Fixture!B9</f>
        <v>8</v>
      </c>
      <c r="G10" s="42" t="str">
        <f>IF(VLOOKUP(F10,Fixture!$B$2:$F$137,3,FALSE)&lt;&gt;0,VLOOKUP(F10,Fixture!$B$2:$F$137,3,FALSE),"")</f>
        <v>CD El Corozo</v>
      </c>
      <c r="H10" s="48">
        <f ca="1">IF($D10="Finalizado",_xlfn.XLOOKUP(G10,Resumen!$A$6:$A$22,Resumen!B$6:B$22,0),"")</f>
        <v>2</v>
      </c>
      <c r="I10" s="48">
        <f ca="1">IF($D10="Finalizado",_xlfn.XLOOKUP(G10,Resumen!$A$6:$A$22,Resumen!C$6:C$22,0),"")</f>
        <v>1</v>
      </c>
      <c r="J10" s="48">
        <f ca="1">IF($D10="Finalizado",_xlfn.XLOOKUP(G10,Resumen!$A$6:$A$22,Resumen!D$6:D$22,0)+_xlfn.XLOOKUP(G10,Resumen!$A$6:$A$22,Resumen!E$6:E$22,0),"")</f>
        <v>0</v>
      </c>
      <c r="K10" s="48">
        <f t="shared" ca="1" si="0"/>
        <v>0</v>
      </c>
      <c r="L10" s="48">
        <f t="shared" ca="1" si="1"/>
        <v>1</v>
      </c>
      <c r="M10" s="48">
        <f t="shared" ca="1" si="2"/>
        <v>0</v>
      </c>
      <c r="N10" s="48">
        <f t="shared" ca="1" si="3"/>
        <v>1</v>
      </c>
      <c r="O10" s="49">
        <f t="shared" ca="1" si="4"/>
        <v>5</v>
      </c>
      <c r="P10" s="42" t="str">
        <f>IF(VLOOKUP(F10,Fixture!$B$2:$F$137,5,FALSE)&lt;&gt;0,VLOOKUP(F10,Fixture!$B$2:$F$137,5,FALSE),"")</f>
        <v>Konami</v>
      </c>
      <c r="Q10" s="48">
        <f ca="1">IF($D10="Finalizado",_xlfn.XLOOKUP(P10,Resumen!$A$6:$A$22,Resumen!B$6:B$22,0),"")</f>
        <v>2</v>
      </c>
      <c r="R10" s="48">
        <f ca="1">IF($D10="Finalizado",_xlfn.XLOOKUP(P10,Resumen!$A$6:$A$22,Resumen!C$6:C$22,0),"")</f>
        <v>0</v>
      </c>
      <c r="S10" s="48">
        <f ca="1">IF($D10="Finalizado",_xlfn.XLOOKUP(P10,Resumen!$A$6:$A$22,Resumen!D$6:D$22,0)+_xlfn.XLOOKUP(P10,Resumen!$A$6:$A$22,Resumen!E$6:E$22,0),"")</f>
        <v>0</v>
      </c>
      <c r="T10" s="48">
        <f t="shared" ca="1" si="5"/>
        <v>0</v>
      </c>
      <c r="U10" s="48">
        <f t="shared" ca="1" si="9"/>
        <v>1</v>
      </c>
      <c r="V10" s="48">
        <f t="shared" ca="1" si="10"/>
        <v>0</v>
      </c>
      <c r="W10" s="48">
        <f t="shared" ca="1" si="6"/>
        <v>1</v>
      </c>
      <c r="X10" s="49">
        <f t="shared" ca="1" si="7"/>
        <v>0</v>
      </c>
      <c r="Y10" s="208"/>
      <c r="AA10" s="19" t="s">
        <v>48</v>
      </c>
      <c r="AB10"/>
      <c r="AC10" s="46" t="str">
        <f t="shared" ca="1" si="11"/>
        <v>Amenadim</v>
      </c>
      <c r="AD10">
        <f t="shared" ca="1" si="12"/>
        <v>21</v>
      </c>
      <c r="AE10">
        <f t="shared" ca="1" si="13"/>
        <v>10</v>
      </c>
      <c r="AF10">
        <f t="shared" ca="1" si="14"/>
        <v>1</v>
      </c>
      <c r="AG10">
        <f t="shared" ca="1" si="15"/>
        <v>10</v>
      </c>
      <c r="AH10">
        <f t="shared" ca="1" si="16"/>
        <v>70</v>
      </c>
      <c r="AI10">
        <f t="shared" ca="1" si="17"/>
        <v>59</v>
      </c>
      <c r="AJ10">
        <f t="shared" ca="1" si="18"/>
        <v>11</v>
      </c>
      <c r="AK10">
        <f t="shared" ca="1" si="19"/>
        <v>95</v>
      </c>
      <c r="AL10">
        <f t="shared" ca="1" si="20"/>
        <v>31</v>
      </c>
    </row>
    <row r="11" spans="1:51" ht="16.5" thickBot="1" x14ac:dyDescent="0.3">
      <c r="A11" s="212" t="s">
        <v>6</v>
      </c>
      <c r="B11" s="60">
        <f>IF(Fixture!C10,Fixture!C10,"")</f>
        <v>45683</v>
      </c>
      <c r="C11" s="58">
        <v>0.33333333333333331</v>
      </c>
      <c r="D11" s="82" t="str">
        <f t="shared" ca="1" si="8"/>
        <v>Finalizado</v>
      </c>
      <c r="E11" s="206" t="s">
        <v>114</v>
      </c>
      <c r="F11" s="43">
        <f>+Fixture!B10</f>
        <v>9</v>
      </c>
      <c r="G11" s="42" t="str">
        <f>IF(VLOOKUP(F11,Fixture!$B$2:$F$137,3,FALSE)&lt;&gt;0,VLOOKUP(F11,Fixture!$B$2:$F$137,3,FALSE),"")</f>
        <v>Atalanta</v>
      </c>
      <c r="H11" s="44">
        <f ca="1">IF($D11="Finalizado",_xlfn.XLOOKUP(G11,Resumen!$A$6:$A$22,Resumen!F$6:F$22,0),"")</f>
        <v>0</v>
      </c>
      <c r="I11" s="44">
        <f ca="1">IF($D11="Finalizado",_xlfn.XLOOKUP(G11,Resumen!$A$6:$A$22,Resumen!G$6:G$22,0),"")</f>
        <v>1</v>
      </c>
      <c r="J11" s="44">
        <f ca="1">IF($D11="Finalizado",_xlfn.XLOOKUP(G11,Resumen!$A$6:$A$22,Resumen!H$6:H$22,0)+_xlfn.XLOOKUP(G11,Resumen!$A$6:$A$22,Resumen!I$6:I$22,0),"")</f>
        <v>0</v>
      </c>
      <c r="K11" s="44">
        <f t="shared" ca="1" si="0"/>
        <v>0</v>
      </c>
      <c r="L11" s="44">
        <f t="shared" ca="1" si="1"/>
        <v>0</v>
      </c>
      <c r="M11" s="44">
        <f t="shared" ca="1" si="2"/>
        <v>1</v>
      </c>
      <c r="N11" s="44">
        <f t="shared" ca="1" si="3"/>
        <v>1</v>
      </c>
      <c r="O11" s="45">
        <f t="shared" ca="1" si="4"/>
        <v>5</v>
      </c>
      <c r="P11" s="42" t="str">
        <f>IF(VLOOKUP(F11,Fixture!$B$2:$F$137,5,FALSE)&lt;&gt;0,VLOOKUP(F11,Fixture!$B$2:$F$137,5,FALSE),"")</f>
        <v>Konami</v>
      </c>
      <c r="Q11" s="44">
        <f ca="1">IF($D11="Finalizado",_xlfn.XLOOKUP(P11,Resumen!$A$6:$A$22,Resumen!F$6:F$22,0),"")</f>
        <v>4</v>
      </c>
      <c r="R11" s="44">
        <f ca="1">IF($D11="Finalizado",_xlfn.XLOOKUP(P11,Resumen!$A$6:$A$22,Resumen!G$6:G$22,0),"")</f>
        <v>0</v>
      </c>
      <c r="S11" s="44">
        <f ca="1">IF($D11="Finalizado",_xlfn.XLOOKUP(P11,Resumen!$A$6:$A$22,Resumen!H$6:H$22,0)+_xlfn.XLOOKUP(P11,Resumen!$A$6:$A$22,Resumen!I$6:I$22,0),"")</f>
        <v>0</v>
      </c>
      <c r="T11" s="44">
        <f t="shared" ref="T11:T74" ca="1" si="26">IF(D11="Finalizado",IF(Q11&gt;H11,1,0),"")</f>
        <v>1</v>
      </c>
      <c r="U11" s="44">
        <f t="shared" ca="1" si="9"/>
        <v>0</v>
      </c>
      <c r="V11" s="44">
        <f t="shared" ca="1" si="10"/>
        <v>0</v>
      </c>
      <c r="W11" s="44">
        <f t="shared" ref="W11:W74" ca="1" si="27">IF(D11="Finalizado",1,"")</f>
        <v>1</v>
      </c>
      <c r="X11" s="45">
        <f t="shared" ref="X11:X74" ca="1" si="28">IF(D11="Finalizado",SUM(R11*5,S11*10),"")</f>
        <v>0</v>
      </c>
      <c r="Y11" s="206" t="str">
        <f>+A11</f>
        <v>Fecha 2</v>
      </c>
      <c r="AA11" s="19" t="s">
        <v>49</v>
      </c>
      <c r="AB11"/>
      <c r="AC11" s="46" t="str">
        <f t="shared" ca="1" si="11"/>
        <v>Boca Juniors</v>
      </c>
      <c r="AD11">
        <f t="shared" ca="1" si="12"/>
        <v>22</v>
      </c>
      <c r="AE11">
        <f t="shared" ca="1" si="13"/>
        <v>9</v>
      </c>
      <c r="AF11">
        <f t="shared" ca="1" si="14"/>
        <v>1</v>
      </c>
      <c r="AG11">
        <f t="shared" ca="1" si="15"/>
        <v>12</v>
      </c>
      <c r="AH11">
        <f t="shared" ca="1" si="16"/>
        <v>59</v>
      </c>
      <c r="AI11">
        <f t="shared" ca="1" si="17"/>
        <v>65</v>
      </c>
      <c r="AJ11">
        <f t="shared" ca="1" si="18"/>
        <v>-6</v>
      </c>
      <c r="AK11">
        <f t="shared" ca="1" si="19"/>
        <v>185</v>
      </c>
      <c r="AL11">
        <f t="shared" ca="1" si="20"/>
        <v>28</v>
      </c>
    </row>
    <row r="12" spans="1:51" ht="16.5" thickBot="1" x14ac:dyDescent="0.3">
      <c r="A12" s="213"/>
      <c r="B12" s="60">
        <f>IF(Fixture!C11,Fixture!C11,"")</f>
        <v>45683</v>
      </c>
      <c r="C12" s="58">
        <v>0.38194444444444442</v>
      </c>
      <c r="D12" s="82" t="str">
        <f t="shared" ca="1" si="8"/>
        <v>Finalizado</v>
      </c>
      <c r="E12" s="207"/>
      <c r="F12" s="43">
        <f>+Fixture!B11</f>
        <v>10</v>
      </c>
      <c r="G12" s="42" t="str">
        <f>IF(VLOOKUP(F12,Fixture!$B$2:$F$137,3,FALSE)&lt;&gt;0,VLOOKUP(F12,Fixture!$B$2:$F$137,3,FALSE),"")</f>
        <v>Valentín FC</v>
      </c>
      <c r="H12" s="44">
        <f ca="1">IF($D12="Finalizado",_xlfn.XLOOKUP(G12,Resumen!$A$6:$A$22,Resumen!F$6:F$22,0),"")</f>
        <v>9</v>
      </c>
      <c r="I12" s="44">
        <f ca="1">IF($D12="Finalizado",_xlfn.XLOOKUP(G12,Resumen!$A$6:$A$22,Resumen!G$6:G$22,0),"")</f>
        <v>0</v>
      </c>
      <c r="J12" s="44">
        <f ca="1">IF($D12="Finalizado",_xlfn.XLOOKUP(G12,Resumen!$A$6:$A$22,Resumen!H$6:H$22,0)+_xlfn.XLOOKUP(G12,Resumen!$A$6:$A$22,Resumen!I$6:I$22,0),"")</f>
        <v>0</v>
      </c>
      <c r="K12" s="44">
        <f t="shared" ca="1" si="0"/>
        <v>1</v>
      </c>
      <c r="L12" s="44">
        <f t="shared" ca="1" si="1"/>
        <v>0</v>
      </c>
      <c r="M12" s="44">
        <f t="shared" ca="1" si="2"/>
        <v>0</v>
      </c>
      <c r="N12" s="44">
        <f t="shared" ca="1" si="3"/>
        <v>1</v>
      </c>
      <c r="O12" s="45">
        <f t="shared" ca="1" si="4"/>
        <v>0</v>
      </c>
      <c r="P12" s="42" t="str">
        <f>IF(VLOOKUP(F12,Fixture!$B$2:$F$137,5,FALSE)&lt;&gt;0,VLOOKUP(F12,Fixture!$B$2:$F$137,5,FALSE),"")</f>
        <v>La Nueva Era</v>
      </c>
      <c r="Q12" s="44">
        <f ca="1">IF($D12="Finalizado",_xlfn.XLOOKUP(P12,Resumen!$A$6:$A$22,Resumen!F$6:F$22,0),"")</f>
        <v>0</v>
      </c>
      <c r="R12" s="44">
        <f ca="1">IF($D12="Finalizado",_xlfn.XLOOKUP(P12,Resumen!$A$6:$A$22,Resumen!G$6:G$22,0),"")</f>
        <v>0</v>
      </c>
      <c r="S12" s="44">
        <f ca="1">IF($D12="Finalizado",_xlfn.XLOOKUP(P12,Resumen!$A$6:$A$22,Resumen!H$6:H$22,0)+_xlfn.XLOOKUP(P12,Resumen!$A$6:$A$22,Resumen!I$6:I$22,0),"")</f>
        <v>0</v>
      </c>
      <c r="T12" s="44">
        <f t="shared" ca="1" si="26"/>
        <v>0</v>
      </c>
      <c r="U12" s="44">
        <f t="shared" ref="U12:U75" ca="1" si="29">IF(D12="Finalizado",IF(Q12=H12,1,0),"")</f>
        <v>0</v>
      </c>
      <c r="V12" s="44">
        <f t="shared" ref="V12:V75" ca="1" si="30">IF(D12="Finalizado",IF(Q12&lt;H12,1,0),"")</f>
        <v>1</v>
      </c>
      <c r="W12" s="44">
        <f t="shared" ca="1" si="27"/>
        <v>1</v>
      </c>
      <c r="X12" s="45">
        <f t="shared" ca="1" si="28"/>
        <v>0</v>
      </c>
      <c r="Y12" s="207"/>
      <c r="AA12" s="19" t="s">
        <v>240</v>
      </c>
      <c r="AB12"/>
      <c r="AC12" s="46" t="str">
        <f t="shared" ca="1" si="11"/>
        <v>CD El Corozo</v>
      </c>
      <c r="AD12">
        <f t="shared" ca="1" si="12"/>
        <v>21</v>
      </c>
      <c r="AE12">
        <f t="shared" ca="1" si="13"/>
        <v>8</v>
      </c>
      <c r="AF12">
        <f t="shared" ca="1" si="14"/>
        <v>3</v>
      </c>
      <c r="AG12">
        <f t="shared" ca="1" si="15"/>
        <v>10</v>
      </c>
      <c r="AH12">
        <f t="shared" ca="1" si="16"/>
        <v>67</v>
      </c>
      <c r="AI12">
        <f t="shared" ca="1" si="17"/>
        <v>54</v>
      </c>
      <c r="AJ12">
        <f t="shared" ca="1" si="18"/>
        <v>13</v>
      </c>
      <c r="AK12">
        <f t="shared" ca="1" si="19"/>
        <v>240</v>
      </c>
      <c r="AL12">
        <f t="shared" ca="1" si="20"/>
        <v>27</v>
      </c>
    </row>
    <row r="13" spans="1:51" ht="16.5" thickBot="1" x14ac:dyDescent="0.3">
      <c r="A13" s="213"/>
      <c r="B13" s="60">
        <f>IF(Fixture!C12,Fixture!C12,"")</f>
        <v>45683</v>
      </c>
      <c r="C13" s="58">
        <v>0.43055555555555602</v>
      </c>
      <c r="D13" s="82" t="str">
        <f t="shared" ca="1" si="8"/>
        <v>Finalizado</v>
      </c>
      <c r="E13" s="207"/>
      <c r="F13" s="43">
        <f>+Fixture!B12</f>
        <v>11</v>
      </c>
      <c r="G13" s="42" t="str">
        <f>IF(VLOOKUP(F13,Fixture!$B$2:$F$137,3,FALSE)&lt;&gt;0,VLOOKUP(F13,Fixture!$B$2:$F$137,3,FALSE),"")</f>
        <v>Deportivo Fénix</v>
      </c>
      <c r="H13" s="44">
        <f ca="1">IF($D13="Finalizado",_xlfn.XLOOKUP(G13,Resumen!$A$6:$A$22,Resumen!F$6:F$22,0),"")</f>
        <v>5</v>
      </c>
      <c r="I13" s="44">
        <f ca="1">IF($D13="Finalizado",_xlfn.XLOOKUP(G13,Resumen!$A$6:$A$22,Resumen!G$6:G$22,0),"")</f>
        <v>1</v>
      </c>
      <c r="J13" s="44">
        <f ca="1">IF($D13="Finalizado",_xlfn.XLOOKUP(G13,Resumen!$A$6:$A$22,Resumen!H$6:H$22,0)+_xlfn.XLOOKUP(G13,Resumen!$A$6:$A$22,Resumen!I$6:I$22,0),"")</f>
        <v>1</v>
      </c>
      <c r="K13" s="44">
        <f t="shared" ca="1" si="0"/>
        <v>0</v>
      </c>
      <c r="L13" s="44">
        <f t="shared" ca="1" si="1"/>
        <v>1</v>
      </c>
      <c r="M13" s="44">
        <f t="shared" ca="1" si="2"/>
        <v>0</v>
      </c>
      <c r="N13" s="44">
        <f t="shared" ca="1" si="3"/>
        <v>1</v>
      </c>
      <c r="O13" s="45">
        <f t="shared" ca="1" si="4"/>
        <v>15</v>
      </c>
      <c r="P13" s="42" t="str">
        <f>IF(VLOOKUP(F13,Fixture!$B$2:$F$137,5,FALSE)&lt;&gt;0,VLOOKUP(F13,Fixture!$B$2:$F$137,5,FALSE),"")</f>
        <v>Hojas Anchas</v>
      </c>
      <c r="Q13" s="44">
        <f ca="1">IF($D13="Finalizado",_xlfn.XLOOKUP(P13,Resumen!$A$6:$A$22,Resumen!F$6:F$22,0),"")</f>
        <v>5</v>
      </c>
      <c r="R13" s="44">
        <f ca="1">IF($D13="Finalizado",_xlfn.XLOOKUP(P13,Resumen!$A$6:$A$22,Resumen!G$6:G$22,0),"")</f>
        <v>1</v>
      </c>
      <c r="S13" s="44">
        <f ca="1">IF($D13="Finalizado",_xlfn.XLOOKUP(P13,Resumen!$A$6:$A$22,Resumen!H$6:H$22,0)+_xlfn.XLOOKUP(P13,Resumen!$A$6:$A$22,Resumen!I$6:I$22,0),"")</f>
        <v>0</v>
      </c>
      <c r="T13" s="44">
        <f t="shared" ca="1" si="26"/>
        <v>0</v>
      </c>
      <c r="U13" s="44">
        <f t="shared" ca="1" si="29"/>
        <v>1</v>
      </c>
      <c r="V13" s="44">
        <f t="shared" ca="1" si="30"/>
        <v>0</v>
      </c>
      <c r="W13" s="44">
        <f t="shared" ca="1" si="27"/>
        <v>1</v>
      </c>
      <c r="X13" s="45">
        <f t="shared" ca="1" si="28"/>
        <v>5</v>
      </c>
      <c r="Y13" s="207"/>
      <c r="AA13" s="19" t="s">
        <v>241</v>
      </c>
      <c r="AB13"/>
      <c r="AC13" s="46" t="str">
        <f t="shared" ca="1" si="11"/>
        <v>Hojas Anchas</v>
      </c>
      <c r="AD13">
        <f t="shared" ca="1" si="12"/>
        <v>22</v>
      </c>
      <c r="AE13">
        <f t="shared" ca="1" si="13"/>
        <v>6</v>
      </c>
      <c r="AF13">
        <f t="shared" ca="1" si="14"/>
        <v>5</v>
      </c>
      <c r="AG13">
        <f t="shared" ca="1" si="15"/>
        <v>11</v>
      </c>
      <c r="AH13">
        <f t="shared" ca="1" si="16"/>
        <v>66</v>
      </c>
      <c r="AI13">
        <f t="shared" ca="1" si="17"/>
        <v>85</v>
      </c>
      <c r="AJ13">
        <f t="shared" ca="1" si="18"/>
        <v>-19</v>
      </c>
      <c r="AK13">
        <f t="shared" ca="1" si="19"/>
        <v>225</v>
      </c>
      <c r="AL13">
        <f t="shared" ca="1" si="20"/>
        <v>23</v>
      </c>
    </row>
    <row r="14" spans="1:51" ht="16.5" thickBot="1" x14ac:dyDescent="0.3">
      <c r="A14" s="213"/>
      <c r="B14" s="60">
        <f>IF(Fixture!C13,Fixture!C13,"")</f>
        <v>45683</v>
      </c>
      <c r="C14" s="58">
        <v>0.47916666666666602</v>
      </c>
      <c r="D14" s="82" t="str">
        <f t="shared" ca="1" si="8"/>
        <v>Finalizado</v>
      </c>
      <c r="E14" s="207"/>
      <c r="F14" s="43">
        <f>+Fixture!B13</f>
        <v>12</v>
      </c>
      <c r="G14" s="42" t="str">
        <f>IF(VLOOKUP(F14,Fixture!$B$2:$F$137,3,FALSE)&lt;&gt;0,VLOOKUP(F14,Fixture!$B$2:$F$137,3,FALSE),"")</f>
        <v>Rayos FC</v>
      </c>
      <c r="H14" s="44">
        <f ca="1">IF($D14="Finalizado",_xlfn.XLOOKUP(G14,Resumen!$A$6:$A$22,Resumen!F$6:F$22,0),"")</f>
        <v>4</v>
      </c>
      <c r="I14" s="44">
        <f ca="1">IF($D14="Finalizado",_xlfn.XLOOKUP(G14,Resumen!$A$6:$A$22,Resumen!G$6:G$22,0),"")</f>
        <v>1</v>
      </c>
      <c r="J14" s="44">
        <f ca="1">IF($D14="Finalizado",_xlfn.XLOOKUP(G14,Resumen!$A$6:$A$22,Resumen!H$6:H$22,0)+_xlfn.XLOOKUP(G14,Resumen!$A$6:$A$22,Resumen!I$6:I$22,0),"")</f>
        <v>0</v>
      </c>
      <c r="K14" s="44">
        <f t="shared" ca="1" si="0"/>
        <v>1</v>
      </c>
      <c r="L14" s="44">
        <f t="shared" ca="1" si="1"/>
        <v>0</v>
      </c>
      <c r="M14" s="44">
        <f t="shared" ca="1" si="2"/>
        <v>0</v>
      </c>
      <c r="N14" s="44">
        <f t="shared" ca="1" si="3"/>
        <v>1</v>
      </c>
      <c r="O14" s="45">
        <f t="shared" ca="1" si="4"/>
        <v>5</v>
      </c>
      <c r="P14" s="42" t="str">
        <f>IF(VLOOKUP(F14,Fixture!$B$2:$F$137,5,FALSE)&lt;&gt;0,VLOOKUP(F14,Fixture!$B$2:$F$137,5,FALSE),"")</f>
        <v>Amenadim</v>
      </c>
      <c r="Q14" s="44">
        <f ca="1">IF($D14="Finalizado",_xlfn.XLOOKUP(P14,Resumen!$A$6:$A$22,Resumen!F$6:F$22,0),"")</f>
        <v>3</v>
      </c>
      <c r="R14" s="44">
        <f ca="1">IF($D14="Finalizado",_xlfn.XLOOKUP(P14,Resumen!$A$6:$A$22,Resumen!G$6:G$22,0),"")</f>
        <v>0</v>
      </c>
      <c r="S14" s="44">
        <f ca="1">IF($D14="Finalizado",_xlfn.XLOOKUP(P14,Resumen!$A$6:$A$22,Resumen!H$6:H$22,0)+_xlfn.XLOOKUP(P14,Resumen!$A$6:$A$22,Resumen!I$6:I$22,0),"")</f>
        <v>0</v>
      </c>
      <c r="T14" s="44">
        <f t="shared" ca="1" si="26"/>
        <v>0</v>
      </c>
      <c r="U14" s="44">
        <f t="shared" ca="1" si="29"/>
        <v>0</v>
      </c>
      <c r="V14" s="44">
        <f t="shared" ca="1" si="30"/>
        <v>1</v>
      </c>
      <c r="W14" s="44">
        <f t="shared" ca="1" si="27"/>
        <v>1</v>
      </c>
      <c r="X14" s="45">
        <f t="shared" ca="1" si="28"/>
        <v>0</v>
      </c>
      <c r="Y14" s="207"/>
      <c r="AA14" s="19" t="s">
        <v>242</v>
      </c>
      <c r="AB14"/>
      <c r="AC14" s="46" t="str">
        <f t="shared" ca="1" si="11"/>
        <v>Deportivo Fénix</v>
      </c>
      <c r="AD14">
        <f t="shared" ca="1" si="12"/>
        <v>21</v>
      </c>
      <c r="AE14">
        <f t="shared" ca="1" si="13"/>
        <v>7</v>
      </c>
      <c r="AF14">
        <f t="shared" ca="1" si="14"/>
        <v>1</v>
      </c>
      <c r="AG14">
        <f t="shared" ca="1" si="15"/>
        <v>13</v>
      </c>
      <c r="AH14">
        <f t="shared" ca="1" si="16"/>
        <v>54</v>
      </c>
      <c r="AI14">
        <f t="shared" ca="1" si="17"/>
        <v>103</v>
      </c>
      <c r="AJ14">
        <f t="shared" ca="1" si="18"/>
        <v>-49</v>
      </c>
      <c r="AK14">
        <f t="shared" ca="1" si="19"/>
        <v>90</v>
      </c>
      <c r="AL14">
        <f t="shared" ca="1" si="20"/>
        <v>22</v>
      </c>
    </row>
    <row r="15" spans="1:51" ht="16.5" thickBot="1" x14ac:dyDescent="0.3">
      <c r="A15" s="213"/>
      <c r="B15" s="60">
        <f>IF(Fixture!C14,Fixture!C14,"")</f>
        <v>45683</v>
      </c>
      <c r="C15" s="58">
        <v>0.52777777777777701</v>
      </c>
      <c r="D15" s="82" t="str">
        <f t="shared" ca="1" si="8"/>
        <v>Finalizado</v>
      </c>
      <c r="E15" s="207"/>
      <c r="F15" s="43">
        <f>+Fixture!B14</f>
        <v>13</v>
      </c>
      <c r="G15" s="42" t="str">
        <f>IF(VLOOKUP(F15,Fixture!$B$2:$F$137,3,FALSE)&lt;&gt;0,VLOOKUP(F15,Fixture!$B$2:$F$137,3,FALSE),"")</f>
        <v>La Unión FC</v>
      </c>
      <c r="H15" s="44">
        <f ca="1">IF($D15="Finalizado",_xlfn.XLOOKUP(G15,Resumen!$A$6:$A$22,Resumen!F$6:F$22,0),"")</f>
        <v>4</v>
      </c>
      <c r="I15" s="44">
        <f ca="1">IF($D15="Finalizado",_xlfn.XLOOKUP(G15,Resumen!$A$6:$A$22,Resumen!G$6:G$22,0),"")</f>
        <v>0</v>
      </c>
      <c r="J15" s="44">
        <f ca="1">IF($D15="Finalizado",_xlfn.XLOOKUP(G15,Resumen!$A$6:$A$22,Resumen!H$6:H$22,0)+_xlfn.XLOOKUP(G15,Resumen!$A$6:$A$22,Resumen!I$6:I$22,0),"")</f>
        <v>1</v>
      </c>
      <c r="K15" s="44">
        <f t="shared" ca="1" si="0"/>
        <v>1</v>
      </c>
      <c r="L15" s="44">
        <f t="shared" ca="1" si="1"/>
        <v>0</v>
      </c>
      <c r="M15" s="44">
        <f t="shared" ca="1" si="2"/>
        <v>0</v>
      </c>
      <c r="N15" s="44">
        <f t="shared" ca="1" si="3"/>
        <v>1</v>
      </c>
      <c r="O15" s="45">
        <f t="shared" ca="1" si="4"/>
        <v>10</v>
      </c>
      <c r="P15" s="42" t="str">
        <f>IF(VLOOKUP(F15,Fixture!$B$2:$F$137,5,FALSE)&lt;&gt;0,VLOOKUP(F15,Fixture!$B$2:$F$137,5,FALSE),"")</f>
        <v>Ron Star</v>
      </c>
      <c r="Q15" s="44">
        <f ca="1">IF($D15="Finalizado",_xlfn.XLOOKUP(P15,Resumen!$A$6:$A$22,Resumen!F$6:F$22,0),"")</f>
        <v>2</v>
      </c>
      <c r="R15" s="44">
        <f ca="1">IF($D15="Finalizado",_xlfn.XLOOKUP(P15,Resumen!$A$6:$A$22,Resumen!G$6:G$22,0),"")</f>
        <v>1</v>
      </c>
      <c r="S15" s="44">
        <f ca="1">IF($D15="Finalizado",_xlfn.XLOOKUP(P15,Resumen!$A$6:$A$22,Resumen!H$6:H$22,0)+_xlfn.XLOOKUP(P15,Resumen!$A$6:$A$22,Resumen!I$6:I$22,0),"")</f>
        <v>0</v>
      </c>
      <c r="T15" s="44">
        <f t="shared" ca="1" si="26"/>
        <v>0</v>
      </c>
      <c r="U15" s="44">
        <f t="shared" ca="1" si="29"/>
        <v>0</v>
      </c>
      <c r="V15" s="44">
        <f t="shared" ca="1" si="30"/>
        <v>1</v>
      </c>
      <c r="W15" s="44">
        <f t="shared" ca="1" si="27"/>
        <v>1</v>
      </c>
      <c r="X15" s="45">
        <f t="shared" ca="1" si="28"/>
        <v>5</v>
      </c>
      <c r="Y15" s="207"/>
      <c r="AA15" s="19" t="s">
        <v>245</v>
      </c>
      <c r="AB15"/>
      <c r="AC15" s="46" t="str">
        <f t="shared" ca="1" si="11"/>
        <v>Los Aliados</v>
      </c>
      <c r="AD15">
        <f t="shared" ca="1" si="12"/>
        <v>22</v>
      </c>
      <c r="AE15">
        <f t="shared" ca="1" si="13"/>
        <v>4</v>
      </c>
      <c r="AF15">
        <f t="shared" ca="1" si="14"/>
        <v>2</v>
      </c>
      <c r="AG15">
        <f t="shared" ca="1" si="15"/>
        <v>16</v>
      </c>
      <c r="AH15">
        <f t="shared" ca="1" si="16"/>
        <v>39</v>
      </c>
      <c r="AI15">
        <f t="shared" ca="1" si="17"/>
        <v>111</v>
      </c>
      <c r="AJ15">
        <f t="shared" ca="1" si="18"/>
        <v>-72</v>
      </c>
      <c r="AK15">
        <f t="shared" ca="1" si="19"/>
        <v>195</v>
      </c>
      <c r="AL15">
        <f t="shared" ca="1" si="20"/>
        <v>14</v>
      </c>
    </row>
    <row r="16" spans="1:51" ht="16.5" thickBot="1" x14ac:dyDescent="0.3">
      <c r="A16" s="213"/>
      <c r="B16" s="60">
        <f>IF(Fixture!C15,Fixture!C15,"")</f>
        <v>45683</v>
      </c>
      <c r="C16" s="58">
        <v>0.57638888888888895</v>
      </c>
      <c r="D16" s="82" t="str">
        <f t="shared" ca="1" si="8"/>
        <v>Finalizado</v>
      </c>
      <c r="E16" s="207"/>
      <c r="F16" s="43">
        <f>+Fixture!B15</f>
        <v>14</v>
      </c>
      <c r="G16" s="42" t="str">
        <f>IF(VLOOKUP(F16,Fixture!$B$2:$F$137,3,FALSE)&lt;&gt;0,VLOOKUP(F16,Fixture!$B$2:$F$137,3,FALSE),"")</f>
        <v>La Amistad</v>
      </c>
      <c r="H16" s="44">
        <f ca="1">IF($D16="Finalizado",_xlfn.XLOOKUP(G16,Resumen!$A$6:$A$22,Resumen!F$6:F$22,0),"")</f>
        <v>5</v>
      </c>
      <c r="I16" s="44">
        <f ca="1">IF($D16="Finalizado",_xlfn.XLOOKUP(G16,Resumen!$A$6:$A$22,Resumen!G$6:G$22,0),"")</f>
        <v>0</v>
      </c>
      <c r="J16" s="44">
        <f ca="1">IF($D16="Finalizado",_xlfn.XLOOKUP(G16,Resumen!$A$6:$A$22,Resumen!H$6:H$22,0)+_xlfn.XLOOKUP(G16,Resumen!$A$6:$A$22,Resumen!I$6:I$22,0),"")</f>
        <v>0</v>
      </c>
      <c r="K16" s="44">
        <f t="shared" ca="1" si="0"/>
        <v>0</v>
      </c>
      <c r="L16" s="44">
        <f t="shared" ca="1" si="1"/>
        <v>0</v>
      </c>
      <c r="M16" s="44">
        <f t="shared" ca="1" si="2"/>
        <v>1</v>
      </c>
      <c r="N16" s="44">
        <f t="shared" ca="1" si="3"/>
        <v>1</v>
      </c>
      <c r="O16" s="45">
        <f t="shared" ca="1" si="4"/>
        <v>0</v>
      </c>
      <c r="P16" s="42" t="str">
        <f>IF(VLOOKUP(F16,Fixture!$B$2:$F$137,5,FALSE)&lt;&gt;0,VLOOKUP(F16,Fixture!$B$2:$F$137,5,FALSE),"")</f>
        <v>Los Amigos</v>
      </c>
      <c r="Q16" s="44">
        <f ca="1">IF($D16="Finalizado",_xlfn.XLOOKUP(P16,Resumen!$A$6:$A$22,Resumen!F$6:F$22,0),"")</f>
        <v>6</v>
      </c>
      <c r="R16" s="44">
        <f ca="1">IF($D16="Finalizado",_xlfn.XLOOKUP(P16,Resumen!$A$6:$A$22,Resumen!G$6:G$22,0),"")</f>
        <v>1</v>
      </c>
      <c r="S16" s="44">
        <f ca="1">IF($D16="Finalizado",_xlfn.XLOOKUP(P16,Resumen!$A$6:$A$22,Resumen!H$6:H$22,0)+_xlfn.XLOOKUP(P16,Resumen!$A$6:$A$22,Resumen!I$6:I$22,0),"")</f>
        <v>0</v>
      </c>
      <c r="T16" s="44">
        <f t="shared" ca="1" si="26"/>
        <v>1</v>
      </c>
      <c r="U16" s="44">
        <f t="shared" ca="1" si="29"/>
        <v>0</v>
      </c>
      <c r="V16" s="44">
        <f t="shared" ca="1" si="30"/>
        <v>0</v>
      </c>
      <c r="W16" s="44">
        <f t="shared" ca="1" si="27"/>
        <v>1</v>
      </c>
      <c r="X16" s="45">
        <f t="shared" ca="1" si="28"/>
        <v>5</v>
      </c>
      <c r="Y16" s="207"/>
      <c r="AA16" s="19" t="s">
        <v>252</v>
      </c>
      <c r="AB16"/>
      <c r="AC16" s="46" t="str">
        <f t="shared" ca="1" si="11"/>
        <v>Atalanta</v>
      </c>
      <c r="AD16">
        <f t="shared" ca="1" si="12"/>
        <v>22</v>
      </c>
      <c r="AE16">
        <f t="shared" ca="1" si="13"/>
        <v>3</v>
      </c>
      <c r="AF16">
        <f t="shared" ca="1" si="14"/>
        <v>4</v>
      </c>
      <c r="AG16">
        <f t="shared" ca="1" si="15"/>
        <v>15</v>
      </c>
      <c r="AH16">
        <f t="shared" ca="1" si="16"/>
        <v>50</v>
      </c>
      <c r="AI16">
        <f t="shared" ca="1" si="17"/>
        <v>94</v>
      </c>
      <c r="AJ16">
        <f t="shared" ca="1" si="18"/>
        <v>-44</v>
      </c>
      <c r="AK16">
        <f t="shared" ca="1" si="19"/>
        <v>210</v>
      </c>
      <c r="AL16">
        <f t="shared" ca="1" si="20"/>
        <v>13</v>
      </c>
    </row>
    <row r="17" spans="1:38" ht="16.5" thickBot="1" x14ac:dyDescent="0.3">
      <c r="A17" s="213"/>
      <c r="B17" s="60">
        <f>IF(Fixture!C16,Fixture!C16,"")</f>
        <v>45683</v>
      </c>
      <c r="C17" s="58">
        <v>0.625</v>
      </c>
      <c r="D17" s="82" t="str">
        <f t="shared" ca="1" si="8"/>
        <v>Finalizado</v>
      </c>
      <c r="E17" s="207"/>
      <c r="F17" s="43">
        <f>+Fixture!B16</f>
        <v>15</v>
      </c>
      <c r="G17" s="42" t="str">
        <f>IF(VLOOKUP(F17,Fixture!$B$2:$F$137,3,FALSE)&lt;&gt;0,VLOOKUP(F17,Fixture!$B$2:$F$137,3,FALSE),"")</f>
        <v>Boca Juniors</v>
      </c>
      <c r="H17" s="44">
        <f ca="1">IF($D17="Finalizado",_xlfn.XLOOKUP(G17,Resumen!$A$6:$A$22,Resumen!F$6:F$22,0),"")</f>
        <v>12</v>
      </c>
      <c r="I17" s="44">
        <f ca="1">IF($D17="Finalizado",_xlfn.XLOOKUP(G17,Resumen!$A$6:$A$22,Resumen!G$6:G$22,0),"")</f>
        <v>2</v>
      </c>
      <c r="J17" s="44">
        <f ca="1">IF($D17="Finalizado",_xlfn.XLOOKUP(G17,Resumen!$A$6:$A$22,Resumen!H$6:H$22,0)+_xlfn.XLOOKUP(G17,Resumen!$A$6:$A$22,Resumen!I$6:I$22,0),"")</f>
        <v>0</v>
      </c>
      <c r="K17" s="44">
        <f t="shared" ref="K17" ca="1" si="31">IF(D17="Finalizado",IF(H17&gt;Q17,1,0),"")</f>
        <v>1</v>
      </c>
      <c r="L17" s="44">
        <f t="shared" ref="L17" ca="1" si="32">IF(D17="Finalizado",IF(H17=Q17,1,0),"")</f>
        <v>0</v>
      </c>
      <c r="M17" s="44">
        <f t="shared" ref="M17" ca="1" si="33">IF(D17="Finalizado",IF(H17&lt;Q17,1,0),"")</f>
        <v>0</v>
      </c>
      <c r="N17" s="44">
        <f t="shared" ref="N17" ca="1" si="34">IF(D17="Finalizado",1,"")</f>
        <v>1</v>
      </c>
      <c r="O17" s="45">
        <f t="shared" ref="O17" ca="1" si="35">IF(D17="Finalizado",SUM(I17*5,J17*10),"")</f>
        <v>10</v>
      </c>
      <c r="P17" s="42" t="str">
        <f>IF(VLOOKUP(F17,Fixture!$B$2:$F$137,5,FALSE)&lt;&gt;0,VLOOKUP(F17,Fixture!$B$2:$F$137,5,FALSE),"")</f>
        <v>Los Aliados</v>
      </c>
      <c r="Q17" s="44">
        <f ca="1">IF($D17="Finalizado",_xlfn.XLOOKUP(P17,Resumen!$A$6:$A$22,Resumen!F$6:F$22,0),"")</f>
        <v>1</v>
      </c>
      <c r="R17" s="44">
        <f ca="1">IF($D17="Finalizado",_xlfn.XLOOKUP(P17,Resumen!$A$6:$A$22,Resumen!G$6:G$22,0),"")</f>
        <v>1</v>
      </c>
      <c r="S17" s="44">
        <f ca="1">IF($D17="Finalizado",_xlfn.XLOOKUP(P17,Resumen!$A$6:$A$22,Resumen!H$6:H$22,0)+_xlfn.XLOOKUP(P17,Resumen!$A$6:$A$22,Resumen!I$6:I$22,0),"")</f>
        <v>0</v>
      </c>
      <c r="T17" s="44">
        <f t="shared" ca="1" si="26"/>
        <v>0</v>
      </c>
      <c r="U17" s="44">
        <f t="shared" ca="1" si="29"/>
        <v>0</v>
      </c>
      <c r="V17" s="44">
        <f t="shared" ca="1" si="30"/>
        <v>1</v>
      </c>
      <c r="W17" s="44">
        <f t="shared" ca="1" si="27"/>
        <v>1</v>
      </c>
      <c r="X17" s="45">
        <f t="shared" ca="1" si="28"/>
        <v>5</v>
      </c>
      <c r="Y17" s="207"/>
      <c r="AA17" s="19" t="s">
        <v>253</v>
      </c>
      <c r="AB17"/>
      <c r="AC17" s="46" t="str">
        <f t="shared" ca="1" si="11"/>
        <v>La Nueva Era</v>
      </c>
      <c r="AD17">
        <f ca="1">VLOOKUP($AC17,$AP$36:$AX$51,2,FALSE)</f>
        <v>21</v>
      </c>
      <c r="AE17">
        <f t="shared" ca="1" si="13"/>
        <v>4</v>
      </c>
      <c r="AF17">
        <f t="shared" ca="1" si="14"/>
        <v>0</v>
      </c>
      <c r="AG17">
        <f t="shared" ca="1" si="15"/>
        <v>17</v>
      </c>
      <c r="AH17">
        <f t="shared" ca="1" si="16"/>
        <v>38</v>
      </c>
      <c r="AI17">
        <f t="shared" ca="1" si="17"/>
        <v>133</v>
      </c>
      <c r="AJ17">
        <f t="shared" ca="1" si="18"/>
        <v>-95</v>
      </c>
      <c r="AK17">
        <f t="shared" ca="1" si="19"/>
        <v>50</v>
      </c>
      <c r="AL17">
        <f t="shared" ca="1" si="20"/>
        <v>12</v>
      </c>
    </row>
    <row r="18" spans="1:38" ht="16.5" thickBot="1" x14ac:dyDescent="0.3">
      <c r="A18" s="214"/>
      <c r="B18" s="60">
        <f>IF(Fixture!C17,Fixture!C17,"")</f>
        <v>45704</v>
      </c>
      <c r="C18" s="58">
        <v>0.67361111111111105</v>
      </c>
      <c r="D18" s="82" t="str">
        <f t="shared" ca="1" si="8"/>
        <v>Finalizado</v>
      </c>
      <c r="E18" s="208"/>
      <c r="F18" s="43">
        <f>+Fixture!B17</f>
        <v>16</v>
      </c>
      <c r="G18" s="42" t="str">
        <f>IF(VLOOKUP(F18,Fixture!$B$2:$F$137,3,FALSE)&lt;&gt;0,VLOOKUP(F18,Fixture!$B$2:$F$137,3,FALSE),"")</f>
        <v>CD El Corozo</v>
      </c>
      <c r="H18" s="48">
        <f ca="1">IF($D18="Finalizado",_xlfn.XLOOKUP(G18,Resumen!$A$6:$A$22,Resumen!F$6:F$22,0),"")</f>
        <v>2</v>
      </c>
      <c r="I18" s="48">
        <f ca="1">IF($D18="Finalizado",_xlfn.XLOOKUP(G18,Resumen!$A$6:$A$22,Resumen!G$6:G$22,0),"")</f>
        <v>0</v>
      </c>
      <c r="J18" s="48">
        <f ca="1">IF($D18="Finalizado",_xlfn.XLOOKUP(G18,Resumen!$A$6:$A$22,Resumen!H$6:H$22,0)+_xlfn.XLOOKUP(G18,Resumen!$A$6:$A$22,Resumen!I$6:I$22,0),"")</f>
        <v>0</v>
      </c>
      <c r="K18" s="48">
        <f t="shared" ca="1" si="0"/>
        <v>0</v>
      </c>
      <c r="L18" s="48">
        <f t="shared" ca="1" si="1"/>
        <v>0</v>
      </c>
      <c r="M18" s="48">
        <f t="shared" ca="1" si="2"/>
        <v>1</v>
      </c>
      <c r="N18" s="48">
        <f t="shared" ca="1" si="3"/>
        <v>1</v>
      </c>
      <c r="O18" s="49">
        <f t="shared" ca="1" si="4"/>
        <v>0</v>
      </c>
      <c r="P18" s="42" t="str">
        <f>IF(VLOOKUP(F18,Fixture!$B$2:$F$137,5,FALSE)&lt;&gt;0,VLOOKUP(F18,Fixture!$B$2:$F$137,5,FALSE),"")</f>
        <v>Villanueva</v>
      </c>
      <c r="Q18" s="48">
        <f ca="1">IF($D18="Finalizado",_xlfn.XLOOKUP(P18,Resumen!$A$6:$A$22,Resumen!F$6:F$22,0),"")</f>
        <v>3</v>
      </c>
      <c r="R18" s="48">
        <f ca="1">IF($D18="Finalizado",_xlfn.XLOOKUP(P18,Resumen!$A$6:$A$22,Resumen!G$6:G$22,0),"")</f>
        <v>1</v>
      </c>
      <c r="S18" s="48">
        <f ca="1">IF($D18="Finalizado",_xlfn.XLOOKUP(P18,Resumen!$A$6:$A$22,Resumen!H$6:H$22,0)+_xlfn.XLOOKUP(P18,Resumen!$A$6:$A$22,Resumen!I$6:I$22,0),"")</f>
        <v>0</v>
      </c>
      <c r="T18" s="44">
        <f t="shared" ca="1" si="26"/>
        <v>1</v>
      </c>
      <c r="U18" s="44">
        <f t="shared" ca="1" si="29"/>
        <v>0</v>
      </c>
      <c r="V18" s="44">
        <f t="shared" ca="1" si="30"/>
        <v>0</v>
      </c>
      <c r="W18" s="48">
        <f t="shared" ca="1" si="27"/>
        <v>1</v>
      </c>
      <c r="X18" s="49">
        <f t="shared" ca="1" si="28"/>
        <v>5</v>
      </c>
      <c r="Y18" s="208"/>
      <c r="AA18" s="19" t="s">
        <v>383</v>
      </c>
      <c r="AB18"/>
      <c r="AC18" s="46" t="str">
        <f t="shared" ca="1" si="11"/>
        <v>Rayos FC</v>
      </c>
      <c r="AD18">
        <f t="shared" ca="1" si="12"/>
        <v>15</v>
      </c>
      <c r="AE18">
        <f t="shared" ca="1" si="13"/>
        <v>1</v>
      </c>
      <c r="AF18">
        <f t="shared" ca="1" si="14"/>
        <v>0</v>
      </c>
      <c r="AG18">
        <f t="shared" ca="1" si="15"/>
        <v>14</v>
      </c>
      <c r="AH18">
        <f t="shared" ca="1" si="16"/>
        <v>6</v>
      </c>
      <c r="AI18">
        <f t="shared" ca="1" si="17"/>
        <v>50</v>
      </c>
      <c r="AJ18">
        <f t="shared" ca="1" si="18"/>
        <v>-44</v>
      </c>
      <c r="AK18">
        <f t="shared" ca="1" si="19"/>
        <v>370</v>
      </c>
      <c r="AL18">
        <f t="shared" ca="1" si="20"/>
        <v>3</v>
      </c>
    </row>
    <row r="19" spans="1:38" ht="16.5" thickBot="1" x14ac:dyDescent="0.3">
      <c r="A19" s="212" t="s">
        <v>7</v>
      </c>
      <c r="B19" s="60">
        <f>IF(Fixture!C18,Fixture!C18,"")</f>
        <v>45690</v>
      </c>
      <c r="C19" s="58">
        <v>0.33333333333333331</v>
      </c>
      <c r="D19" s="82" t="str">
        <f t="shared" ca="1" si="8"/>
        <v>Finalizado</v>
      </c>
      <c r="E19" s="206" t="s">
        <v>114</v>
      </c>
      <c r="F19" s="43">
        <f>+Fixture!B18</f>
        <v>17</v>
      </c>
      <c r="G19" s="42" t="str">
        <f>IF(VLOOKUP(F19,Fixture!$B$2:$F$137,3,FALSE)&lt;&gt;0,VLOOKUP(F19,Fixture!$B$2:$F$137,3,FALSE),"")</f>
        <v>La Unión FC</v>
      </c>
      <c r="H19" s="44">
        <f ca="1">IF($D19="Finalizado",_xlfn.XLOOKUP(G19,Resumen!$A$6:$A$22,Resumen!J$6:J$22,0),"")</f>
        <v>3</v>
      </c>
      <c r="I19" s="44">
        <f ca="1">IF($D19="Finalizado",_xlfn.XLOOKUP(G19,Resumen!$A$6:$A$22,Resumen!K$6:K$22,0),"")</f>
        <v>3</v>
      </c>
      <c r="J19" s="44">
        <f ca="1">IF($D19="Finalizado",_xlfn.XLOOKUP(G19,Resumen!$A$6:$A$22,Resumen!L$6:L$22,0)+_xlfn.XLOOKUP(G19,Resumen!$A$6:$A$22,Resumen!M$6:M$22,0),"")</f>
        <v>0</v>
      </c>
      <c r="K19" s="44">
        <f t="shared" ca="1" si="0"/>
        <v>1</v>
      </c>
      <c r="L19" s="44">
        <f t="shared" ca="1" si="1"/>
        <v>0</v>
      </c>
      <c r="M19" s="44">
        <f t="shared" ca="1" si="2"/>
        <v>0</v>
      </c>
      <c r="N19" s="44">
        <f t="shared" ca="1" si="3"/>
        <v>1</v>
      </c>
      <c r="O19" s="45">
        <f t="shared" ca="1" si="4"/>
        <v>15</v>
      </c>
      <c r="P19" s="42" t="str">
        <f>IF(VLOOKUP(F19,Fixture!$B$2:$F$137,5,FALSE)&lt;&gt;0,VLOOKUP(F19,Fixture!$B$2:$F$137,5,FALSE),"")</f>
        <v>La Amistad</v>
      </c>
      <c r="Q19" s="44">
        <f ca="1">IF($D19="Finalizado",_xlfn.XLOOKUP(P19,Resumen!$A$6:$A$22,Resumen!J$6:J$22,0),"")</f>
        <v>0</v>
      </c>
      <c r="R19" s="44">
        <f ca="1">IF($D19="Finalizado",_xlfn.XLOOKUP(P19,Resumen!$A$6:$A$22,Resumen!K$6:K$22,0),"")</f>
        <v>0</v>
      </c>
      <c r="S19" s="44">
        <f ca="1">IF($D19="Finalizado",_xlfn.XLOOKUP(P19,Resumen!$A$6:$A$22,Resumen!L$6:L$22,0)+_xlfn.XLOOKUP(P19,Resumen!$A$6:$A$22,Resumen!M$6:M$22,0),"")</f>
        <v>0</v>
      </c>
      <c r="T19" s="44">
        <f t="shared" ca="1" si="26"/>
        <v>0</v>
      </c>
      <c r="U19" s="44">
        <f t="shared" ca="1" si="29"/>
        <v>0</v>
      </c>
      <c r="V19" s="44">
        <f t="shared" ca="1" si="30"/>
        <v>1</v>
      </c>
      <c r="W19" s="44">
        <f t="shared" ca="1" si="27"/>
        <v>1</v>
      </c>
      <c r="X19" s="45">
        <f t="shared" ca="1" si="28"/>
        <v>0</v>
      </c>
      <c r="Y19" s="206" t="str">
        <f>+A19</f>
        <v>Fecha 3</v>
      </c>
      <c r="AA19" s="19"/>
      <c r="AB19"/>
      <c r="AC19" s="46"/>
      <c r="AD19"/>
      <c r="AE19"/>
      <c r="AF19"/>
      <c r="AG19"/>
      <c r="AH19"/>
      <c r="AI19"/>
      <c r="AJ19"/>
      <c r="AK19"/>
      <c r="AL19"/>
    </row>
    <row r="20" spans="1:38" ht="16.5" thickBot="1" x14ac:dyDescent="0.3">
      <c r="A20" s="213"/>
      <c r="B20" s="60">
        <f>IF(Fixture!C19,Fixture!C19,"")</f>
        <v>45690</v>
      </c>
      <c r="C20" s="58">
        <v>0.38194444444444442</v>
      </c>
      <c r="D20" s="82" t="str">
        <f t="shared" ca="1" si="8"/>
        <v>Finalizado</v>
      </c>
      <c r="E20" s="207"/>
      <c r="F20" s="43">
        <f>+Fixture!B19</f>
        <v>18</v>
      </c>
      <c r="G20" s="42" t="str">
        <f>IF(VLOOKUP(F20,Fixture!$B$2:$F$137,3,FALSE)&lt;&gt;0,VLOOKUP(F20,Fixture!$B$2:$F$137,3,FALSE),"")</f>
        <v>Los Aliados</v>
      </c>
      <c r="H20" s="44">
        <f ca="1">IF($D20="Finalizado",_xlfn.XLOOKUP(G20,Resumen!$A$6:$A$22,Resumen!J$6:J$22,0),"")</f>
        <v>0</v>
      </c>
      <c r="I20" s="44">
        <f ca="1">IF($D20="Finalizado",_xlfn.XLOOKUP(G20,Resumen!$A$6:$A$22,Resumen!K$6:K$22,0),"")</f>
        <v>1</v>
      </c>
      <c r="J20" s="44">
        <f ca="1">IF($D20="Finalizado",_xlfn.XLOOKUP(G20,Resumen!$A$6:$A$22,Resumen!L$6:L$22,0)+_xlfn.XLOOKUP(G20,Resumen!$A$6:$A$22,Resumen!M$6:M$22,0),"")</f>
        <v>0</v>
      </c>
      <c r="K20" s="44">
        <f t="shared" ca="1" si="0"/>
        <v>0</v>
      </c>
      <c r="L20" s="44">
        <f t="shared" ca="1" si="1"/>
        <v>0</v>
      </c>
      <c r="M20" s="44">
        <f t="shared" ca="1" si="2"/>
        <v>1</v>
      </c>
      <c r="N20" s="44">
        <f t="shared" ca="1" si="3"/>
        <v>1</v>
      </c>
      <c r="O20" s="45">
        <f t="shared" ca="1" si="4"/>
        <v>5</v>
      </c>
      <c r="P20" s="42" t="str">
        <f>IF(VLOOKUP(F20,Fixture!$B$2:$F$137,5,FALSE)&lt;&gt;0,VLOOKUP(F20,Fixture!$B$2:$F$137,5,FALSE),"")</f>
        <v>Amenadim</v>
      </c>
      <c r="Q20" s="44">
        <f ca="1">IF($D20="Finalizado",_xlfn.XLOOKUP(P20,Resumen!$A$6:$A$22,Resumen!J$6:J$22,0),"")</f>
        <v>10</v>
      </c>
      <c r="R20" s="44">
        <f ca="1">IF($D20="Finalizado",_xlfn.XLOOKUP(P20,Resumen!$A$6:$A$22,Resumen!K$6:K$22,0),"")</f>
        <v>0</v>
      </c>
      <c r="S20" s="44">
        <f ca="1">IF($D20="Finalizado",_xlfn.XLOOKUP(P20,Resumen!$A$6:$A$22,Resumen!L$6:L$22,0)+_xlfn.XLOOKUP(P20,Resumen!$A$6:$A$22,Resumen!M$6:M$22,0),"")</f>
        <v>0</v>
      </c>
      <c r="T20" s="44">
        <f t="shared" ca="1" si="26"/>
        <v>1</v>
      </c>
      <c r="U20" s="44">
        <f t="shared" ca="1" si="29"/>
        <v>0</v>
      </c>
      <c r="V20" s="44">
        <f t="shared" ca="1" si="30"/>
        <v>0</v>
      </c>
      <c r="W20" s="44">
        <f t="shared" ca="1" si="27"/>
        <v>1</v>
      </c>
      <c r="X20" s="45">
        <f t="shared" ca="1" si="28"/>
        <v>0</v>
      </c>
      <c r="Y20" s="207"/>
    </row>
    <row r="21" spans="1:38" ht="16.5" thickBot="1" x14ac:dyDescent="0.3">
      <c r="A21" s="213"/>
      <c r="B21" s="60">
        <f>IF(Fixture!C20,Fixture!C20,"")</f>
        <v>45690</v>
      </c>
      <c r="C21" s="58">
        <v>0.43055555555555602</v>
      </c>
      <c r="D21" s="82" t="str">
        <f t="shared" ca="1" si="8"/>
        <v>Finalizado</v>
      </c>
      <c r="E21" s="207"/>
      <c r="F21" s="43">
        <f>+Fixture!B20</f>
        <v>19</v>
      </c>
      <c r="G21" s="42" t="str">
        <f>IF(VLOOKUP(F21,Fixture!$B$2:$F$137,3,FALSE)&lt;&gt;0,VLOOKUP(F21,Fixture!$B$2:$F$137,3,FALSE),"")</f>
        <v>Valentín FC</v>
      </c>
      <c r="H21" s="44">
        <f ca="1">IF($D21="Finalizado",_xlfn.XLOOKUP(G21,Resumen!$A$6:$A$22,Resumen!J$6:J$22,0),"")</f>
        <v>3</v>
      </c>
      <c r="I21" s="44">
        <f ca="1">IF($D21="Finalizado",_xlfn.XLOOKUP(G21,Resumen!$A$6:$A$22,Resumen!K$6:K$22,0),"")</f>
        <v>2</v>
      </c>
      <c r="J21" s="44">
        <f ca="1">IF($D21="Finalizado",_xlfn.XLOOKUP(G21,Resumen!$A$6:$A$22,Resumen!L$6:L$22,0)+_xlfn.XLOOKUP(G21,Resumen!$A$6:$A$22,Resumen!M$6:M$22,0),"")</f>
        <v>0</v>
      </c>
      <c r="K21" s="44">
        <f t="shared" ref="K21" ca="1" si="36">IF(D21="Finalizado",IF(H21&gt;Q21,1,0),"")</f>
        <v>0</v>
      </c>
      <c r="L21" s="44">
        <f t="shared" ref="L21" ca="1" si="37">IF(D21="Finalizado",IF(H21=Q21,1,0),"")</f>
        <v>1</v>
      </c>
      <c r="M21" s="44">
        <f t="shared" ref="M21" ca="1" si="38">IF(D21="Finalizado",IF(H21&lt;Q21,1,0),"")</f>
        <v>0</v>
      </c>
      <c r="N21" s="44">
        <f t="shared" ref="N21" ca="1" si="39">IF(D21="Finalizado",1,"")</f>
        <v>1</v>
      </c>
      <c r="O21" s="45">
        <f t="shared" ref="O21" ca="1" si="40">IF(D21="Finalizado",SUM(I21*5,J21*10),"")</f>
        <v>10</v>
      </c>
      <c r="P21" s="42" t="str">
        <f>IF(VLOOKUP(F21,Fixture!$B$2:$F$137,5,FALSE)&lt;&gt;0,VLOOKUP(F21,Fixture!$B$2:$F$137,5,FALSE),"")</f>
        <v>Hojas Anchas</v>
      </c>
      <c r="Q21" s="44">
        <f ca="1">IF($D21="Finalizado",_xlfn.XLOOKUP(P21,Resumen!$A$6:$A$22,Resumen!J$6:J$22,0),"")</f>
        <v>3</v>
      </c>
      <c r="R21" s="44">
        <f ca="1">IF($D21="Finalizado",_xlfn.XLOOKUP(P21,Resumen!$A$6:$A$22,Resumen!K$6:K$22,0),"")</f>
        <v>1</v>
      </c>
      <c r="S21" s="44">
        <f ca="1">IF($D21="Finalizado",_xlfn.XLOOKUP(P21,Resumen!$A$6:$A$22,Resumen!L$6:L$22,0)+_xlfn.XLOOKUP(P21,Resumen!$A$6:$A$22,Resumen!M$6:M$22,0),"")</f>
        <v>0</v>
      </c>
      <c r="T21" s="44">
        <f t="shared" ca="1" si="26"/>
        <v>0</v>
      </c>
      <c r="U21" s="44">
        <f t="shared" ca="1" si="29"/>
        <v>1</v>
      </c>
      <c r="V21" s="44">
        <f t="shared" ca="1" si="30"/>
        <v>0</v>
      </c>
      <c r="W21" s="44">
        <f t="shared" ca="1" si="27"/>
        <v>1</v>
      </c>
      <c r="X21" s="45">
        <f t="shared" ca="1" si="28"/>
        <v>5</v>
      </c>
      <c r="Y21" s="207"/>
    </row>
    <row r="22" spans="1:38" ht="16.5" thickBot="1" x14ac:dyDescent="0.3">
      <c r="A22" s="213"/>
      <c r="B22" s="60">
        <f>IF(Fixture!C21,Fixture!C21,"")</f>
        <v>45690</v>
      </c>
      <c r="C22" s="58">
        <v>0.47916666666666602</v>
      </c>
      <c r="D22" s="82" t="str">
        <f t="shared" ca="1" si="8"/>
        <v>Finalizado</v>
      </c>
      <c r="E22" s="207"/>
      <c r="F22" s="43">
        <f>+Fixture!B21</f>
        <v>20</v>
      </c>
      <c r="G22" s="42" t="str">
        <f>IF(VLOOKUP(F22,Fixture!$B$2:$F$137,3,FALSE)&lt;&gt;0,VLOOKUP(F22,Fixture!$B$2:$F$137,3,FALSE),"")</f>
        <v>Boca Juniors</v>
      </c>
      <c r="H22" s="44">
        <f ca="1">IF($D22="Finalizado",_xlfn.XLOOKUP(G22,Resumen!$A$6:$A$22,Resumen!J$6:J$22,0),"")</f>
        <v>3</v>
      </c>
      <c r="I22" s="44">
        <f ca="1">IF($D22="Finalizado",_xlfn.XLOOKUP(G22,Resumen!$A$6:$A$22,Resumen!K$6:K$22,0),"")</f>
        <v>3</v>
      </c>
      <c r="J22" s="44">
        <f ca="1">IF($D22="Finalizado",_xlfn.XLOOKUP(G22,Resumen!$A$6:$A$22,Resumen!L$6:L$22,0)+_xlfn.XLOOKUP(G22,Resumen!$A$6:$A$22,Resumen!M$6:M$22,0),"")</f>
        <v>0</v>
      </c>
      <c r="K22" s="44">
        <f t="shared" ca="1" si="0"/>
        <v>1</v>
      </c>
      <c r="L22" s="44">
        <f t="shared" ca="1" si="1"/>
        <v>0</v>
      </c>
      <c r="M22" s="44">
        <f t="shared" ca="1" si="2"/>
        <v>0</v>
      </c>
      <c r="N22" s="44">
        <f t="shared" ca="1" si="3"/>
        <v>1</v>
      </c>
      <c r="O22" s="45">
        <f t="shared" ca="1" si="4"/>
        <v>15</v>
      </c>
      <c r="P22" s="42" t="str">
        <f>IF(VLOOKUP(F22,Fixture!$B$2:$F$137,5,FALSE)&lt;&gt;0,VLOOKUP(F22,Fixture!$B$2:$F$137,5,FALSE),"")</f>
        <v>Ron Star</v>
      </c>
      <c r="Q22" s="44">
        <f ca="1">IF($D22="Finalizado",_xlfn.XLOOKUP(P22,Resumen!$A$6:$A$22,Resumen!J$6:J$22,0),"")</f>
        <v>1</v>
      </c>
      <c r="R22" s="44">
        <f ca="1">IF($D22="Finalizado",_xlfn.XLOOKUP(P22,Resumen!$A$6:$A$22,Resumen!K$6:K$22,0),"")</f>
        <v>1</v>
      </c>
      <c r="S22" s="44">
        <f ca="1">IF($D22="Finalizado",_xlfn.XLOOKUP(P22,Resumen!$A$6:$A$22,Resumen!L$6:L$22,0)+_xlfn.XLOOKUP(P22,Resumen!$A$6:$A$22,Resumen!M$6:M$22,0),"")</f>
        <v>0</v>
      </c>
      <c r="T22" s="44">
        <f t="shared" ca="1" si="26"/>
        <v>0</v>
      </c>
      <c r="U22" s="44">
        <f t="shared" ca="1" si="29"/>
        <v>0</v>
      </c>
      <c r="V22" s="44">
        <f t="shared" ca="1" si="30"/>
        <v>1</v>
      </c>
      <c r="W22" s="44">
        <f t="shared" ca="1" si="27"/>
        <v>1</v>
      </c>
      <c r="X22" s="45">
        <f t="shared" ca="1" si="28"/>
        <v>5</v>
      </c>
      <c r="Y22" s="207"/>
    </row>
    <row r="23" spans="1:38" ht="16.5" thickBot="1" x14ac:dyDescent="0.3">
      <c r="A23" s="213"/>
      <c r="B23" s="60">
        <f>IF(Fixture!C22,Fixture!C22,"")</f>
        <v>45690</v>
      </c>
      <c r="C23" s="58">
        <v>0.52777777777777701</v>
      </c>
      <c r="D23" s="82" t="str">
        <f t="shared" ca="1" si="8"/>
        <v>Finalizado</v>
      </c>
      <c r="E23" s="207"/>
      <c r="F23" s="43">
        <f>+Fixture!B22</f>
        <v>21</v>
      </c>
      <c r="G23" s="42" t="str">
        <f>IF(VLOOKUP(F23,Fixture!$B$2:$F$137,3,FALSE)&lt;&gt;0,VLOOKUP(F23,Fixture!$B$2:$F$137,3,FALSE),"")</f>
        <v>Atalanta</v>
      </c>
      <c r="H23" s="44">
        <f ca="1">IF($D23="Finalizado",_xlfn.XLOOKUP(G23,Resumen!$A$6:$A$22,Resumen!J$6:J$22,0),"")</f>
        <v>3</v>
      </c>
      <c r="I23" s="44">
        <f ca="1">IF($D23="Finalizado",_xlfn.XLOOKUP(G23,Resumen!$A$6:$A$22,Resumen!K$6:K$22,0),"")</f>
        <v>0</v>
      </c>
      <c r="J23" s="44">
        <f ca="1">IF($D23="Finalizado",_xlfn.XLOOKUP(G23,Resumen!$A$6:$A$22,Resumen!L$6:L$22,0)+_xlfn.XLOOKUP(G23,Resumen!$A$6:$A$22,Resumen!M$6:M$22,0),"")</f>
        <v>0</v>
      </c>
      <c r="K23" s="44">
        <f t="shared" ca="1" si="0"/>
        <v>0</v>
      </c>
      <c r="L23" s="44">
        <f t="shared" ca="1" si="1"/>
        <v>0</v>
      </c>
      <c r="M23" s="44">
        <f t="shared" ca="1" si="2"/>
        <v>1</v>
      </c>
      <c r="N23" s="44">
        <f t="shared" ca="1" si="3"/>
        <v>1</v>
      </c>
      <c r="O23" s="45">
        <f t="shared" ca="1" si="4"/>
        <v>0</v>
      </c>
      <c r="P23" s="42" t="str">
        <f>IF(VLOOKUP(F23,Fixture!$B$2:$F$137,5,FALSE)&lt;&gt;0,VLOOKUP(F23,Fixture!$B$2:$F$137,5,FALSE),"")</f>
        <v>Los Amigos</v>
      </c>
      <c r="Q23" s="44">
        <f ca="1">IF($D23="Finalizado",_xlfn.XLOOKUP(P23,Resumen!$A$6:$A$22,Resumen!J$6:J$22,0),"")</f>
        <v>7</v>
      </c>
      <c r="R23" s="44">
        <f ca="1">IF($D23="Finalizado",_xlfn.XLOOKUP(P23,Resumen!$A$6:$A$22,Resumen!K$6:K$22,0),"")</f>
        <v>0</v>
      </c>
      <c r="S23" s="44">
        <f ca="1">IF($D23="Finalizado",_xlfn.XLOOKUP(P23,Resumen!$A$6:$A$22,Resumen!L$6:L$22,0)+_xlfn.XLOOKUP(P23,Resumen!$A$6:$A$22,Resumen!M$6:M$22,0),"")</f>
        <v>0</v>
      </c>
      <c r="T23" s="44">
        <f t="shared" ca="1" si="26"/>
        <v>1</v>
      </c>
      <c r="U23" s="44">
        <f t="shared" ca="1" si="29"/>
        <v>0</v>
      </c>
      <c r="V23" s="44">
        <f t="shared" ca="1" si="30"/>
        <v>0</v>
      </c>
      <c r="W23" s="44">
        <f t="shared" ca="1" si="27"/>
        <v>1</v>
      </c>
      <c r="X23" s="45">
        <f t="shared" ca="1" si="28"/>
        <v>0</v>
      </c>
      <c r="Y23" s="207"/>
    </row>
    <row r="24" spans="1:38" ht="16.5" thickBot="1" x14ac:dyDescent="0.3">
      <c r="A24" s="213"/>
      <c r="B24" s="60">
        <f>IF(Fixture!C23,Fixture!C23,"")</f>
        <v>45690</v>
      </c>
      <c r="C24" s="58">
        <v>0.57638888888888895</v>
      </c>
      <c r="D24" s="82" t="str">
        <f t="shared" ca="1" si="8"/>
        <v>Finalizado</v>
      </c>
      <c r="E24" s="207"/>
      <c r="F24" s="43">
        <f>+Fixture!B23</f>
        <v>22</v>
      </c>
      <c r="G24" s="42" t="str">
        <f>IF(VLOOKUP(F24,Fixture!$B$2:$F$137,3,FALSE)&lt;&gt;0,VLOOKUP(F24,Fixture!$B$2:$F$137,3,FALSE),"")</f>
        <v>Rayos FC</v>
      </c>
      <c r="H24" s="44">
        <f ca="1">IF($D24="Finalizado",_xlfn.XLOOKUP(G24,Resumen!$A$6:$A$22,Resumen!J$6:J$22,0),"")</f>
        <v>2</v>
      </c>
      <c r="I24" s="44">
        <f ca="1">IF($D24="Finalizado",_xlfn.XLOOKUP(G24,Resumen!$A$6:$A$22,Resumen!K$6:K$22,0),"")</f>
        <v>0</v>
      </c>
      <c r="J24" s="44">
        <f ca="1">IF($D24="Finalizado",_xlfn.XLOOKUP(G24,Resumen!$A$6:$A$22,Resumen!L$6:L$22,0)+_xlfn.XLOOKUP(G24,Resumen!$A$6:$A$22,Resumen!M$6:M$22,0),"")</f>
        <v>0</v>
      </c>
      <c r="K24" s="44">
        <f t="shared" ca="1" si="0"/>
        <v>0</v>
      </c>
      <c r="L24" s="44">
        <f t="shared" ca="1" si="1"/>
        <v>0</v>
      </c>
      <c r="M24" s="44">
        <f t="shared" ca="1" si="2"/>
        <v>1</v>
      </c>
      <c r="N24" s="44">
        <f t="shared" ca="1" si="3"/>
        <v>1</v>
      </c>
      <c r="O24" s="45">
        <f t="shared" ca="1" si="4"/>
        <v>0</v>
      </c>
      <c r="P24" s="42" t="str">
        <f>IF(VLOOKUP(F24,Fixture!$B$2:$F$137,5,FALSE)&lt;&gt;0,VLOOKUP(F24,Fixture!$B$2:$F$137,5,FALSE),"")</f>
        <v>Konami</v>
      </c>
      <c r="Q24" s="44">
        <f ca="1">IF($D24="Finalizado",_xlfn.XLOOKUP(P24,Resumen!$A$6:$A$22,Resumen!J$6:J$22,0),"")</f>
        <v>8</v>
      </c>
      <c r="R24" s="44">
        <f ca="1">IF($D24="Finalizado",_xlfn.XLOOKUP(P24,Resumen!$A$6:$A$22,Resumen!K$6:K$22,0),"")</f>
        <v>0</v>
      </c>
      <c r="S24" s="44">
        <f ca="1">IF($D24="Finalizado",_xlfn.XLOOKUP(P24,Resumen!$A$6:$A$22,Resumen!L$6:L$22,0)+_xlfn.XLOOKUP(P24,Resumen!$A$6:$A$22,Resumen!M$6:M$22,0),"")</f>
        <v>0</v>
      </c>
      <c r="T24" s="44">
        <f t="shared" ca="1" si="26"/>
        <v>1</v>
      </c>
      <c r="U24" s="44">
        <f t="shared" ca="1" si="29"/>
        <v>0</v>
      </c>
      <c r="V24" s="44">
        <f t="shared" ca="1" si="30"/>
        <v>0</v>
      </c>
      <c r="W24" s="44">
        <f t="shared" ca="1" si="27"/>
        <v>1</v>
      </c>
      <c r="X24" s="45">
        <f t="shared" ca="1" si="28"/>
        <v>0</v>
      </c>
      <c r="Y24" s="207"/>
    </row>
    <row r="25" spans="1:38" ht="16.5" thickBot="1" x14ac:dyDescent="0.3">
      <c r="A25" s="213"/>
      <c r="B25" s="60">
        <f>IF(Fixture!C24,Fixture!C24,"")</f>
        <v>45690</v>
      </c>
      <c r="C25" s="58">
        <v>0.625</v>
      </c>
      <c r="D25" s="82" t="str">
        <f t="shared" ca="1" si="8"/>
        <v>Finalizado</v>
      </c>
      <c r="E25" s="207"/>
      <c r="F25" s="43">
        <f>+Fixture!B24</f>
        <v>23</v>
      </c>
      <c r="G25" s="42" t="str">
        <f>IF(VLOOKUP(F25,Fixture!$B$2:$F$137,3,FALSE)&lt;&gt;0,VLOOKUP(F25,Fixture!$B$2:$F$137,3,FALSE),"")</f>
        <v>Deportivo Fénix</v>
      </c>
      <c r="H25" s="44">
        <f ca="1">IF($D25="Finalizado",_xlfn.XLOOKUP(G25,Resumen!$A$6:$A$22,Resumen!J$6:J$22,0),"")</f>
        <v>1</v>
      </c>
      <c r="I25" s="44">
        <f ca="1">IF($D25="Finalizado",_xlfn.XLOOKUP(G25,Resumen!$A$6:$A$22,Resumen!K$6:K$22,0),"")</f>
        <v>0</v>
      </c>
      <c r="J25" s="44">
        <f ca="1">IF($D25="Finalizado",_xlfn.XLOOKUP(G25,Resumen!$A$6:$A$22,Resumen!L$6:L$22,0)+_xlfn.XLOOKUP(G25,Resumen!$A$6:$A$22,Resumen!M$6:M$22,0),"")</f>
        <v>0</v>
      </c>
      <c r="K25" s="44">
        <f t="shared" ref="K25" ca="1" si="41">IF(D25="Finalizado",IF(H25&gt;Q25,1,0),"")</f>
        <v>0</v>
      </c>
      <c r="L25" s="44">
        <f t="shared" ref="L25" ca="1" si="42">IF(D25="Finalizado",IF(H25=Q25,1,0),"")</f>
        <v>0</v>
      </c>
      <c r="M25" s="44">
        <f t="shared" ref="M25" ca="1" si="43">IF(D25="Finalizado",IF(H25&lt;Q25,1,0),"")</f>
        <v>1</v>
      </c>
      <c r="N25" s="44">
        <f t="shared" ref="N25" ca="1" si="44">IF(D25="Finalizado",1,"")</f>
        <v>1</v>
      </c>
      <c r="O25" s="45">
        <f t="shared" ref="O25" ca="1" si="45">IF(D25="Finalizado",SUM(I25*5,J25*10),"")</f>
        <v>0</v>
      </c>
      <c r="P25" s="42" t="str">
        <f>IF(VLOOKUP(F25,Fixture!$B$2:$F$137,5,FALSE)&lt;&gt;0,VLOOKUP(F25,Fixture!$B$2:$F$137,5,FALSE),"")</f>
        <v>Villanueva</v>
      </c>
      <c r="Q25" s="44">
        <f ca="1">IF($D25="Finalizado",_xlfn.XLOOKUP(P25,Resumen!$A$6:$A$22,Resumen!J$6:J$22,0),"")</f>
        <v>10</v>
      </c>
      <c r="R25" s="44">
        <f ca="1">IF($D25="Finalizado",_xlfn.XLOOKUP(P25,Resumen!$A$6:$A$22,Resumen!K$6:K$22,0),"")</f>
        <v>0</v>
      </c>
      <c r="S25" s="44">
        <f ca="1">IF($D25="Finalizado",_xlfn.XLOOKUP(P25,Resumen!$A$6:$A$22,Resumen!L$6:L$22,0)+_xlfn.XLOOKUP(P25,Resumen!$A$6:$A$22,Resumen!M$6:M$22,0),"")</f>
        <v>0</v>
      </c>
      <c r="T25" s="44">
        <f t="shared" ca="1" si="26"/>
        <v>1</v>
      </c>
      <c r="U25" s="44">
        <f t="shared" ca="1" si="29"/>
        <v>0</v>
      </c>
      <c r="V25" s="44">
        <f t="shared" ca="1" si="30"/>
        <v>0</v>
      </c>
      <c r="W25" s="44">
        <f t="shared" ca="1" si="27"/>
        <v>1</v>
      </c>
      <c r="X25" s="45">
        <f t="shared" ca="1" si="28"/>
        <v>0</v>
      </c>
      <c r="Y25" s="207"/>
    </row>
    <row r="26" spans="1:38" ht="16.5" thickBot="1" x14ac:dyDescent="0.3">
      <c r="A26" s="214"/>
      <c r="B26" s="60">
        <f>IF(Fixture!C25,Fixture!C25,"")</f>
        <v>45774</v>
      </c>
      <c r="C26" s="58">
        <v>0.67361111111111105</v>
      </c>
      <c r="D26" s="82" t="str">
        <f t="shared" ca="1" si="8"/>
        <v>Finalizado</v>
      </c>
      <c r="E26" s="208"/>
      <c r="F26" s="43">
        <f>+Fixture!B25</f>
        <v>24</v>
      </c>
      <c r="G26" s="42" t="str">
        <f>IF(VLOOKUP(F26,Fixture!$B$2:$F$137,3,FALSE)&lt;&gt;0,VLOOKUP(F26,Fixture!$B$2:$F$137,3,FALSE),"")</f>
        <v>CD El Corozo</v>
      </c>
      <c r="H26" s="48">
        <f ca="1">IF($D26="Finalizado",_xlfn.XLOOKUP(G26,Resumen!$A$6:$A$22,Resumen!J$6:J$22,0),"")</f>
        <v>18</v>
      </c>
      <c r="I26" s="48">
        <f ca="1">IF($D26="Finalizado",_xlfn.XLOOKUP(G26,Resumen!$A$6:$A$22,Resumen!K$6:K$22,0),"")</f>
        <v>1</v>
      </c>
      <c r="J26" s="48">
        <f ca="1">IF($D26="Finalizado",_xlfn.XLOOKUP(G26,Resumen!$A$6:$A$22,Resumen!L$6:L$22,0)+_xlfn.XLOOKUP(G26,Resumen!$A$6:$A$22,Resumen!M$6:M$22,0),"")</f>
        <v>0</v>
      </c>
      <c r="K26" s="48">
        <f t="shared" ca="1" si="0"/>
        <v>1</v>
      </c>
      <c r="L26" s="48">
        <f t="shared" ca="1" si="1"/>
        <v>0</v>
      </c>
      <c r="M26" s="48">
        <f t="shared" ca="1" si="2"/>
        <v>0</v>
      </c>
      <c r="N26" s="48">
        <f t="shared" ca="1" si="3"/>
        <v>1</v>
      </c>
      <c r="O26" s="49">
        <f t="shared" ca="1" si="4"/>
        <v>5</v>
      </c>
      <c r="P26" s="42" t="str">
        <f>IF(VLOOKUP(F26,Fixture!$B$2:$F$137,5,FALSE)&lt;&gt;0,VLOOKUP(F26,Fixture!$B$2:$F$137,5,FALSE),"")</f>
        <v>La Nueva Era</v>
      </c>
      <c r="Q26" s="48">
        <f ca="1">IF($D26="Finalizado",_xlfn.XLOOKUP(P26,Resumen!$A$6:$A$22,Resumen!J$6:J$22,0),"")</f>
        <v>0</v>
      </c>
      <c r="R26" s="48">
        <f ca="1">IF($D26="Finalizado",_xlfn.XLOOKUP(P26,Resumen!$A$6:$A$22,Resumen!K$6:K$22,0),"")</f>
        <v>2</v>
      </c>
      <c r="S26" s="48">
        <f ca="1">IF($D26="Finalizado",_xlfn.XLOOKUP(P26,Resumen!$A$6:$A$22,Resumen!L$6:L$22,0)+_xlfn.XLOOKUP(P26,Resumen!$A$6:$A$22,Resumen!M$6:M$22,0),"")</f>
        <v>0</v>
      </c>
      <c r="T26" s="44">
        <f t="shared" ca="1" si="26"/>
        <v>0</v>
      </c>
      <c r="U26" s="44">
        <f t="shared" ca="1" si="29"/>
        <v>0</v>
      </c>
      <c r="V26" s="44">
        <f t="shared" ca="1" si="30"/>
        <v>1</v>
      </c>
      <c r="W26" s="48">
        <f t="shared" ca="1" si="27"/>
        <v>1</v>
      </c>
      <c r="X26" s="49">
        <f t="shared" ca="1" si="28"/>
        <v>10</v>
      </c>
      <c r="Y26" s="208"/>
    </row>
    <row r="27" spans="1:38" ht="16.5" thickBot="1" x14ac:dyDescent="0.3">
      <c r="A27" s="212" t="s">
        <v>8</v>
      </c>
      <c r="B27" s="60">
        <f>IF(Fixture!C26,Fixture!C26,"")</f>
        <v>45697</v>
      </c>
      <c r="C27" s="58">
        <v>0.33333333333333331</v>
      </c>
      <c r="D27" s="82" t="str">
        <f t="shared" ca="1" si="8"/>
        <v>Finalizado</v>
      </c>
      <c r="E27" s="206" t="s">
        <v>114</v>
      </c>
      <c r="F27" s="43">
        <f>+Fixture!B26</f>
        <v>25</v>
      </c>
      <c r="G27" s="42" t="str">
        <f>IF(VLOOKUP(F27,Fixture!$B$2:$F$137,3,FALSE)&lt;&gt;0,VLOOKUP(F27,Fixture!$B$2:$F$137,3,FALSE),"")</f>
        <v>Konami</v>
      </c>
      <c r="H27" s="44">
        <f ca="1">IF($D27="Finalizado",_xlfn.XLOOKUP(G27,Resumen!$A$6:$A$22,Resumen!N$6:N$22,0),"")</f>
        <v>6</v>
      </c>
      <c r="I27" s="44">
        <f ca="1">IF($D27="Finalizado",_xlfn.XLOOKUP(G27,Resumen!$A$6:$A$22,Resumen!O$6:O$22,0),"")</f>
        <v>0</v>
      </c>
      <c r="J27" s="44">
        <f ca="1">IF($D27="Finalizado",_xlfn.XLOOKUP(G27,Resumen!$A$6:$A$22,Resumen!P$6:P$22,0)+_xlfn.XLOOKUP(G27,Resumen!$A$6:$A$22,Resumen!Q$6:Q$22,0),"")</f>
        <v>0</v>
      </c>
      <c r="K27" s="44">
        <f t="shared" ca="1" si="0"/>
        <v>1</v>
      </c>
      <c r="L27" s="44">
        <f t="shared" ca="1" si="1"/>
        <v>0</v>
      </c>
      <c r="M27" s="44">
        <f t="shared" ca="1" si="2"/>
        <v>0</v>
      </c>
      <c r="N27" s="44">
        <f t="shared" ca="1" si="3"/>
        <v>1</v>
      </c>
      <c r="O27" s="45">
        <f t="shared" ca="1" si="4"/>
        <v>0</v>
      </c>
      <c r="P27" s="42" t="str">
        <f>IF(VLOOKUP(F27,Fixture!$B$2:$F$137,5,FALSE)&lt;&gt;0,VLOOKUP(F27,Fixture!$B$2:$F$137,5,FALSE),"")</f>
        <v>La Nueva Era</v>
      </c>
      <c r="Q27" s="44">
        <f ca="1">IF($D27="Finalizado",_xlfn.XLOOKUP(P27,Resumen!$A$6:$A$22,Resumen!N$6:N$22,0),"")</f>
        <v>1</v>
      </c>
      <c r="R27" s="44">
        <f ca="1">IF($D27="Finalizado",_xlfn.XLOOKUP(P27,Resumen!$A$6:$A$22,Resumen!O$6:O$22,0),"")</f>
        <v>0</v>
      </c>
      <c r="S27" s="44">
        <f ca="1">IF($D27="Finalizado",_xlfn.XLOOKUP(P27,Resumen!$A$6:$A$22,Resumen!P$6:P$22,0)+_xlfn.XLOOKUP(P27,Resumen!$A$6:$A$22,Resumen!Q$6:Q$22,0),"")</f>
        <v>0</v>
      </c>
      <c r="T27" s="44">
        <f t="shared" ca="1" si="26"/>
        <v>0</v>
      </c>
      <c r="U27" s="44">
        <f t="shared" ca="1" si="29"/>
        <v>0</v>
      </c>
      <c r="V27" s="44">
        <f t="shared" ca="1" si="30"/>
        <v>1</v>
      </c>
      <c r="W27" s="44">
        <f t="shared" ca="1" si="27"/>
        <v>1</v>
      </c>
      <c r="X27" s="45">
        <f t="shared" ca="1" si="28"/>
        <v>0</v>
      </c>
      <c r="Y27" s="206" t="str">
        <f>+A27</f>
        <v>Fecha 4</v>
      </c>
    </row>
    <row r="28" spans="1:38" ht="16.5" thickBot="1" x14ac:dyDescent="0.3">
      <c r="A28" s="213"/>
      <c r="B28" s="60">
        <f>IF(Fixture!C27,Fixture!C27,"")</f>
        <v>45697</v>
      </c>
      <c r="C28" s="58">
        <v>0.38194444444444442</v>
      </c>
      <c r="D28" s="82" t="str">
        <f t="shared" ca="1" si="8"/>
        <v>Finalizado</v>
      </c>
      <c r="E28" s="207"/>
      <c r="F28" s="43">
        <f>+Fixture!B27</f>
        <v>26</v>
      </c>
      <c r="G28" s="42" t="str">
        <f>IF(VLOOKUP(F28,Fixture!$B$2:$F$137,3,FALSE)&lt;&gt;0,VLOOKUP(F28,Fixture!$B$2:$F$137,3,FALSE),"")</f>
        <v>Valentín FC</v>
      </c>
      <c r="H28" s="44">
        <f ca="1">IF($D28="Finalizado",_xlfn.XLOOKUP(G28,Resumen!$A$6:$A$22,Resumen!N$6:N$22,0),"")</f>
        <v>2</v>
      </c>
      <c r="I28" s="44">
        <f ca="1">IF($D28="Finalizado",_xlfn.XLOOKUP(G28,Resumen!$A$6:$A$22,Resumen!O$6:O$22,0),"")</f>
        <v>2</v>
      </c>
      <c r="J28" s="44">
        <f ca="1">IF($D28="Finalizado",_xlfn.XLOOKUP(G28,Resumen!$A$6:$A$22,Resumen!P$6:P$22,0)+_xlfn.XLOOKUP(G28,Resumen!$A$6:$A$22,Resumen!Q$6:Q$22,0),"")</f>
        <v>0</v>
      </c>
      <c r="K28" s="44">
        <f t="shared" ca="1" si="0"/>
        <v>0</v>
      </c>
      <c r="L28" s="44">
        <f t="shared" ca="1" si="1"/>
        <v>1</v>
      </c>
      <c r="M28" s="44">
        <f t="shared" ca="1" si="2"/>
        <v>0</v>
      </c>
      <c r="N28" s="44">
        <f t="shared" ca="1" si="3"/>
        <v>1</v>
      </c>
      <c r="O28" s="45">
        <f t="shared" ca="1" si="4"/>
        <v>10</v>
      </c>
      <c r="P28" s="42" t="str">
        <f>IF(VLOOKUP(F28,Fixture!$B$2:$F$137,5,FALSE)&lt;&gt;0,VLOOKUP(F28,Fixture!$B$2:$F$137,5,FALSE),"")</f>
        <v>La Amistad</v>
      </c>
      <c r="Q28" s="44">
        <f ca="1">IF($D28="Finalizado",_xlfn.XLOOKUP(P28,Resumen!$A$6:$A$22,Resumen!N$6:N$22,0),"")</f>
        <v>2</v>
      </c>
      <c r="R28" s="44">
        <f ca="1">IF($D28="Finalizado",_xlfn.XLOOKUP(P28,Resumen!$A$6:$A$22,Resumen!O$6:O$22,0),"")</f>
        <v>1</v>
      </c>
      <c r="S28" s="44">
        <f ca="1">IF($D28="Finalizado",_xlfn.XLOOKUP(P28,Resumen!$A$6:$A$22,Resumen!P$6:P$22,0)+_xlfn.XLOOKUP(P28,Resumen!$A$6:$A$22,Resumen!Q$6:Q$22,0),"")</f>
        <v>0</v>
      </c>
      <c r="T28" s="44">
        <f t="shared" ca="1" si="26"/>
        <v>0</v>
      </c>
      <c r="U28" s="44">
        <f t="shared" ca="1" si="29"/>
        <v>1</v>
      </c>
      <c r="V28" s="44">
        <f t="shared" ca="1" si="30"/>
        <v>0</v>
      </c>
      <c r="W28" s="44">
        <f t="shared" ca="1" si="27"/>
        <v>1</v>
      </c>
      <c r="X28" s="45">
        <f t="shared" ca="1" si="28"/>
        <v>5</v>
      </c>
      <c r="Y28" s="207"/>
    </row>
    <row r="29" spans="1:38" ht="16.5" thickBot="1" x14ac:dyDescent="0.3">
      <c r="A29" s="213"/>
      <c r="B29" s="60">
        <f>IF(Fixture!C28,Fixture!C28,"")</f>
        <v>45697</v>
      </c>
      <c r="C29" s="58">
        <v>0.43055555555555602</v>
      </c>
      <c r="D29" s="82" t="str">
        <f t="shared" ca="1" si="8"/>
        <v>Finalizado</v>
      </c>
      <c r="E29" s="207"/>
      <c r="F29" s="43">
        <f>+Fixture!B28</f>
        <v>27</v>
      </c>
      <c r="G29" s="42" t="str">
        <f>IF(VLOOKUP(F29,Fixture!$B$2:$F$137,3,FALSE)&lt;&gt;0,VLOOKUP(F29,Fixture!$B$2:$F$137,3,FALSE),"")</f>
        <v>CD El Corozo</v>
      </c>
      <c r="H29" s="44">
        <f ca="1">IF($D29="Finalizado",_xlfn.XLOOKUP(G29,Resumen!$A$6:$A$22,Resumen!N$6:N$22,0),"")</f>
        <v>0</v>
      </c>
      <c r="I29" s="44">
        <f ca="1">IF($D29="Finalizado",_xlfn.XLOOKUP(G29,Resumen!$A$6:$A$22,Resumen!O$6:O$22,0),"")</f>
        <v>1</v>
      </c>
      <c r="J29" s="44">
        <f ca="1">IF($D29="Finalizado",_xlfn.XLOOKUP(G29,Resumen!$A$6:$A$22,Resumen!P$6:P$22,0)+_xlfn.XLOOKUP(G29,Resumen!$A$6:$A$22,Resumen!Q$6:Q$22,0),"")</f>
        <v>0</v>
      </c>
      <c r="K29" s="44">
        <f t="shared" ca="1" si="0"/>
        <v>0</v>
      </c>
      <c r="L29" s="44">
        <f t="shared" ca="1" si="1"/>
        <v>0</v>
      </c>
      <c r="M29" s="44">
        <f t="shared" ca="1" si="2"/>
        <v>1</v>
      </c>
      <c r="N29" s="44">
        <f t="shared" ca="1" si="3"/>
        <v>1</v>
      </c>
      <c r="O29" s="45">
        <f t="shared" ca="1" si="4"/>
        <v>5</v>
      </c>
      <c r="P29" s="42" t="str">
        <f>IF(VLOOKUP(F29,Fixture!$B$2:$F$137,5,FALSE)&lt;&gt;0,VLOOKUP(F29,Fixture!$B$2:$F$137,5,FALSE),"")</f>
        <v>Amenadim</v>
      </c>
      <c r="Q29" s="44">
        <f ca="1">IF($D29="Finalizado",_xlfn.XLOOKUP(P29,Resumen!$A$6:$A$22,Resumen!N$6:N$22,0),"")</f>
        <v>4</v>
      </c>
      <c r="R29" s="44">
        <f ca="1">IF($D29="Finalizado",_xlfn.XLOOKUP(P29,Resumen!$A$6:$A$22,Resumen!O$6:O$22,0),"")</f>
        <v>0</v>
      </c>
      <c r="S29" s="44">
        <f ca="1">IF($D29="Finalizado",_xlfn.XLOOKUP(P29,Resumen!$A$6:$A$22,Resumen!P$6:P$22,0)+_xlfn.XLOOKUP(P29,Resumen!$A$6:$A$22,Resumen!Q$6:Q$22,0),"")</f>
        <v>0</v>
      </c>
      <c r="T29" s="44">
        <f t="shared" ca="1" si="26"/>
        <v>1</v>
      </c>
      <c r="U29" s="44">
        <f t="shared" ca="1" si="29"/>
        <v>0</v>
      </c>
      <c r="V29" s="44">
        <f t="shared" ca="1" si="30"/>
        <v>0</v>
      </c>
      <c r="W29" s="44">
        <f t="shared" ca="1" si="27"/>
        <v>1</v>
      </c>
      <c r="X29" s="45">
        <f t="shared" ca="1" si="28"/>
        <v>0</v>
      </c>
      <c r="Y29" s="207"/>
    </row>
    <row r="30" spans="1:38" ht="16.5" thickBot="1" x14ac:dyDescent="0.3">
      <c r="A30" s="213"/>
      <c r="B30" s="60">
        <f>IF(Fixture!C29,Fixture!C29,"")</f>
        <v>45697</v>
      </c>
      <c r="C30" s="58">
        <v>0.47916666666666602</v>
      </c>
      <c r="D30" s="82" t="str">
        <f t="shared" ca="1" si="8"/>
        <v>Finalizado</v>
      </c>
      <c r="E30" s="207"/>
      <c r="F30" s="43">
        <f>+Fixture!B29</f>
        <v>28</v>
      </c>
      <c r="G30" s="42" t="str">
        <f>IF(VLOOKUP(F30,Fixture!$B$2:$F$137,3,FALSE)&lt;&gt;0,VLOOKUP(F30,Fixture!$B$2:$F$137,3,FALSE),"")</f>
        <v>Rayos FC</v>
      </c>
      <c r="H30" s="44">
        <f ca="1">IF($D30="Finalizado",_xlfn.XLOOKUP(G30,Resumen!$A$6:$A$22,Resumen!N$6:N$22,0),"")</f>
        <v>0</v>
      </c>
      <c r="I30" s="44">
        <f ca="1">IF($D30="Finalizado",_xlfn.XLOOKUP(G30,Resumen!$A$6:$A$22,Resumen!O$6:O$22,0),"")</f>
        <v>0</v>
      </c>
      <c r="J30" s="44">
        <f ca="1">IF($D30="Finalizado",_xlfn.XLOOKUP(G30,Resumen!$A$6:$A$22,Resumen!P$6:P$22,0)+_xlfn.XLOOKUP(G30,Resumen!$A$6:$A$22,Resumen!Q$6:Q$22,0),"")</f>
        <v>3</v>
      </c>
      <c r="K30" s="44">
        <f t="shared" ca="1" si="0"/>
        <v>0</v>
      </c>
      <c r="L30" s="44">
        <f t="shared" ca="1" si="1"/>
        <v>0</v>
      </c>
      <c r="M30" s="44">
        <f t="shared" ca="1" si="2"/>
        <v>1</v>
      </c>
      <c r="N30" s="44">
        <f t="shared" ca="1" si="3"/>
        <v>1</v>
      </c>
      <c r="O30" s="45">
        <f t="shared" ca="1" si="4"/>
        <v>30</v>
      </c>
      <c r="P30" s="42" t="str">
        <f>IF(VLOOKUP(F30,Fixture!$B$2:$F$137,5,FALSE)&lt;&gt;0,VLOOKUP(F30,Fixture!$B$2:$F$137,5,FALSE),"")</f>
        <v>Los Aliados</v>
      </c>
      <c r="Q30" s="44">
        <f ca="1">IF($D30="Finalizado",_xlfn.XLOOKUP(P30,Resumen!$A$6:$A$22,Resumen!N$6:N$22,0),"")</f>
        <v>3</v>
      </c>
      <c r="R30" s="44">
        <f ca="1">IF($D30="Finalizado",_xlfn.XLOOKUP(P30,Resumen!$A$6:$A$22,Resumen!O$6:O$22,0),"")</f>
        <v>0</v>
      </c>
      <c r="S30" s="44">
        <f ca="1">IF($D30="Finalizado",_xlfn.XLOOKUP(P30,Resumen!$A$6:$A$22,Resumen!P$6:P$22,0)+_xlfn.XLOOKUP(P30,Resumen!$A$6:$A$22,Resumen!Q$6:Q$22,0),"")</f>
        <v>0</v>
      </c>
      <c r="T30" s="44">
        <f t="shared" ca="1" si="26"/>
        <v>1</v>
      </c>
      <c r="U30" s="44">
        <f t="shared" ca="1" si="29"/>
        <v>0</v>
      </c>
      <c r="V30" s="44">
        <f t="shared" ca="1" si="30"/>
        <v>0</v>
      </c>
      <c r="W30" s="44">
        <f t="shared" ca="1" si="27"/>
        <v>1</v>
      </c>
      <c r="X30" s="45">
        <f t="shared" ca="1" si="28"/>
        <v>0</v>
      </c>
      <c r="Y30" s="207"/>
    </row>
    <row r="31" spans="1:38" ht="16.5" thickBot="1" x14ac:dyDescent="0.3">
      <c r="A31" s="213"/>
      <c r="B31" s="60">
        <f>IF(Fixture!C30,Fixture!C30,"")</f>
        <v>45697</v>
      </c>
      <c r="C31" s="58">
        <v>0.52777777777777701</v>
      </c>
      <c r="D31" s="82" t="str">
        <f t="shared" ca="1" si="8"/>
        <v>Finalizado</v>
      </c>
      <c r="E31" s="207"/>
      <c r="F31" s="43">
        <f>+Fixture!B30</f>
        <v>29</v>
      </c>
      <c r="G31" s="42" t="str">
        <f>IF(VLOOKUP(F31,Fixture!$B$2:$F$137,3,FALSE)&lt;&gt;0,VLOOKUP(F31,Fixture!$B$2:$F$137,3,FALSE),"")</f>
        <v>Villanueva</v>
      </c>
      <c r="H31" s="44">
        <f ca="1">IF($D31="Finalizado",_xlfn.XLOOKUP(G31,Resumen!$A$6:$A$22,Resumen!N$6:N$22,0),"")</f>
        <v>4</v>
      </c>
      <c r="I31" s="44">
        <f ca="1">IF($D31="Finalizado",_xlfn.XLOOKUP(G31,Resumen!$A$6:$A$22,Resumen!O$6:O$22,0),"")</f>
        <v>2</v>
      </c>
      <c r="J31" s="44">
        <f ca="1">IF($D31="Finalizado",_xlfn.XLOOKUP(G31,Resumen!$A$6:$A$22,Resumen!P$6:P$22,0)+_xlfn.XLOOKUP(G31,Resumen!$A$6:$A$22,Resumen!Q$6:Q$22,0),"")</f>
        <v>2</v>
      </c>
      <c r="K31" s="44">
        <f t="shared" ca="1" si="0"/>
        <v>1</v>
      </c>
      <c r="L31" s="44">
        <f t="shared" ca="1" si="1"/>
        <v>0</v>
      </c>
      <c r="M31" s="44">
        <f t="shared" ca="1" si="2"/>
        <v>0</v>
      </c>
      <c r="N31" s="44">
        <f t="shared" ca="1" si="3"/>
        <v>1</v>
      </c>
      <c r="O31" s="45">
        <f t="shared" ca="1" si="4"/>
        <v>30</v>
      </c>
      <c r="P31" s="42" t="str">
        <f>IF(VLOOKUP(F31,Fixture!$B$2:$F$137,5,FALSE)&lt;&gt;0,VLOOKUP(F31,Fixture!$B$2:$F$137,5,FALSE),"")</f>
        <v>Los Amigos</v>
      </c>
      <c r="Q31" s="44">
        <f ca="1">IF($D31="Finalizado",_xlfn.XLOOKUP(P31,Resumen!$A$6:$A$22,Resumen!N$6:N$22,0),"")</f>
        <v>3</v>
      </c>
      <c r="R31" s="44">
        <f ca="1">IF($D31="Finalizado",_xlfn.XLOOKUP(P31,Resumen!$A$6:$A$22,Resumen!O$6:O$22,0),"")</f>
        <v>2</v>
      </c>
      <c r="S31" s="44">
        <f ca="1">IF($D31="Finalizado",_xlfn.XLOOKUP(P31,Resumen!$A$6:$A$22,Resumen!P$6:P$22,0)+_xlfn.XLOOKUP(P31,Resumen!$A$6:$A$22,Resumen!Q$6:Q$22,0),"")</f>
        <v>1</v>
      </c>
      <c r="T31" s="44">
        <f t="shared" ca="1" si="26"/>
        <v>0</v>
      </c>
      <c r="U31" s="44">
        <f t="shared" ca="1" si="29"/>
        <v>0</v>
      </c>
      <c r="V31" s="44">
        <f t="shared" ca="1" si="30"/>
        <v>1</v>
      </c>
      <c r="W31" s="44">
        <f t="shared" ca="1" si="27"/>
        <v>1</v>
      </c>
      <c r="X31" s="45">
        <f t="shared" ca="1" si="28"/>
        <v>20</v>
      </c>
      <c r="Y31" s="207"/>
    </row>
    <row r="32" spans="1:38" ht="16.5" thickBot="1" x14ac:dyDescent="0.3">
      <c r="A32" s="213"/>
      <c r="B32" s="60">
        <f>IF(Fixture!C31,Fixture!C31,"")</f>
        <v>45697</v>
      </c>
      <c r="C32" s="58">
        <v>0.57638888888888895</v>
      </c>
      <c r="D32" s="82" t="str">
        <f t="shared" ca="1" si="8"/>
        <v>Finalizado</v>
      </c>
      <c r="E32" s="207"/>
      <c r="F32" s="43">
        <f>+Fixture!B31</f>
        <v>30</v>
      </c>
      <c r="G32" s="42" t="str">
        <f>IF(VLOOKUP(F32,Fixture!$B$2:$F$137,3,FALSE)&lt;&gt;0,VLOOKUP(F32,Fixture!$B$2:$F$137,3,FALSE),"")</f>
        <v>Deportivo Fénix</v>
      </c>
      <c r="H32" s="44">
        <f ca="1">IF($D32="Finalizado",_xlfn.XLOOKUP(G32,Resumen!$A$6:$A$22,Resumen!N$6:N$22,0),"")</f>
        <v>1</v>
      </c>
      <c r="I32" s="44">
        <f ca="1">IF($D32="Finalizado",_xlfn.XLOOKUP(G32,Resumen!$A$6:$A$22,Resumen!O$6:O$22,0),"")</f>
        <v>0</v>
      </c>
      <c r="J32" s="44">
        <f ca="1">IF($D32="Finalizado",_xlfn.XLOOKUP(G32,Resumen!$A$6:$A$22,Resumen!P$6:P$22,0)+_xlfn.XLOOKUP(G32,Resumen!$A$6:$A$22,Resumen!Q$6:Q$22,0),"")</f>
        <v>1</v>
      </c>
      <c r="K32" s="44">
        <f t="shared" ca="1" si="0"/>
        <v>0</v>
      </c>
      <c r="L32" s="44">
        <f t="shared" ca="1" si="1"/>
        <v>0</v>
      </c>
      <c r="M32" s="44">
        <f t="shared" ca="1" si="2"/>
        <v>1</v>
      </c>
      <c r="N32" s="44">
        <f t="shared" ca="1" si="3"/>
        <v>1</v>
      </c>
      <c r="O32" s="45">
        <f t="shared" ca="1" si="4"/>
        <v>10</v>
      </c>
      <c r="P32" s="42" t="str">
        <f>IF(VLOOKUP(F32,Fixture!$B$2:$F$137,5,FALSE)&lt;&gt;0,VLOOKUP(F32,Fixture!$B$2:$F$137,5,FALSE),"")</f>
        <v>Boca Juniors</v>
      </c>
      <c r="Q32" s="44">
        <f ca="1">IF($D32="Finalizado",_xlfn.XLOOKUP(P32,Resumen!$A$6:$A$22,Resumen!N$6:N$22,0),"")</f>
        <v>8</v>
      </c>
      <c r="R32" s="44">
        <f ca="1">IF($D32="Finalizado",_xlfn.XLOOKUP(P32,Resumen!$A$6:$A$22,Resumen!O$6:O$22,0),"")</f>
        <v>1</v>
      </c>
      <c r="S32" s="44">
        <f ca="1">IF($D32="Finalizado",_xlfn.XLOOKUP(P32,Resumen!$A$6:$A$22,Resumen!P$6:P$22,0)+_xlfn.XLOOKUP(P32,Resumen!$A$6:$A$22,Resumen!Q$6:Q$22,0),"")</f>
        <v>0</v>
      </c>
      <c r="T32" s="44">
        <f t="shared" ca="1" si="26"/>
        <v>1</v>
      </c>
      <c r="U32" s="44">
        <f t="shared" ca="1" si="29"/>
        <v>0</v>
      </c>
      <c r="V32" s="44">
        <f t="shared" ca="1" si="30"/>
        <v>0</v>
      </c>
      <c r="W32" s="44">
        <f t="shared" ca="1" si="27"/>
        <v>1</v>
      </c>
      <c r="X32" s="45">
        <f t="shared" ca="1" si="28"/>
        <v>5</v>
      </c>
      <c r="Y32" s="207"/>
    </row>
    <row r="33" spans="1:52" ht="16.5" thickBot="1" x14ac:dyDescent="0.3">
      <c r="A33" s="213"/>
      <c r="B33" s="60">
        <f>IF(Fixture!C32,Fixture!C32,"")</f>
        <v>45697</v>
      </c>
      <c r="C33" s="58">
        <v>0.625</v>
      </c>
      <c r="D33" s="82" t="str">
        <f t="shared" ca="1" si="8"/>
        <v>Finalizado</v>
      </c>
      <c r="E33" s="207"/>
      <c r="F33" s="43">
        <f>+Fixture!B32</f>
        <v>31</v>
      </c>
      <c r="G33" s="42" t="str">
        <f>IF(VLOOKUP(F33,Fixture!$B$2:$F$137,3,FALSE)&lt;&gt;0,VLOOKUP(F33,Fixture!$B$2:$F$137,3,FALSE),"")</f>
        <v>La Unión FC</v>
      </c>
      <c r="H33" s="44">
        <f ca="1">IF($D33="Finalizado",_xlfn.XLOOKUP(G33,Resumen!$A$6:$A$22,Resumen!N$6:N$22,0),"")</f>
        <v>7</v>
      </c>
      <c r="I33" s="44">
        <f ca="1">IF($D33="Finalizado",_xlfn.XLOOKUP(G33,Resumen!$A$6:$A$22,Resumen!O$6:O$22,0),"")</f>
        <v>1</v>
      </c>
      <c r="J33" s="44">
        <f ca="1">IF($D33="Finalizado",_xlfn.XLOOKUP(G33,Resumen!$A$6:$A$22,Resumen!P$6:P$22,0)+_xlfn.XLOOKUP(G33,Resumen!$A$6:$A$22,Resumen!Q$6:Q$22,0),"")</f>
        <v>0</v>
      </c>
      <c r="K33" s="44">
        <f t="shared" ref="K33" ca="1" si="46">IF(D33="Finalizado",IF(H33&gt;Q33,1,0),"")</f>
        <v>0</v>
      </c>
      <c r="L33" s="44">
        <f t="shared" ref="L33" ca="1" si="47">IF(D33="Finalizado",IF(H33=Q33,1,0),"")</f>
        <v>1</v>
      </c>
      <c r="M33" s="44">
        <f t="shared" ref="M33" ca="1" si="48">IF(D33="Finalizado",IF(H33&lt;Q33,1,0),"")</f>
        <v>0</v>
      </c>
      <c r="N33" s="44">
        <f t="shared" ref="N33" ca="1" si="49">IF(D33="Finalizado",1,"")</f>
        <v>1</v>
      </c>
      <c r="O33" s="45">
        <f t="shared" ref="O33" ca="1" si="50">IF(D33="Finalizado",SUM(I33*5,J33*10),"")</f>
        <v>5</v>
      </c>
      <c r="P33" s="42" t="str">
        <f>IF(VLOOKUP(F33,Fixture!$B$2:$F$137,5,FALSE)&lt;&gt;0,VLOOKUP(F33,Fixture!$B$2:$F$137,5,FALSE),"")</f>
        <v>Hojas Anchas</v>
      </c>
      <c r="Q33" s="44">
        <f ca="1">IF($D33="Finalizado",_xlfn.XLOOKUP(P33,Resumen!$A$6:$A$22,Resumen!N$6:N$22,0),"")</f>
        <v>7</v>
      </c>
      <c r="R33" s="44">
        <f ca="1">IF($D33="Finalizado",_xlfn.XLOOKUP(P33,Resumen!$A$6:$A$22,Resumen!O$6:O$22,0),"")</f>
        <v>3</v>
      </c>
      <c r="S33" s="44">
        <f ca="1">IF($D33="Finalizado",_xlfn.XLOOKUP(P33,Resumen!$A$6:$A$22,Resumen!P$6:P$22,0)+_xlfn.XLOOKUP(P33,Resumen!$A$6:$A$22,Resumen!Q$6:Q$22,0),"")</f>
        <v>0</v>
      </c>
      <c r="T33" s="44">
        <f t="shared" ca="1" si="26"/>
        <v>0</v>
      </c>
      <c r="U33" s="44">
        <f t="shared" ca="1" si="29"/>
        <v>1</v>
      </c>
      <c r="V33" s="44">
        <f t="shared" ca="1" si="30"/>
        <v>0</v>
      </c>
      <c r="W33" s="44">
        <f t="shared" ca="1" si="27"/>
        <v>1</v>
      </c>
      <c r="X33" s="45">
        <f t="shared" ca="1" si="28"/>
        <v>15</v>
      </c>
      <c r="Y33" s="207"/>
    </row>
    <row r="34" spans="1:52" ht="16.5" thickBot="1" x14ac:dyDescent="0.3">
      <c r="A34" s="214"/>
      <c r="B34" s="60">
        <f>IF(Fixture!C33,Fixture!C33,"")</f>
        <v>45697</v>
      </c>
      <c r="C34" s="58">
        <v>0.67361111111111105</v>
      </c>
      <c r="D34" s="82" t="str">
        <f t="shared" ca="1" si="8"/>
        <v>Finalizado</v>
      </c>
      <c r="E34" s="208"/>
      <c r="F34" s="43">
        <f>+Fixture!B33</f>
        <v>32</v>
      </c>
      <c r="G34" s="42" t="str">
        <f>IF(VLOOKUP(F34,Fixture!$B$2:$F$137,3,FALSE)&lt;&gt;0,VLOOKUP(F34,Fixture!$B$2:$F$137,3,FALSE),"")</f>
        <v>Atalanta</v>
      </c>
      <c r="H34" s="48">
        <f ca="1">IF($D34="Finalizado",_xlfn.XLOOKUP(G34,Resumen!$A$6:$A$22,Resumen!N$6:N$22,0),"")</f>
        <v>1</v>
      </c>
      <c r="I34" s="48">
        <f ca="1">IF($D34="Finalizado",_xlfn.XLOOKUP(G34,Resumen!$A$6:$A$22,Resumen!O$6:O$22,0),"")</f>
        <v>1</v>
      </c>
      <c r="J34" s="48">
        <f ca="1">IF($D34="Finalizado",_xlfn.XLOOKUP(G34,Resumen!$A$6:$A$22,Resumen!P$6:P$22,0)+_xlfn.XLOOKUP(G34,Resumen!$A$6:$A$22,Resumen!Q$6:Q$22,0),"")</f>
        <v>0</v>
      </c>
      <c r="K34" s="48">
        <f t="shared" ca="1" si="0"/>
        <v>0</v>
      </c>
      <c r="L34" s="48">
        <f t="shared" ca="1" si="1"/>
        <v>0</v>
      </c>
      <c r="M34" s="48">
        <f t="shared" ca="1" si="2"/>
        <v>1</v>
      </c>
      <c r="N34" s="48">
        <f t="shared" ca="1" si="3"/>
        <v>1</v>
      </c>
      <c r="O34" s="49">
        <f t="shared" ca="1" si="4"/>
        <v>5</v>
      </c>
      <c r="P34" s="42" t="str">
        <f>IF(VLOOKUP(F34,Fixture!$B$2:$F$137,5,FALSE)&lt;&gt;0,VLOOKUP(F34,Fixture!$B$2:$F$137,5,FALSE),"")</f>
        <v>Ron Star</v>
      </c>
      <c r="Q34" s="48">
        <f ca="1">IF($D34="Finalizado",_xlfn.XLOOKUP(P34,Resumen!$A$6:$A$22,Resumen!N$6:N$22,0),"")</f>
        <v>5</v>
      </c>
      <c r="R34" s="48">
        <f ca="1">IF($D34="Finalizado",_xlfn.XLOOKUP(P34,Resumen!$A$6:$A$22,Resumen!O$6:O$22,0),"")</f>
        <v>1</v>
      </c>
      <c r="S34" s="48">
        <f ca="1">IF($D34="Finalizado",_xlfn.XLOOKUP(P34,Resumen!$A$6:$A$22,Resumen!P$6:P$22,0)+_xlfn.XLOOKUP(P34,Resumen!$A$6:$A$22,Resumen!Q$6:Q$22,0),"")</f>
        <v>0</v>
      </c>
      <c r="T34" s="44">
        <f t="shared" ca="1" si="26"/>
        <v>1</v>
      </c>
      <c r="U34" s="44">
        <f t="shared" ca="1" si="29"/>
        <v>0</v>
      </c>
      <c r="V34" s="44">
        <f t="shared" ca="1" si="30"/>
        <v>0</v>
      </c>
      <c r="W34" s="48">
        <f t="shared" ca="1" si="27"/>
        <v>1</v>
      </c>
      <c r="X34" s="49">
        <f t="shared" ca="1" si="28"/>
        <v>5</v>
      </c>
      <c r="Y34" s="208"/>
      <c r="AA34" s="219" t="s">
        <v>233</v>
      </c>
      <c r="AB34" s="219"/>
      <c r="AC34" s="219"/>
      <c r="AD34" s="219"/>
      <c r="AE34" s="219"/>
      <c r="AF34" s="219"/>
      <c r="AG34" s="219"/>
      <c r="AH34" s="219"/>
      <c r="AI34" s="219"/>
      <c r="AJ34" s="219"/>
      <c r="AK34" s="219"/>
      <c r="AL34" s="219"/>
    </row>
    <row r="35" spans="1:52" ht="16.5" thickBot="1" x14ac:dyDescent="0.3">
      <c r="A35" s="212" t="s">
        <v>9</v>
      </c>
      <c r="B35" s="60">
        <f>IF(Fixture!C34,Fixture!C34,"")</f>
        <v>45704</v>
      </c>
      <c r="C35" s="58">
        <v>0.33333333333333331</v>
      </c>
      <c r="D35" s="82" t="str">
        <f t="shared" ca="1" si="8"/>
        <v>Finalizado</v>
      </c>
      <c r="E35" s="206" t="s">
        <v>114</v>
      </c>
      <c r="F35" s="43">
        <f>+Fixture!B34</f>
        <v>33</v>
      </c>
      <c r="G35" s="42" t="str">
        <f>IF(VLOOKUP(F35,Fixture!$B$2:$F$137,3,FALSE)&lt;&gt;0,VLOOKUP(F35,Fixture!$B$2:$F$137,3,FALSE),"")</f>
        <v>La Unión FC</v>
      </c>
      <c r="H35" s="44">
        <f ca="1">IF($D35="Finalizado",_xlfn.XLOOKUP(G35,Resumen!$A$6:$A$22,Resumen!R$6:R$22,0),"")</f>
        <v>10</v>
      </c>
      <c r="I35" s="44">
        <f ca="1">IF($D35="Finalizado",_xlfn.XLOOKUP(G35,Resumen!$A$6:$A$22,Resumen!S$6:S$22,0),"")</f>
        <v>2</v>
      </c>
      <c r="J35" s="44">
        <f ca="1">IF($D35="Finalizado",_xlfn.XLOOKUP(G35,Resumen!$A$6:$A$22,Resumen!T$6:T$22,0)+_xlfn.XLOOKUP(G35,Resumen!$A$6:$A$22,Resumen!U$6:U$22,0),"")</f>
        <v>0</v>
      </c>
      <c r="K35" s="44">
        <f t="shared" ca="1" si="0"/>
        <v>1</v>
      </c>
      <c r="L35" s="44">
        <f t="shared" ca="1" si="1"/>
        <v>0</v>
      </c>
      <c r="M35" s="44">
        <f t="shared" ca="1" si="2"/>
        <v>0</v>
      </c>
      <c r="N35" s="44">
        <f t="shared" ca="1" si="3"/>
        <v>1</v>
      </c>
      <c r="O35" s="45">
        <f t="shared" ca="1" si="4"/>
        <v>10</v>
      </c>
      <c r="P35" s="42" t="str">
        <f>IF(VLOOKUP(F35,Fixture!$B$2:$F$137,5,FALSE)&lt;&gt;0,VLOOKUP(F35,Fixture!$B$2:$F$137,5,FALSE),"")</f>
        <v>Los Aliados</v>
      </c>
      <c r="Q35" s="44">
        <f ca="1">IF($D35="Finalizado",_xlfn.XLOOKUP(P35,Resumen!$A$6:$A$22,Resumen!R$6:R$22,0),"")</f>
        <v>4</v>
      </c>
      <c r="R35" s="44">
        <f ca="1">IF($D35="Finalizado",_xlfn.XLOOKUP(P35,Resumen!$A$6:$A$22,Resumen!S$6:S$22,0),"")</f>
        <v>1</v>
      </c>
      <c r="S35" s="44">
        <f ca="1">IF($D35="Finalizado",_xlfn.XLOOKUP(P35,Resumen!$A$6:$A$22,Resumen!T$6:T$22,0)+_xlfn.XLOOKUP(P35,Resumen!$A$6:$A$22,Resumen!U$6:U$22,0),"")</f>
        <v>0</v>
      </c>
      <c r="T35" s="44">
        <f t="shared" ca="1" si="26"/>
        <v>0</v>
      </c>
      <c r="U35" s="44">
        <f t="shared" ca="1" si="29"/>
        <v>0</v>
      </c>
      <c r="V35" s="44">
        <f t="shared" ca="1" si="30"/>
        <v>1</v>
      </c>
      <c r="W35" s="44">
        <f t="shared" ca="1" si="27"/>
        <v>1</v>
      </c>
      <c r="X35" s="45">
        <f t="shared" ca="1" si="28"/>
        <v>5</v>
      </c>
      <c r="Y35" s="206" t="str">
        <f>+A35</f>
        <v>Fecha 5</v>
      </c>
      <c r="AA35" s="40" t="s">
        <v>122</v>
      </c>
      <c r="AB35"/>
      <c r="AC35" s="41" t="s">
        <v>2</v>
      </c>
      <c r="AD35" s="40" t="s">
        <v>127</v>
      </c>
      <c r="AE35" s="40" t="s">
        <v>115</v>
      </c>
      <c r="AF35" s="40" t="s">
        <v>116</v>
      </c>
      <c r="AG35" s="40" t="s">
        <v>117</v>
      </c>
      <c r="AH35" s="40" t="s">
        <v>123</v>
      </c>
      <c r="AI35" s="40" t="s">
        <v>124</v>
      </c>
      <c r="AJ35" s="40" t="s">
        <v>125</v>
      </c>
      <c r="AK35" s="40" t="s">
        <v>119</v>
      </c>
      <c r="AL35" s="40" t="s">
        <v>126</v>
      </c>
      <c r="AP35" s="41" t="s">
        <v>2</v>
      </c>
      <c r="AQ35" s="40" t="s">
        <v>127</v>
      </c>
      <c r="AR35" s="40" t="s">
        <v>115</v>
      </c>
      <c r="AS35" s="40" t="s">
        <v>116</v>
      </c>
      <c r="AT35" s="40" t="s">
        <v>117</v>
      </c>
      <c r="AU35" s="40" t="s">
        <v>123</v>
      </c>
      <c r="AV35" s="40" t="s">
        <v>124</v>
      </c>
      <c r="AW35" s="40" t="s">
        <v>125</v>
      </c>
      <c r="AX35" s="40" t="s">
        <v>119</v>
      </c>
      <c r="AY35" s="40" t="s">
        <v>126</v>
      </c>
    </row>
    <row r="36" spans="1:52" ht="16.5" thickBot="1" x14ac:dyDescent="0.3">
      <c r="A36" s="213"/>
      <c r="B36" s="60">
        <f>IF(Fixture!C35,Fixture!C35,"")</f>
        <v>45704</v>
      </c>
      <c r="C36" s="58">
        <v>0.38194444444444442</v>
      </c>
      <c r="D36" s="82" t="str">
        <f t="shared" ca="1" si="8"/>
        <v>Finalizado</v>
      </c>
      <c r="E36" s="207"/>
      <c r="F36" s="43">
        <f>+Fixture!B35</f>
        <v>34</v>
      </c>
      <c r="G36" s="42" t="str">
        <f>IF(VLOOKUP(F36,Fixture!$B$2:$F$137,3,FALSE)&lt;&gt;0,VLOOKUP(F36,Fixture!$B$2:$F$137,3,FALSE),"")</f>
        <v>Villanueva</v>
      </c>
      <c r="H36" s="44">
        <f ca="1">IF($D36="Finalizado",_xlfn.XLOOKUP(G36,Resumen!$A$6:$A$22,Resumen!R$6:R$22,0),"")</f>
        <v>9</v>
      </c>
      <c r="I36" s="44">
        <f ca="1">IF($D36="Finalizado",_xlfn.XLOOKUP(G36,Resumen!$A$6:$A$22,Resumen!S$6:S$22,0),"")</f>
        <v>1</v>
      </c>
      <c r="J36" s="44">
        <f ca="1">IF($D36="Finalizado",_xlfn.XLOOKUP(G36,Resumen!$A$6:$A$22,Resumen!T$6:T$22,0)+_xlfn.XLOOKUP(G36,Resumen!$A$6:$A$22,Resumen!U$6:U$22,0),"")</f>
        <v>1</v>
      </c>
      <c r="K36" s="44">
        <f ca="1">IF(D36="Finalizado",IF(H36&gt;Q36,1,0),"")</f>
        <v>1</v>
      </c>
      <c r="L36" s="44">
        <f t="shared" ca="1" si="1"/>
        <v>0</v>
      </c>
      <c r="M36" s="44">
        <f t="shared" ca="1" si="2"/>
        <v>0</v>
      </c>
      <c r="N36" s="44">
        <f t="shared" ca="1" si="3"/>
        <v>1</v>
      </c>
      <c r="O36" s="45">
        <f t="shared" ca="1" si="4"/>
        <v>15</v>
      </c>
      <c r="P36" s="42" t="str">
        <f>IF(VLOOKUP(F36,Fixture!$B$2:$F$137,5,FALSE)&lt;&gt;0,VLOOKUP(F36,Fixture!$B$2:$F$137,5,FALSE),"")</f>
        <v>La Nueva Era</v>
      </c>
      <c r="Q36" s="44">
        <f ca="1">IF($D36="Finalizado",_xlfn.XLOOKUP(P36,Resumen!$A$6:$A$22,Resumen!R$6:R$22,0),"")</f>
        <v>0</v>
      </c>
      <c r="R36" s="44">
        <f ca="1">IF($D36="Finalizado",_xlfn.XLOOKUP(P36,Resumen!$A$6:$A$22,Resumen!S$6:S$22,0),"")</f>
        <v>3</v>
      </c>
      <c r="S36" s="44">
        <f ca="1">IF($D36="Finalizado",_xlfn.XLOOKUP(P36,Resumen!$A$6:$A$22,Resumen!T$6:T$22,0)+_xlfn.XLOOKUP(P36,Resumen!$A$6:$A$22,Resumen!U$6:U$22,0),"")</f>
        <v>0</v>
      </c>
      <c r="T36" s="44">
        <f t="shared" ca="1" si="26"/>
        <v>0</v>
      </c>
      <c r="U36" s="44">
        <f t="shared" ca="1" si="29"/>
        <v>0</v>
      </c>
      <c r="V36" s="44">
        <f t="shared" ca="1" si="30"/>
        <v>1</v>
      </c>
      <c r="W36" s="44">
        <f t="shared" ca="1" si="27"/>
        <v>1</v>
      </c>
      <c r="X36" s="45">
        <f t="shared" ca="1" si="28"/>
        <v>15</v>
      </c>
      <c r="Y36" s="207"/>
      <c r="AA36" s="19" t="s">
        <v>41</v>
      </c>
      <c r="AB36"/>
      <c r="AC36" s="46" t="str">
        <f t="shared" ref="AC36:AC50" ca="1" si="51">VLOOKUP(AM78,$AB$78:$AC$93,2,FALSE)</f>
        <v>La Unión FC</v>
      </c>
      <c r="AD36">
        <f ca="1">VLOOKUP($AC36,$AC$78:$AK$93,9,FALSE)</f>
        <v>15</v>
      </c>
      <c r="AE36">
        <f t="shared" ref="AE36:AE50" ca="1" si="52">VLOOKUP($AC36,$AC$78:$AK$93,2,FALSE)</f>
        <v>11</v>
      </c>
      <c r="AF36">
        <f t="shared" ref="AF36:AF50" ca="1" si="53">VLOOKUP($AC36,$AC$78:$AK$93,3,FALSE)</f>
        <v>3</v>
      </c>
      <c r="AG36">
        <f t="shared" ref="AG36:AG50" ca="1" si="54">VLOOKUP($AC36,$AC$78:$AK$93,4,FALSE)</f>
        <v>1</v>
      </c>
      <c r="AH36">
        <f t="shared" ref="AH36:AH50" ca="1" si="55">VLOOKUP($AC36,$AC$78:$AK$93,5,FALSE)</f>
        <v>83</v>
      </c>
      <c r="AI36">
        <f t="shared" ref="AI36:AI50" ca="1" si="56">VLOOKUP($AC36,$AC$78:$AK$93,6,FALSE)</f>
        <v>46</v>
      </c>
      <c r="AJ36">
        <f t="shared" ref="AJ36:AJ50" ca="1" si="57">VLOOKUP($AC36,$AC$78:$AK$93,7,FALSE)</f>
        <v>37</v>
      </c>
      <c r="AK36">
        <f t="shared" ref="AK36:AK50" ca="1" si="58">VLOOKUP($AC36,$AC$78:$AL$93,10,FALSE)</f>
        <v>85</v>
      </c>
      <c r="AL36">
        <f t="shared" ref="AL36:AL50" ca="1" si="59">VLOOKUP($AC36,$AC$78:$AK$93,8,FALSE)</f>
        <v>36</v>
      </c>
      <c r="AM36">
        <f t="shared" ref="AM36:AM50" ca="1" si="60">VLOOKUP($AC36,$AC$78:$AM$93,11,FALSE)</f>
        <v>10961.3298</v>
      </c>
      <c r="AO36">
        <f ca="1">AY36*1000+(AW36)+(AR36/10)+(AU36/1000)+IF(AX36&gt;0,(0.1/AX36),0)</f>
        <v>52062.718487804879</v>
      </c>
      <c r="AP36" s="46" t="str">
        <f ca="1">+AC36</f>
        <v>La Unión FC</v>
      </c>
      <c r="AQ36">
        <f ca="1">SUMIF($AP$56:$AP$97,$AP36,$AQ$56:$AQ$97)</f>
        <v>22</v>
      </c>
      <c r="AR36">
        <f ca="1">SUMIF($AP$56:$AP$97,$AP36,$AR$56:$AR$97)</f>
        <v>16</v>
      </c>
      <c r="AS36">
        <f t="shared" ref="AS36:AS51" ca="1" si="61">SUMIF($AP$56:$AP$97,$AP36,$AS$56:$AS$97)</f>
        <v>4</v>
      </c>
      <c r="AT36">
        <f t="shared" ref="AT36:AT51" ca="1" si="62">SUMIF($AP$56:$AP$97,$AP36,$AT$56:$AT$97)</f>
        <v>2</v>
      </c>
      <c r="AU36">
        <f t="shared" ref="AU36:AU51" ca="1" si="63">SUMIF($AP$56:$AP$97,$AP36,$AU$56:$AU$97)</f>
        <v>118</v>
      </c>
      <c r="AV36">
        <f t="shared" ref="AV36:AV51" ca="1" si="64">SUMIF($AP$56:$AP$97,$AP36,$AV$56:$AV$97)</f>
        <v>57</v>
      </c>
      <c r="AW36">
        <f t="shared" ref="AW36:AW51" ca="1" si="65">SUMIF($AP$56:$AP$97,$AP36,$AW$56:$AW$97)</f>
        <v>61</v>
      </c>
      <c r="AX36">
        <f ca="1">SUMIF($AP$56:$AP$97,$AP36,$AX$56:$AX$97)</f>
        <v>205</v>
      </c>
      <c r="AY36">
        <f t="shared" ref="AY36:AY51" ca="1" si="66">SUMIF($AP$56:$AP$97,$AP36,$AY$56:$AY$97)</f>
        <v>52</v>
      </c>
      <c r="AZ36">
        <f ca="1">LARGE($AO$36:$AO$51,AA78)</f>
        <v>52062.718487804879</v>
      </c>
    </row>
    <row r="37" spans="1:52" ht="16.5" thickBot="1" x14ac:dyDescent="0.3">
      <c r="A37" s="213"/>
      <c r="B37" s="60">
        <f>IF(Fixture!C36,Fixture!C36,"")</f>
        <v>45704</v>
      </c>
      <c r="C37" s="58">
        <v>0.43055555555555602</v>
      </c>
      <c r="D37" s="82" t="str">
        <f t="shared" ca="1" si="8"/>
        <v>Finalizado</v>
      </c>
      <c r="E37" s="207"/>
      <c r="F37" s="43">
        <f>+Fixture!B36</f>
        <v>35</v>
      </c>
      <c r="G37" s="42" t="str">
        <f>IF(VLOOKUP(F37,Fixture!$B$2:$F$137,3,FALSE)&lt;&gt;0,VLOOKUP(F37,Fixture!$B$2:$F$137,3,FALSE),"")</f>
        <v>Ron Star</v>
      </c>
      <c r="H37" s="44">
        <f ca="1">IF($D37="Finalizado",_xlfn.XLOOKUP(G37,Resumen!$A$6:$A$22,Resumen!R$6:R$22,0),"")</f>
        <v>8</v>
      </c>
      <c r="I37" s="44">
        <f ca="1">IF($D37="Finalizado",_xlfn.XLOOKUP(G37,Resumen!$A$6:$A$22,Resumen!S$6:S$22,0),"")</f>
        <v>1</v>
      </c>
      <c r="J37" s="44">
        <f ca="1">IF($D37="Finalizado",_xlfn.XLOOKUP(G37,Resumen!$A$6:$A$22,Resumen!T$6:T$22,0)+_xlfn.XLOOKUP(G37,Resumen!$A$6:$A$22,Resumen!U$6:U$22,0),"")</f>
        <v>0</v>
      </c>
      <c r="K37" s="44">
        <f t="shared" ca="1" si="0"/>
        <v>1</v>
      </c>
      <c r="L37" s="44">
        <f t="shared" ca="1" si="1"/>
        <v>0</v>
      </c>
      <c r="M37" s="44">
        <f t="shared" ca="1" si="2"/>
        <v>0</v>
      </c>
      <c r="N37" s="44">
        <f t="shared" ca="1" si="3"/>
        <v>1</v>
      </c>
      <c r="O37" s="45">
        <f t="shared" ca="1" si="4"/>
        <v>5</v>
      </c>
      <c r="P37" s="42" t="str">
        <f>IF(VLOOKUP(F37,Fixture!$B$2:$F$137,5,FALSE)&lt;&gt;0,VLOOKUP(F37,Fixture!$B$2:$F$137,5,FALSE),"")</f>
        <v>Los Amigos</v>
      </c>
      <c r="Q37" s="44">
        <f ca="1">IF($D37="Finalizado",_xlfn.XLOOKUP(P37,Resumen!$A$6:$A$22,Resumen!R$6:R$22,0),"")</f>
        <v>4</v>
      </c>
      <c r="R37" s="44">
        <f ca="1">IF($D37="Finalizado",_xlfn.XLOOKUP(P37,Resumen!$A$6:$A$22,Resumen!S$6:S$22,0),"")</f>
        <v>1</v>
      </c>
      <c r="S37" s="44">
        <f ca="1">IF($D37="Finalizado",_xlfn.XLOOKUP(P37,Resumen!$A$6:$A$22,Resumen!T$6:T$22,0)+_xlfn.XLOOKUP(P37,Resumen!$A$6:$A$22,Resumen!U$6:U$22,0),"")</f>
        <v>0</v>
      </c>
      <c r="T37" s="44">
        <f t="shared" ca="1" si="26"/>
        <v>0</v>
      </c>
      <c r="U37" s="44">
        <f t="shared" ca="1" si="29"/>
        <v>0</v>
      </c>
      <c r="V37" s="44">
        <f t="shared" ca="1" si="30"/>
        <v>1</v>
      </c>
      <c r="W37" s="44">
        <f t="shared" ca="1" si="27"/>
        <v>1</v>
      </c>
      <c r="X37" s="45">
        <f t="shared" ca="1" si="28"/>
        <v>5</v>
      </c>
      <c r="Y37" s="207"/>
      <c r="AA37" s="19" t="s">
        <v>42</v>
      </c>
      <c r="AB37"/>
      <c r="AC37" s="46" t="str">
        <f t="shared" ca="1" si="51"/>
        <v>La Amistad</v>
      </c>
      <c r="AD37">
        <f t="shared" ref="AD37:AD50" ca="1" si="67">VLOOKUP($AC37,$AC$78:$AK$93,9,FALSE)</f>
        <v>15</v>
      </c>
      <c r="AE37">
        <f t="shared" ca="1" si="52"/>
        <v>10</v>
      </c>
      <c r="AF37">
        <f t="shared" ca="1" si="53"/>
        <v>2</v>
      </c>
      <c r="AG37">
        <f t="shared" ca="1" si="54"/>
        <v>3</v>
      </c>
      <c r="AH37">
        <f t="shared" ca="1" si="55"/>
        <v>65</v>
      </c>
      <c r="AI37">
        <f t="shared" ca="1" si="56"/>
        <v>34</v>
      </c>
      <c r="AJ37">
        <f t="shared" ca="1" si="57"/>
        <v>31</v>
      </c>
      <c r="AK37">
        <f t="shared" ca="1" si="58"/>
        <v>45</v>
      </c>
      <c r="AL37">
        <f t="shared" ca="1" si="59"/>
        <v>32</v>
      </c>
      <c r="AM37">
        <f t="shared" ca="1" si="60"/>
        <v>31035.071</v>
      </c>
      <c r="AO37">
        <f t="shared" ref="AO37:AO50" ca="1" si="68">AY37*1000+(AW37)+(AR37/10)+(AU37/1000)+IF(AX37&gt;0,(0.1/AX37),0)</f>
        <v>50058.700833333329</v>
      </c>
      <c r="AP37" s="46" t="str">
        <f t="shared" ref="AP37:AP51" ca="1" si="69">+AC37</f>
        <v>La Amistad</v>
      </c>
      <c r="AQ37">
        <f t="shared" ref="AQ37:AQ51" ca="1" si="70">SUMIF($AP$56:$AP$97,$AP37,$AQ$56:$AQ$97)</f>
        <v>21</v>
      </c>
      <c r="AR37">
        <f t="shared" ref="AR37:AR51" ca="1" si="71">SUMIF($AP$56:$AP$97,$AP37,$AR$56:$AR$97)</f>
        <v>16</v>
      </c>
      <c r="AS37">
        <f t="shared" ca="1" si="61"/>
        <v>2</v>
      </c>
      <c r="AT37">
        <f t="shared" ca="1" si="62"/>
        <v>3</v>
      </c>
      <c r="AU37">
        <f t="shared" ca="1" si="63"/>
        <v>100</v>
      </c>
      <c r="AV37">
        <f t="shared" ca="1" si="64"/>
        <v>43</v>
      </c>
      <c r="AW37">
        <f t="shared" ca="1" si="65"/>
        <v>57</v>
      </c>
      <c r="AX37">
        <f t="shared" ref="AX37:AX51" ca="1" si="72">SUMIF($AP$56:$AP$97,$AP37,$AX$56:$AX$97)</f>
        <v>120</v>
      </c>
      <c r="AY37">
        <f t="shared" ca="1" si="66"/>
        <v>50</v>
      </c>
      <c r="AZ37">
        <f t="shared" ref="AZ37:AZ50" ca="1" si="73">LARGE($AO$36:$AO$51,AA79)</f>
        <v>51049.70211111111</v>
      </c>
    </row>
    <row r="38" spans="1:52" ht="16.5" thickBot="1" x14ac:dyDescent="0.3">
      <c r="A38" s="213"/>
      <c r="B38" s="60">
        <f>IF(Fixture!C37,Fixture!C37,"")</f>
        <v>45704</v>
      </c>
      <c r="C38" s="58">
        <v>0.47916666666666602</v>
      </c>
      <c r="D38" s="82" t="str">
        <f t="shared" ca="1" si="8"/>
        <v>Finalizado</v>
      </c>
      <c r="E38" s="207"/>
      <c r="F38" s="43">
        <f>+Fixture!B37</f>
        <v>36</v>
      </c>
      <c r="G38" s="42" t="str">
        <f>IF(VLOOKUP(F38,Fixture!$B$2:$F$137,3,FALSE)&lt;&gt;0,VLOOKUP(F38,Fixture!$B$2:$F$137,3,FALSE),"")</f>
        <v>CD El Corozo</v>
      </c>
      <c r="H38" s="44">
        <f ca="1">IF($D38="Finalizado",_xlfn.XLOOKUP(G38,Resumen!$A$6:$A$22,Resumen!R$6:R$22,0),"")</f>
        <v>3</v>
      </c>
      <c r="I38" s="44">
        <f ca="1">IF($D38="Finalizado",_xlfn.XLOOKUP(G38,Resumen!$A$6:$A$22,Resumen!S$6:S$22,0),"")</f>
        <v>4</v>
      </c>
      <c r="J38" s="44">
        <f ca="1">IF($D38="Finalizado",_xlfn.XLOOKUP(G38,Resumen!$A$6:$A$22,Resumen!T$6:T$22,0)+_xlfn.XLOOKUP(G38,Resumen!$A$6:$A$22,Resumen!U$6:U$22,0),"")</f>
        <v>0</v>
      </c>
      <c r="K38" s="44">
        <f t="shared" ca="1" si="0"/>
        <v>0</v>
      </c>
      <c r="L38" s="44">
        <f t="shared" ca="1" si="1"/>
        <v>1</v>
      </c>
      <c r="M38" s="44">
        <f t="shared" ca="1" si="2"/>
        <v>0</v>
      </c>
      <c r="N38" s="44">
        <f t="shared" ca="1" si="3"/>
        <v>1</v>
      </c>
      <c r="O38" s="45">
        <f t="shared" ca="1" si="4"/>
        <v>20</v>
      </c>
      <c r="P38" s="42" t="str">
        <f>IF(VLOOKUP(F38,Fixture!$B$2:$F$137,5,FALSE)&lt;&gt;0,VLOOKUP(F38,Fixture!$B$2:$F$137,5,FALSE),"")</f>
        <v>Hojas Anchas</v>
      </c>
      <c r="Q38" s="44">
        <f ca="1">IF($D38="Finalizado",_xlfn.XLOOKUP(P38,Resumen!$A$6:$A$22,Resumen!R$6:R$22,0),"")</f>
        <v>3</v>
      </c>
      <c r="R38" s="44">
        <f ca="1">IF($D38="Finalizado",_xlfn.XLOOKUP(P38,Resumen!$A$6:$A$22,Resumen!S$6:S$22,0),"")</f>
        <v>5</v>
      </c>
      <c r="S38" s="44">
        <f ca="1">IF($D38="Finalizado",_xlfn.XLOOKUP(P38,Resumen!$A$6:$A$22,Resumen!T$6:T$22,0)+_xlfn.XLOOKUP(P38,Resumen!$A$6:$A$22,Resumen!U$6:U$22,0),"")</f>
        <v>0</v>
      </c>
      <c r="T38" s="44">
        <f t="shared" ca="1" si="26"/>
        <v>0</v>
      </c>
      <c r="U38" s="44">
        <f t="shared" ca="1" si="29"/>
        <v>1</v>
      </c>
      <c r="V38" s="44">
        <f t="shared" ca="1" si="30"/>
        <v>0</v>
      </c>
      <c r="W38" s="44">
        <f t="shared" ca="1" si="27"/>
        <v>1</v>
      </c>
      <c r="X38" s="45">
        <f t="shared" ca="1" si="28"/>
        <v>25</v>
      </c>
      <c r="Y38" s="207"/>
      <c r="AA38" s="19" t="s">
        <v>43</v>
      </c>
      <c r="AB38"/>
      <c r="AC38" s="46" t="str">
        <f t="shared" ca="1" si="51"/>
        <v>Ron Star</v>
      </c>
      <c r="AD38">
        <f t="shared" ca="1" si="67"/>
        <v>15</v>
      </c>
      <c r="AE38">
        <f t="shared" ca="1" si="52"/>
        <v>10</v>
      </c>
      <c r="AF38">
        <f t="shared" ca="1" si="53"/>
        <v>1</v>
      </c>
      <c r="AG38">
        <f t="shared" ca="1" si="54"/>
        <v>4</v>
      </c>
      <c r="AH38">
        <f t="shared" ca="1" si="55"/>
        <v>69</v>
      </c>
      <c r="AI38">
        <f t="shared" ca="1" si="56"/>
        <v>35</v>
      </c>
      <c r="AJ38">
        <f t="shared" ca="1" si="57"/>
        <v>34</v>
      </c>
      <c r="AK38">
        <f t="shared" ca="1" si="58"/>
        <v>50</v>
      </c>
      <c r="AL38">
        <f t="shared" ca="1" si="59"/>
        <v>31</v>
      </c>
      <c r="AM38">
        <f t="shared" ca="1" si="60"/>
        <v>27029.864176470586</v>
      </c>
      <c r="AO38">
        <f t="shared" ca="1" si="68"/>
        <v>51049.70211111111</v>
      </c>
      <c r="AP38" s="46" t="str">
        <f t="shared" ca="1" si="69"/>
        <v>Ron Star</v>
      </c>
      <c r="AQ38">
        <f t="shared" ca="1" si="70"/>
        <v>24</v>
      </c>
      <c r="AR38">
        <f t="shared" ca="1" si="71"/>
        <v>16</v>
      </c>
      <c r="AS38">
        <f t="shared" ca="1" si="61"/>
        <v>3</v>
      </c>
      <c r="AT38">
        <f t="shared" ca="1" si="62"/>
        <v>5</v>
      </c>
      <c r="AU38">
        <f t="shared" ca="1" si="63"/>
        <v>101</v>
      </c>
      <c r="AV38">
        <f t="shared" ca="1" si="64"/>
        <v>53</v>
      </c>
      <c r="AW38">
        <f t="shared" ca="1" si="65"/>
        <v>48</v>
      </c>
      <c r="AX38">
        <f t="shared" ca="1" si="72"/>
        <v>90</v>
      </c>
      <c r="AY38">
        <f t="shared" ca="1" si="66"/>
        <v>51</v>
      </c>
      <c r="AZ38">
        <f t="shared" ca="1" si="73"/>
        <v>50058.700833333329</v>
      </c>
    </row>
    <row r="39" spans="1:52" ht="16.5" thickBot="1" x14ac:dyDescent="0.3">
      <c r="A39" s="213"/>
      <c r="B39" s="60">
        <f>IF(Fixture!C38,Fixture!C38,"")</f>
        <v>45704</v>
      </c>
      <c r="C39" s="58">
        <v>0.52777777777777701</v>
      </c>
      <c r="D39" s="82" t="str">
        <f t="shared" ca="1" si="8"/>
        <v>Finalizado</v>
      </c>
      <c r="E39" s="207"/>
      <c r="F39" s="43">
        <f>+Fixture!B38</f>
        <v>37</v>
      </c>
      <c r="G39" s="42" t="str">
        <f>IF(VLOOKUP(F39,Fixture!$B$2:$F$137,3,FALSE)&lt;&gt;0,VLOOKUP(F39,Fixture!$B$2:$F$137,3,FALSE),"")</f>
        <v>Atalanta</v>
      </c>
      <c r="H39" s="44">
        <f ca="1">IF($D39="Finalizado",_xlfn.XLOOKUP(G39,Resumen!$A$6:$A$22,Resumen!R$6:R$22,0),"")</f>
        <v>1</v>
      </c>
      <c r="I39" s="44">
        <f ca="1">IF($D39="Finalizado",_xlfn.XLOOKUP(G39,Resumen!$A$6:$A$22,Resumen!S$6:S$22,0),"")</f>
        <v>1</v>
      </c>
      <c r="J39" s="44">
        <f ca="1">IF($D39="Finalizado",_xlfn.XLOOKUP(G39,Resumen!$A$6:$A$22,Resumen!T$6:T$22,0)+_xlfn.XLOOKUP(G39,Resumen!$A$6:$A$22,Resumen!U$6:U$22,0),"")</f>
        <v>1</v>
      </c>
      <c r="K39" s="44">
        <f t="shared" ca="1" si="0"/>
        <v>0</v>
      </c>
      <c r="L39" s="44">
        <f t="shared" ref="L39:L74" ca="1" si="74">IF(D39="Finalizado",IF(H39=Q39,1,0),"")</f>
        <v>1</v>
      </c>
      <c r="M39" s="44">
        <f t="shared" ref="M39:M74" ca="1" si="75">IF(D39="Finalizado",IF(H39&lt;Q39,1,0),"")</f>
        <v>0</v>
      </c>
      <c r="N39" s="44">
        <f t="shared" ref="N39:N74" ca="1" si="76">IF(D39="Finalizado",1,"")</f>
        <v>1</v>
      </c>
      <c r="O39" s="45">
        <f t="shared" ref="O39:O74" ca="1" si="77">IF(D39="Finalizado",SUM(I39*5,J39*10),"")</f>
        <v>15</v>
      </c>
      <c r="P39" s="42" t="str">
        <f>IF(VLOOKUP(F39,Fixture!$B$2:$F$137,5,FALSE)&lt;&gt;0,VLOOKUP(F39,Fixture!$B$2:$F$137,5,FALSE),"")</f>
        <v>Amenadim</v>
      </c>
      <c r="Q39" s="44">
        <f ca="1">IF($D39="Finalizado",_xlfn.XLOOKUP(P39,Resumen!$A$6:$A$22,Resumen!R$6:R$22,0),"")</f>
        <v>1</v>
      </c>
      <c r="R39" s="44">
        <f ca="1">IF($D39="Finalizado",_xlfn.XLOOKUP(P39,Resumen!$A$6:$A$22,Resumen!S$6:S$22,0),"")</f>
        <v>2</v>
      </c>
      <c r="S39" s="44">
        <f ca="1">IF($D39="Finalizado",_xlfn.XLOOKUP(P39,Resumen!$A$6:$A$22,Resumen!T$6:T$22,0)+_xlfn.XLOOKUP(P39,Resumen!$A$6:$A$22,Resumen!U$6:U$22,0),"")</f>
        <v>1</v>
      </c>
      <c r="T39" s="44">
        <f t="shared" ca="1" si="26"/>
        <v>0</v>
      </c>
      <c r="U39" s="44">
        <f t="shared" ca="1" si="29"/>
        <v>1</v>
      </c>
      <c r="V39" s="44">
        <f t="shared" ca="1" si="30"/>
        <v>0</v>
      </c>
      <c r="W39" s="44">
        <f t="shared" ca="1" si="27"/>
        <v>1</v>
      </c>
      <c r="X39" s="45">
        <f t="shared" ca="1" si="28"/>
        <v>20</v>
      </c>
      <c r="Y39" s="207"/>
      <c r="AA39" s="19" t="s">
        <v>44</v>
      </c>
      <c r="AB39"/>
      <c r="AC39" s="46" t="str">
        <f t="shared" ca="1" si="51"/>
        <v>Konami</v>
      </c>
      <c r="AD39">
        <f ca="1">VLOOKUP($AC39,$AC$78:$AK$93,9,FALSE)</f>
        <v>15</v>
      </c>
      <c r="AE39">
        <f t="shared" ca="1" si="52"/>
        <v>10</v>
      </c>
      <c r="AF39">
        <f t="shared" ca="1" si="53"/>
        <v>1</v>
      </c>
      <c r="AG39">
        <f t="shared" ca="1" si="54"/>
        <v>4</v>
      </c>
      <c r="AH39">
        <f t="shared" ca="1" si="55"/>
        <v>57</v>
      </c>
      <c r="AI39">
        <f t="shared" ca="1" si="56"/>
        <v>25</v>
      </c>
      <c r="AJ39">
        <f t="shared" ca="1" si="57"/>
        <v>32</v>
      </c>
      <c r="AK39">
        <f t="shared" ca="1" si="58"/>
        <v>30</v>
      </c>
      <c r="AL39">
        <f t="shared" ca="1" si="59"/>
        <v>31</v>
      </c>
      <c r="AM39">
        <f t="shared" ca="1" si="60"/>
        <v>31033.060333333335</v>
      </c>
      <c r="AO39">
        <f t="shared" ca="1" si="68"/>
        <v>46035.577222222222</v>
      </c>
      <c r="AP39" s="46" t="str">
        <f t="shared" ca="1" si="69"/>
        <v>Konami</v>
      </c>
      <c r="AQ39">
        <f t="shared" ca="1" si="70"/>
        <v>23</v>
      </c>
      <c r="AR39">
        <f t="shared" ca="1" si="71"/>
        <v>15</v>
      </c>
      <c r="AS39">
        <f t="shared" ca="1" si="61"/>
        <v>1</v>
      </c>
      <c r="AT39">
        <f t="shared" ca="1" si="62"/>
        <v>7</v>
      </c>
      <c r="AU39">
        <f t="shared" ca="1" si="63"/>
        <v>75</v>
      </c>
      <c r="AV39">
        <f t="shared" ca="1" si="64"/>
        <v>41</v>
      </c>
      <c r="AW39">
        <f t="shared" ca="1" si="65"/>
        <v>34</v>
      </c>
      <c r="AX39">
        <f t="shared" ca="1" si="72"/>
        <v>45</v>
      </c>
      <c r="AY39">
        <f t="shared" ca="1" si="66"/>
        <v>46</v>
      </c>
      <c r="AZ39">
        <f t="shared" ca="1" si="73"/>
        <v>50046.605740740742</v>
      </c>
    </row>
    <row r="40" spans="1:52" ht="16.5" thickBot="1" x14ac:dyDescent="0.3">
      <c r="A40" s="213"/>
      <c r="B40" s="60">
        <f>IF(Fixture!C39,Fixture!C39,"")</f>
        <v>45704</v>
      </c>
      <c r="C40" s="58">
        <v>0.57638888888888895</v>
      </c>
      <c r="D40" s="82" t="str">
        <f t="shared" ca="1" si="8"/>
        <v>Finalizado</v>
      </c>
      <c r="E40" s="207"/>
      <c r="F40" s="43">
        <f>+Fixture!B39</f>
        <v>38</v>
      </c>
      <c r="G40" s="42" t="str">
        <f>IF(VLOOKUP(F40,Fixture!$B$2:$F$137,3,FALSE)&lt;&gt;0,VLOOKUP(F40,Fixture!$B$2:$F$137,3,FALSE),"")</f>
        <v>Valentín FC</v>
      </c>
      <c r="H40" s="44">
        <f ca="1">IF($D40="Finalizado",_xlfn.XLOOKUP(G40,Resumen!$A$6:$A$22,Resumen!R$6:R$22,0),"")</f>
        <v>5</v>
      </c>
      <c r="I40" s="44">
        <f ca="1">IF($D40="Finalizado",_xlfn.XLOOKUP(G40,Resumen!$A$6:$A$22,Resumen!S$6:S$22,0),"")</f>
        <v>2</v>
      </c>
      <c r="J40" s="44">
        <f ca="1">IF($D40="Finalizado",_xlfn.XLOOKUP(G40,Resumen!$A$6:$A$22,Resumen!T$6:T$22,0)+_xlfn.XLOOKUP(G40,Resumen!$A$6:$A$22,Resumen!U$6:U$22,0),"")</f>
        <v>0</v>
      </c>
      <c r="K40" s="44">
        <f t="shared" ca="1" si="0"/>
        <v>1</v>
      </c>
      <c r="L40" s="44">
        <f t="shared" ca="1" si="74"/>
        <v>0</v>
      </c>
      <c r="M40" s="44">
        <f t="shared" ca="1" si="75"/>
        <v>0</v>
      </c>
      <c r="N40" s="44">
        <f t="shared" ca="1" si="76"/>
        <v>1</v>
      </c>
      <c r="O40" s="45">
        <f t="shared" ca="1" si="77"/>
        <v>10</v>
      </c>
      <c r="P40" s="42" t="str">
        <f>IF(VLOOKUP(F40,Fixture!$B$2:$F$137,5,FALSE)&lt;&gt;0,VLOOKUP(F40,Fixture!$B$2:$F$137,5,FALSE),"")</f>
        <v>Deportivo Fénix</v>
      </c>
      <c r="Q40" s="44">
        <f ca="1">IF($D40="Finalizado",_xlfn.XLOOKUP(P40,Resumen!$A$6:$A$22,Resumen!R$6:R$22,0),"")</f>
        <v>1</v>
      </c>
      <c r="R40" s="44">
        <f ca="1">IF($D40="Finalizado",_xlfn.XLOOKUP(P40,Resumen!$A$6:$A$22,Resumen!S$6:S$22,0),"")</f>
        <v>1</v>
      </c>
      <c r="S40" s="44">
        <f ca="1">IF($D40="Finalizado",_xlfn.XLOOKUP(P40,Resumen!$A$6:$A$22,Resumen!T$6:T$22,0)+_xlfn.XLOOKUP(P40,Resumen!$A$6:$A$22,Resumen!U$6:U$22,0),"")</f>
        <v>0</v>
      </c>
      <c r="T40" s="44">
        <f t="shared" ca="1" si="26"/>
        <v>0</v>
      </c>
      <c r="U40" s="44">
        <f t="shared" ca="1" si="29"/>
        <v>0</v>
      </c>
      <c r="V40" s="44">
        <f t="shared" ca="1" si="30"/>
        <v>1</v>
      </c>
      <c r="W40" s="44">
        <f t="shared" ca="1" si="27"/>
        <v>1</v>
      </c>
      <c r="X40" s="45">
        <f t="shared" ca="1" si="28"/>
        <v>5</v>
      </c>
      <c r="Y40" s="207"/>
      <c r="AA40" s="19" t="s">
        <v>45</v>
      </c>
      <c r="AB40"/>
      <c r="AC40" s="46" t="str">
        <f t="shared" ca="1" si="51"/>
        <v>Los Amigos</v>
      </c>
      <c r="AD40">
        <f t="shared" ca="1" si="67"/>
        <v>15</v>
      </c>
      <c r="AE40">
        <f t="shared" ca="1" si="52"/>
        <v>9</v>
      </c>
      <c r="AF40">
        <f t="shared" ca="1" si="53"/>
        <v>3</v>
      </c>
      <c r="AG40">
        <f t="shared" ca="1" si="54"/>
        <v>3</v>
      </c>
      <c r="AH40">
        <f t="shared" ca="1" si="55"/>
        <v>67</v>
      </c>
      <c r="AI40">
        <f t="shared" ca="1" si="56"/>
        <v>41</v>
      </c>
      <c r="AJ40">
        <f t="shared" ca="1" si="57"/>
        <v>26</v>
      </c>
      <c r="AK40">
        <f t="shared" ca="1" si="58"/>
        <v>95</v>
      </c>
      <c r="AL40">
        <f t="shared" ca="1" si="59"/>
        <v>30</v>
      </c>
      <c r="AM40">
        <f t="shared" ca="1" si="60"/>
        <v>36038.184176470582</v>
      </c>
      <c r="AO40">
        <f t="shared" ca="1" si="68"/>
        <v>50046.605740740742</v>
      </c>
      <c r="AP40" s="46" t="str">
        <f t="shared" ca="1" si="69"/>
        <v>Los Amigos</v>
      </c>
      <c r="AQ40">
        <f t="shared" ca="1" si="70"/>
        <v>24</v>
      </c>
      <c r="AR40">
        <f t="shared" ca="1" si="71"/>
        <v>15</v>
      </c>
      <c r="AS40">
        <f t="shared" ca="1" si="61"/>
        <v>5</v>
      </c>
      <c r="AT40">
        <f t="shared" ca="1" si="62"/>
        <v>4</v>
      </c>
      <c r="AU40">
        <f t="shared" ca="1" si="63"/>
        <v>105</v>
      </c>
      <c r="AV40">
        <f t="shared" ca="1" si="64"/>
        <v>60</v>
      </c>
      <c r="AW40">
        <f t="shared" ca="1" si="65"/>
        <v>45</v>
      </c>
      <c r="AX40">
        <f t="shared" ca="1" si="72"/>
        <v>135</v>
      </c>
      <c r="AY40">
        <f t="shared" ca="1" si="66"/>
        <v>50</v>
      </c>
      <c r="AZ40">
        <f t="shared" ca="1" si="73"/>
        <v>46035.577222222222</v>
      </c>
    </row>
    <row r="41" spans="1:52" ht="16.5" thickBot="1" x14ac:dyDescent="0.3">
      <c r="A41" s="213"/>
      <c r="B41" s="60">
        <f>IF(Fixture!C40,Fixture!C40,"")</f>
        <v>45704</v>
      </c>
      <c r="C41" s="58">
        <v>0.625</v>
      </c>
      <c r="D41" s="82" t="str">
        <f t="shared" ca="1" si="8"/>
        <v>Finalizado</v>
      </c>
      <c r="E41" s="207"/>
      <c r="F41" s="43">
        <f>+Fixture!B40</f>
        <v>39</v>
      </c>
      <c r="G41" s="42" t="str">
        <f>IF(VLOOKUP(F41,Fixture!$B$2:$F$137,3,FALSE)&lt;&gt;0,VLOOKUP(F41,Fixture!$B$2:$F$137,3,FALSE),"")</f>
        <v>Konami</v>
      </c>
      <c r="H41" s="44">
        <f ca="1">IF($D41="Finalizado",_xlfn.XLOOKUP(G41,Resumen!$A$6:$A$22,Resumen!R$6:R$22,0),"")</f>
        <v>5</v>
      </c>
      <c r="I41" s="44">
        <f ca="1">IF($D41="Finalizado",_xlfn.XLOOKUP(G41,Resumen!$A$6:$A$22,Resumen!S$6:S$22,0),"")</f>
        <v>0</v>
      </c>
      <c r="J41" s="44">
        <f ca="1">IF($D41="Finalizado",_xlfn.XLOOKUP(G41,Resumen!$A$6:$A$22,Resumen!T$6:T$22,0)+_xlfn.XLOOKUP(G41,Resumen!$A$6:$A$22,Resumen!U$6:U$22,0),"")</f>
        <v>0</v>
      </c>
      <c r="K41" s="44">
        <f t="shared" ref="K41" ca="1" si="78">IF(D41="Finalizado",IF(H41&gt;Q41,1,0),"")</f>
        <v>1</v>
      </c>
      <c r="L41" s="44">
        <f t="shared" ref="L41" ca="1" si="79">IF(D41="Finalizado",IF(H41=Q41,1,0),"")</f>
        <v>0</v>
      </c>
      <c r="M41" s="44">
        <f t="shared" ref="M41" ca="1" si="80">IF(D41="Finalizado",IF(H41&lt;Q41,1,0),"")</f>
        <v>0</v>
      </c>
      <c r="N41" s="44">
        <f t="shared" ref="N41" ca="1" si="81">IF(D41="Finalizado",1,"")</f>
        <v>1</v>
      </c>
      <c r="O41" s="45">
        <f t="shared" ref="O41" ca="1" si="82">IF(D41="Finalizado",SUM(I41*5,J41*10),"")</f>
        <v>0</v>
      </c>
      <c r="P41" s="42" t="str">
        <f>IF(VLOOKUP(F41,Fixture!$B$2:$F$137,5,FALSE)&lt;&gt;0,VLOOKUP(F41,Fixture!$B$2:$F$137,5,FALSE),"")</f>
        <v>La Amistad</v>
      </c>
      <c r="Q41" s="44">
        <f ca="1">IF($D41="Finalizado",_xlfn.XLOOKUP(P41,Resumen!$A$6:$A$22,Resumen!R$6:R$22,0),"")</f>
        <v>2</v>
      </c>
      <c r="R41" s="44">
        <f ca="1">IF($D41="Finalizado",_xlfn.XLOOKUP(P41,Resumen!$A$6:$A$22,Resumen!S$6:S$22,0),"")</f>
        <v>2</v>
      </c>
      <c r="S41" s="44">
        <f ca="1">IF($D41="Finalizado",_xlfn.XLOOKUP(P41,Resumen!$A$6:$A$22,Resumen!T$6:T$22,0)+_xlfn.XLOOKUP(P41,Resumen!$A$6:$A$22,Resumen!U$6:U$22,0),"")</f>
        <v>0</v>
      </c>
      <c r="T41" s="44">
        <f t="shared" ca="1" si="26"/>
        <v>0</v>
      </c>
      <c r="U41" s="44">
        <f t="shared" ca="1" si="29"/>
        <v>0</v>
      </c>
      <c r="V41" s="44">
        <f t="shared" ca="1" si="30"/>
        <v>1</v>
      </c>
      <c r="W41" s="44">
        <f t="shared" ca="1" si="27"/>
        <v>1</v>
      </c>
      <c r="X41" s="45">
        <f t="shared" ca="1" si="28"/>
        <v>10</v>
      </c>
      <c r="Y41" s="207"/>
      <c r="AA41" s="19" t="s">
        <v>46</v>
      </c>
      <c r="AB41"/>
      <c r="AC41" s="46" t="str">
        <f t="shared" ca="1" si="51"/>
        <v>CD El Corozo</v>
      </c>
      <c r="AD41">
        <f t="shared" ca="1" si="67"/>
        <v>15</v>
      </c>
      <c r="AE41">
        <f t="shared" ca="1" si="52"/>
        <v>8</v>
      </c>
      <c r="AF41">
        <f t="shared" ca="1" si="53"/>
        <v>3</v>
      </c>
      <c r="AG41">
        <f t="shared" ca="1" si="54"/>
        <v>4</v>
      </c>
      <c r="AH41">
        <f t="shared" ca="1" si="55"/>
        <v>63</v>
      </c>
      <c r="AI41">
        <f t="shared" ca="1" si="56"/>
        <v>34</v>
      </c>
      <c r="AJ41">
        <f t="shared" ca="1" si="57"/>
        <v>29</v>
      </c>
      <c r="AK41">
        <f t="shared" ca="1" si="58"/>
        <v>85</v>
      </c>
      <c r="AL41">
        <f t="shared" ca="1" si="59"/>
        <v>27</v>
      </c>
      <c r="AM41">
        <f t="shared" ca="1" si="60"/>
        <v>2956.1062702702702</v>
      </c>
      <c r="AO41">
        <f t="shared" ca="1" si="68"/>
        <v>27013.867416666664</v>
      </c>
      <c r="AP41" s="46" t="str">
        <f t="shared" ca="1" si="69"/>
        <v>CD El Corozo</v>
      </c>
      <c r="AQ41">
        <f t="shared" ca="1" si="70"/>
        <v>21</v>
      </c>
      <c r="AR41">
        <f t="shared" ca="1" si="71"/>
        <v>8</v>
      </c>
      <c r="AS41">
        <f t="shared" ca="1" si="61"/>
        <v>3</v>
      </c>
      <c r="AT41">
        <f t="shared" ca="1" si="62"/>
        <v>10</v>
      </c>
      <c r="AU41">
        <f t="shared" ca="1" si="63"/>
        <v>67</v>
      </c>
      <c r="AV41">
        <f t="shared" ca="1" si="64"/>
        <v>54</v>
      </c>
      <c r="AW41">
        <f t="shared" ca="1" si="65"/>
        <v>13</v>
      </c>
      <c r="AX41">
        <f t="shared" ca="1" si="72"/>
        <v>240</v>
      </c>
      <c r="AY41">
        <f t="shared" ca="1" si="66"/>
        <v>27</v>
      </c>
      <c r="AZ41">
        <f t="shared" ca="1" si="73"/>
        <v>44043.388434782617</v>
      </c>
    </row>
    <row r="42" spans="1:52" ht="16.5" thickBot="1" x14ac:dyDescent="0.3">
      <c r="A42" s="214"/>
      <c r="B42" s="60">
        <f>IF(Fixture!C41,Fixture!C41,"")</f>
        <v>45704</v>
      </c>
      <c r="C42" s="58">
        <v>0.67361111111111105</v>
      </c>
      <c r="D42" s="82" t="str">
        <f t="shared" ca="1" si="8"/>
        <v>Finalizado</v>
      </c>
      <c r="E42" s="208"/>
      <c r="F42" s="43">
        <f>+Fixture!B41</f>
        <v>40</v>
      </c>
      <c r="G42" s="42" t="str">
        <f>IF(VLOOKUP(F42,Fixture!$B$2:$F$137,3,FALSE)&lt;&gt;0,VLOOKUP(F42,Fixture!$B$2:$F$137,3,FALSE),"")</f>
        <v>Rayos FC</v>
      </c>
      <c r="H42" s="48">
        <f ca="1">IF($D42="Finalizado",_xlfn.XLOOKUP(G42,Resumen!$A$6:$A$22,Resumen!R$6:R$22,0),"")</f>
        <v>0</v>
      </c>
      <c r="I42" s="48">
        <f ca="1">IF($D42="Finalizado",_xlfn.XLOOKUP(G42,Resumen!$A$6:$A$22,Resumen!S$6:S$22,0),"")</f>
        <v>0</v>
      </c>
      <c r="J42" s="48">
        <f ca="1">IF($D42="Finalizado",_xlfn.XLOOKUP(G42,Resumen!$A$6:$A$22,Resumen!T$6:T$22,0)+_xlfn.XLOOKUP(G42,Resumen!$A$6:$A$22,Resumen!U$6:U$22,0),"")</f>
        <v>3</v>
      </c>
      <c r="K42" s="48">
        <f t="shared" ca="1" si="0"/>
        <v>0</v>
      </c>
      <c r="L42" s="48">
        <f t="shared" ca="1" si="74"/>
        <v>0</v>
      </c>
      <c r="M42" s="48">
        <f t="shared" ca="1" si="75"/>
        <v>1</v>
      </c>
      <c r="N42" s="48">
        <f t="shared" ca="1" si="76"/>
        <v>1</v>
      </c>
      <c r="O42" s="49">
        <f t="shared" ca="1" si="77"/>
        <v>30</v>
      </c>
      <c r="P42" s="42" t="str">
        <f>IF(VLOOKUP(F42,Fixture!$B$2:$F$137,5,FALSE)&lt;&gt;0,VLOOKUP(F42,Fixture!$B$2:$F$137,5,FALSE),"")</f>
        <v>Boca Juniors</v>
      </c>
      <c r="Q42" s="48">
        <f ca="1">IF($D42="Finalizado",_xlfn.XLOOKUP(P42,Resumen!$A$6:$A$22,Resumen!R$6:R$22,0),"")</f>
        <v>3</v>
      </c>
      <c r="R42" s="48">
        <f ca="1">IF($D42="Finalizado",_xlfn.XLOOKUP(P42,Resumen!$A$6:$A$22,Resumen!S$6:S$22,0),"")</f>
        <v>0</v>
      </c>
      <c r="S42" s="48">
        <f ca="1">IF($D42="Finalizado",_xlfn.XLOOKUP(P42,Resumen!$A$6:$A$22,Resumen!T$6:T$22,0)+_xlfn.XLOOKUP(P42,Resumen!$A$6:$A$22,Resumen!U$6:U$22,0),"")</f>
        <v>0</v>
      </c>
      <c r="T42" s="44">
        <f t="shared" ca="1" si="26"/>
        <v>1</v>
      </c>
      <c r="U42" s="44">
        <f t="shared" ca="1" si="29"/>
        <v>0</v>
      </c>
      <c r="V42" s="44">
        <f t="shared" ca="1" si="30"/>
        <v>0</v>
      </c>
      <c r="W42" s="48">
        <f t="shared" ca="1" si="27"/>
        <v>1</v>
      </c>
      <c r="X42" s="49">
        <f t="shared" ca="1" si="28"/>
        <v>0</v>
      </c>
      <c r="Y42" s="208"/>
      <c r="AA42" s="19" t="s">
        <v>47</v>
      </c>
      <c r="AB42"/>
      <c r="AC42" s="46" t="str">
        <f t="shared" ca="1" si="51"/>
        <v>Boca Juniors</v>
      </c>
      <c r="AD42">
        <f t="shared" ca="1" si="67"/>
        <v>15</v>
      </c>
      <c r="AE42">
        <f t="shared" ca="1" si="52"/>
        <v>9</v>
      </c>
      <c r="AF42">
        <f t="shared" ca="1" si="53"/>
        <v>0</v>
      </c>
      <c r="AG42">
        <f t="shared" ca="1" si="54"/>
        <v>6</v>
      </c>
      <c r="AH42">
        <f t="shared" ca="1" si="55"/>
        <v>48</v>
      </c>
      <c r="AI42">
        <f t="shared" ca="1" si="56"/>
        <v>36</v>
      </c>
      <c r="AJ42">
        <f t="shared" ca="1" si="57"/>
        <v>12</v>
      </c>
      <c r="AK42">
        <f t="shared" ca="1" si="58"/>
        <v>130</v>
      </c>
      <c r="AL42">
        <f t="shared" ca="1" si="59"/>
        <v>27</v>
      </c>
      <c r="AM42">
        <f t="shared" ca="1" si="60"/>
        <v>22008.752428571428</v>
      </c>
      <c r="AO42">
        <f t="shared" ca="1" si="68"/>
        <v>27994.959540540542</v>
      </c>
      <c r="AP42" s="46" t="str">
        <f t="shared" ca="1" si="69"/>
        <v>Boca Juniors</v>
      </c>
      <c r="AQ42">
        <f t="shared" ca="1" si="70"/>
        <v>22</v>
      </c>
      <c r="AR42">
        <f t="shared" ca="1" si="71"/>
        <v>9</v>
      </c>
      <c r="AS42">
        <f t="shared" ca="1" si="61"/>
        <v>1</v>
      </c>
      <c r="AT42">
        <f t="shared" ca="1" si="62"/>
        <v>12</v>
      </c>
      <c r="AU42">
        <f t="shared" ca="1" si="63"/>
        <v>59</v>
      </c>
      <c r="AV42">
        <f t="shared" ca="1" si="64"/>
        <v>65</v>
      </c>
      <c r="AW42">
        <f t="shared" ca="1" si="65"/>
        <v>-6</v>
      </c>
      <c r="AX42">
        <f t="shared" ca="1" si="72"/>
        <v>185</v>
      </c>
      <c r="AY42">
        <f t="shared" ca="1" si="66"/>
        <v>28</v>
      </c>
      <c r="AZ42">
        <f t="shared" ca="1" si="73"/>
        <v>40029.371588235299</v>
      </c>
    </row>
    <row r="43" spans="1:52" ht="16.5" thickBot="1" x14ac:dyDescent="0.3">
      <c r="A43" s="212" t="s">
        <v>10</v>
      </c>
      <c r="B43" s="60">
        <f>IF(Fixture!C42,Fixture!C42,"")</f>
        <v>45711</v>
      </c>
      <c r="C43" s="58">
        <v>0.33333333333333331</v>
      </c>
      <c r="D43" s="82" t="str">
        <f t="shared" ca="1" si="8"/>
        <v>Finalizado</v>
      </c>
      <c r="E43" s="206" t="s">
        <v>114</v>
      </c>
      <c r="F43" s="43">
        <f>+Fixture!B42</f>
        <v>41</v>
      </c>
      <c r="G43" s="42" t="str">
        <f>IF(VLOOKUP(F43,Fixture!$B$2:$F$137,3,FALSE)&lt;&gt;0,VLOOKUP(F43,Fixture!$B$2:$F$137,3,FALSE),"")</f>
        <v>Villanueva</v>
      </c>
      <c r="H43" s="44">
        <f ca="1">IF($D43="Finalizado",_xlfn.XLOOKUP(G43,Resumen!$A$6:$A$22,Resumen!V$6:V$22,0),"")</f>
        <v>0</v>
      </c>
      <c r="I43" s="44">
        <f ca="1">IF($D43="Finalizado",_xlfn.XLOOKUP(G43,Resumen!$A$6:$A$22,Resumen!W$6:W$22,0),"")</f>
        <v>0</v>
      </c>
      <c r="J43" s="44">
        <f ca="1">IF($D43="Finalizado",_xlfn.XLOOKUP(G43,Resumen!$A$6:$A$22,Resumen!X$6:X$22,0)+_xlfn.XLOOKUP(G43,Resumen!$A$6:$A$22,Resumen!Y$6:Y$22,0),"")</f>
        <v>1</v>
      </c>
      <c r="K43" s="44">
        <f t="shared" ca="1" si="0"/>
        <v>0</v>
      </c>
      <c r="L43" s="44">
        <f t="shared" ca="1" si="74"/>
        <v>0</v>
      </c>
      <c r="M43" s="44">
        <f t="shared" ca="1" si="75"/>
        <v>1</v>
      </c>
      <c r="N43" s="44">
        <f t="shared" ca="1" si="76"/>
        <v>1</v>
      </c>
      <c r="O43" s="45">
        <f t="shared" ca="1" si="77"/>
        <v>10</v>
      </c>
      <c r="P43" s="42" t="str">
        <f>IF(VLOOKUP(F43,Fixture!$B$2:$F$137,5,FALSE)&lt;&gt;0,VLOOKUP(F43,Fixture!$B$2:$F$137,5,FALSE),"")</f>
        <v>La Amistad</v>
      </c>
      <c r="Q43" s="44">
        <f ca="1">IF($D43="Finalizado",_xlfn.XLOOKUP(P43,Resumen!$A$6:$A$22,Resumen!V$6:V$22,0),"")</f>
        <v>3</v>
      </c>
      <c r="R43" s="44">
        <f ca="1">IF($D43="Finalizado",_xlfn.XLOOKUP(P43,Resumen!$A$6:$A$22,Resumen!W$6:W$22,0),"")</f>
        <v>1</v>
      </c>
      <c r="S43" s="44">
        <f ca="1">IF($D43="Finalizado",_xlfn.XLOOKUP(P43,Resumen!$A$6:$A$22,Resumen!X$6:X$22,0)+_xlfn.XLOOKUP(P43,Resumen!$A$6:$A$22,Resumen!Y$6:Y$22,0),"")</f>
        <v>0</v>
      </c>
      <c r="T43" s="44">
        <f t="shared" ca="1" si="26"/>
        <v>1</v>
      </c>
      <c r="U43" s="44">
        <f t="shared" ca="1" si="29"/>
        <v>0</v>
      </c>
      <c r="V43" s="44">
        <f t="shared" ca="1" si="30"/>
        <v>0</v>
      </c>
      <c r="W43" s="44">
        <f t="shared" ca="1" si="27"/>
        <v>1</v>
      </c>
      <c r="X43" s="45">
        <f t="shared" ca="1" si="28"/>
        <v>5</v>
      </c>
      <c r="Y43" s="206" t="str">
        <f>+A43</f>
        <v>Fecha 6</v>
      </c>
      <c r="AA43" s="19" t="s">
        <v>48</v>
      </c>
      <c r="AB43"/>
      <c r="AC43" s="46" t="str">
        <f t="shared" ca="1" si="51"/>
        <v>Villanueva</v>
      </c>
      <c r="AD43">
        <f t="shared" ca="1" si="67"/>
        <v>15</v>
      </c>
      <c r="AE43">
        <f t="shared" ca="1" si="52"/>
        <v>8</v>
      </c>
      <c r="AF43">
        <f t="shared" ca="1" si="53"/>
        <v>1</v>
      </c>
      <c r="AG43">
        <f t="shared" ca="1" si="54"/>
        <v>6</v>
      </c>
      <c r="AH43">
        <f t="shared" ca="1" si="55"/>
        <v>49</v>
      </c>
      <c r="AI43">
        <f t="shared" ca="1" si="56"/>
        <v>35</v>
      </c>
      <c r="AJ43">
        <f t="shared" ca="1" si="57"/>
        <v>14</v>
      </c>
      <c r="AK43">
        <f t="shared" ca="1" si="58"/>
        <v>155</v>
      </c>
      <c r="AL43">
        <f t="shared" ca="1" si="59"/>
        <v>25</v>
      </c>
      <c r="AM43">
        <f t="shared" ca="1" si="60"/>
        <v>30026.968052631579</v>
      </c>
      <c r="AO43">
        <f t="shared" ca="1" si="68"/>
        <v>40029.371588235299</v>
      </c>
      <c r="AP43" s="46" t="str">
        <f t="shared" ca="1" si="69"/>
        <v>Villanueva</v>
      </c>
      <c r="AQ43">
        <f t="shared" ca="1" si="70"/>
        <v>21</v>
      </c>
      <c r="AR43">
        <f t="shared" ca="1" si="71"/>
        <v>13</v>
      </c>
      <c r="AS43">
        <f t="shared" ca="1" si="61"/>
        <v>1</v>
      </c>
      <c r="AT43">
        <f t="shared" ca="1" si="62"/>
        <v>7</v>
      </c>
      <c r="AU43">
        <f t="shared" ca="1" si="63"/>
        <v>71</v>
      </c>
      <c r="AV43">
        <f t="shared" ca="1" si="64"/>
        <v>43</v>
      </c>
      <c r="AW43">
        <f t="shared" ca="1" si="65"/>
        <v>28</v>
      </c>
      <c r="AX43">
        <f t="shared" ca="1" si="72"/>
        <v>170</v>
      </c>
      <c r="AY43">
        <f t="shared" ca="1" si="66"/>
        <v>40</v>
      </c>
      <c r="AZ43">
        <f t="shared" ca="1" si="73"/>
        <v>31012.071052631578</v>
      </c>
    </row>
    <row r="44" spans="1:52" ht="16.5" thickBot="1" x14ac:dyDescent="0.3">
      <c r="A44" s="213"/>
      <c r="B44" s="60">
        <f>IF(Fixture!C43,Fixture!C43,"")</f>
        <v>45711</v>
      </c>
      <c r="C44" s="58">
        <v>0.38194444444444442</v>
      </c>
      <c r="D44" s="82" t="str">
        <f t="shared" ca="1" si="8"/>
        <v>Finalizado</v>
      </c>
      <c r="E44" s="207"/>
      <c r="F44" s="43">
        <f>+Fixture!B43</f>
        <v>42</v>
      </c>
      <c r="G44" s="42" t="str">
        <f>IF(VLOOKUP(F44,Fixture!$B$2:$F$137,3,FALSE)&lt;&gt;0,VLOOKUP(F44,Fixture!$B$2:$F$137,3,FALSE),"")</f>
        <v>Valentín FC</v>
      </c>
      <c r="H44" s="44">
        <f ca="1">IF($D44="Finalizado",_xlfn.XLOOKUP(G44,Resumen!$A$6:$A$22,Resumen!V$6:V$22,0),"")</f>
        <v>1</v>
      </c>
      <c r="I44" s="44">
        <f ca="1">IF($D44="Finalizado",_xlfn.XLOOKUP(G44,Resumen!$A$6:$A$22,Resumen!W$6:W$22,0),"")</f>
        <v>2</v>
      </c>
      <c r="J44" s="44">
        <f ca="1">IF($D44="Finalizado",_xlfn.XLOOKUP(G44,Resumen!$A$6:$A$22,Resumen!X$6:X$22,0)+_xlfn.XLOOKUP(G44,Resumen!$A$6:$A$22,Resumen!Y$6:Y$22,0),"")</f>
        <v>0</v>
      </c>
      <c r="K44" s="44">
        <f t="shared" ca="1" si="0"/>
        <v>0</v>
      </c>
      <c r="L44" s="44">
        <f t="shared" ca="1" si="74"/>
        <v>0</v>
      </c>
      <c r="M44" s="44">
        <f t="shared" ca="1" si="75"/>
        <v>1</v>
      </c>
      <c r="N44" s="44">
        <f t="shared" ca="1" si="76"/>
        <v>1</v>
      </c>
      <c r="O44" s="45">
        <f t="shared" ca="1" si="77"/>
        <v>10</v>
      </c>
      <c r="P44" s="42" t="str">
        <f>IF(VLOOKUP(F44,Fixture!$B$2:$F$137,5,FALSE)&lt;&gt;0,VLOOKUP(F44,Fixture!$B$2:$F$137,5,FALSE),"")</f>
        <v>Konami</v>
      </c>
      <c r="Q44" s="44">
        <f ca="1">IF($D44="Finalizado",_xlfn.XLOOKUP(P44,Resumen!$A$6:$A$22,Resumen!V$6:V$22,0),"")</f>
        <v>2</v>
      </c>
      <c r="R44" s="44">
        <f ca="1">IF($D44="Finalizado",_xlfn.XLOOKUP(P44,Resumen!$A$6:$A$22,Resumen!W$6:W$22,0),"")</f>
        <v>1</v>
      </c>
      <c r="S44" s="44">
        <f ca="1">IF($D44="Finalizado",_xlfn.XLOOKUP(P44,Resumen!$A$6:$A$22,Resumen!X$6:X$22,0)+_xlfn.XLOOKUP(P44,Resumen!$A$6:$A$22,Resumen!Y$6:Y$22,0),"")</f>
        <v>0</v>
      </c>
      <c r="T44" s="44">
        <f t="shared" ca="1" si="26"/>
        <v>1</v>
      </c>
      <c r="U44" s="44">
        <f t="shared" ca="1" si="29"/>
        <v>0</v>
      </c>
      <c r="V44" s="44">
        <f t="shared" ca="1" si="30"/>
        <v>0</v>
      </c>
      <c r="W44" s="44">
        <f t="shared" ca="1" si="27"/>
        <v>1</v>
      </c>
      <c r="X44" s="45">
        <f t="shared" ca="1" si="28"/>
        <v>5</v>
      </c>
      <c r="Y44" s="207"/>
      <c r="AA44" s="19" t="s">
        <v>49</v>
      </c>
      <c r="AB44"/>
      <c r="AC44" s="46" t="str">
        <f t="shared" ca="1" si="51"/>
        <v>Valentín FC</v>
      </c>
      <c r="AD44">
        <f t="shared" ca="1" si="67"/>
        <v>15</v>
      </c>
      <c r="AE44">
        <f t="shared" ca="1" si="52"/>
        <v>6</v>
      </c>
      <c r="AF44">
        <f t="shared" ca="1" si="53"/>
        <v>4</v>
      </c>
      <c r="AG44">
        <f t="shared" ca="1" si="54"/>
        <v>5</v>
      </c>
      <c r="AH44">
        <f t="shared" ca="1" si="55"/>
        <v>55</v>
      </c>
      <c r="AI44">
        <f t="shared" ca="1" si="56"/>
        <v>37</v>
      </c>
      <c r="AJ44">
        <f t="shared" ca="1" si="57"/>
        <v>18</v>
      </c>
      <c r="AK44">
        <f t="shared" ca="1" si="58"/>
        <v>115</v>
      </c>
      <c r="AL44">
        <f t="shared" ca="1" si="59"/>
        <v>22</v>
      </c>
      <c r="AM44">
        <f t="shared" ca="1" si="60"/>
        <v>22018.655869565217</v>
      </c>
      <c r="AO44">
        <f t="shared" ca="1" si="68"/>
        <v>44043.388434782617</v>
      </c>
      <c r="AP44" s="46" t="str">
        <f t="shared" ca="1" si="69"/>
        <v>Valentín FC</v>
      </c>
      <c r="AQ44">
        <f t="shared" ca="1" si="70"/>
        <v>24</v>
      </c>
      <c r="AR44">
        <f t="shared" ca="1" si="71"/>
        <v>13</v>
      </c>
      <c r="AS44">
        <f t="shared" ca="1" si="61"/>
        <v>5</v>
      </c>
      <c r="AT44">
        <f t="shared" ca="1" si="62"/>
        <v>6</v>
      </c>
      <c r="AU44">
        <f t="shared" ca="1" si="63"/>
        <v>88</v>
      </c>
      <c r="AV44">
        <f t="shared" ca="1" si="64"/>
        <v>46</v>
      </c>
      <c r="AW44">
        <f t="shared" ca="1" si="65"/>
        <v>42</v>
      </c>
      <c r="AX44">
        <f t="shared" ca="1" si="72"/>
        <v>230</v>
      </c>
      <c r="AY44">
        <f t="shared" ca="1" si="66"/>
        <v>44</v>
      </c>
      <c r="AZ44">
        <f t="shared" ca="1" si="73"/>
        <v>27994.959540540542</v>
      </c>
    </row>
    <row r="45" spans="1:52" ht="16.5" thickBot="1" x14ac:dyDescent="0.3">
      <c r="A45" s="213"/>
      <c r="B45" s="60">
        <f>IF(Fixture!C44,Fixture!C44,"")</f>
        <v>45711</v>
      </c>
      <c r="C45" s="58">
        <v>0.43055555555555602</v>
      </c>
      <c r="D45" s="82" t="str">
        <f t="shared" ca="1" si="8"/>
        <v>Finalizado</v>
      </c>
      <c r="E45" s="207"/>
      <c r="F45" s="43">
        <f>+Fixture!B44</f>
        <v>43</v>
      </c>
      <c r="G45" s="42" t="str">
        <f>IF(VLOOKUP(F45,Fixture!$B$2:$F$137,3,FALSE)&lt;&gt;0,VLOOKUP(F45,Fixture!$B$2:$F$137,3,FALSE),"")</f>
        <v>Atalanta</v>
      </c>
      <c r="H45" s="44">
        <f ca="1">IF($D45="Finalizado",_xlfn.XLOOKUP(G45,Resumen!$A$6:$A$22,Resumen!V$6:V$22,0),"")</f>
        <v>2</v>
      </c>
      <c r="I45" s="44">
        <f ca="1">IF($D45="Finalizado",_xlfn.XLOOKUP(G45,Resumen!$A$6:$A$22,Resumen!W$6:W$22,0),"")</f>
        <v>0</v>
      </c>
      <c r="J45" s="44">
        <f ca="1">IF($D45="Finalizado",_xlfn.XLOOKUP(G45,Resumen!$A$6:$A$22,Resumen!X$6:X$22,0)+_xlfn.XLOOKUP(G45,Resumen!$A$6:$A$22,Resumen!Y$6:Y$22,0),"")</f>
        <v>0</v>
      </c>
      <c r="K45" s="44">
        <f t="shared" ca="1" si="0"/>
        <v>0</v>
      </c>
      <c r="L45" s="44">
        <f t="shared" ca="1" si="74"/>
        <v>0</v>
      </c>
      <c r="M45" s="44">
        <f t="shared" ca="1" si="75"/>
        <v>1</v>
      </c>
      <c r="N45" s="44">
        <f t="shared" ca="1" si="76"/>
        <v>1</v>
      </c>
      <c r="O45" s="45">
        <f t="shared" ca="1" si="77"/>
        <v>0</v>
      </c>
      <c r="P45" s="42" t="str">
        <f>IF(VLOOKUP(F45,Fixture!$B$2:$F$137,5,FALSE)&lt;&gt;0,VLOOKUP(F45,Fixture!$B$2:$F$137,5,FALSE),"")</f>
        <v>Hojas Anchas</v>
      </c>
      <c r="Q45" s="44">
        <f ca="1">IF($D45="Finalizado",_xlfn.XLOOKUP(P45,Resumen!$A$6:$A$22,Resumen!V$6:V$22,0),"")</f>
        <v>4</v>
      </c>
      <c r="R45" s="44">
        <f ca="1">IF($D45="Finalizado",_xlfn.XLOOKUP(P45,Resumen!$A$6:$A$22,Resumen!W$6:W$22,0),"")</f>
        <v>0</v>
      </c>
      <c r="S45" s="44">
        <f ca="1">IF($D45="Finalizado",_xlfn.XLOOKUP(P45,Resumen!$A$6:$A$22,Resumen!X$6:X$22,0)+_xlfn.XLOOKUP(P45,Resumen!$A$6:$A$22,Resumen!Y$6:Y$22,0),"")</f>
        <v>0</v>
      </c>
      <c r="T45" s="44">
        <f t="shared" ca="1" si="26"/>
        <v>1</v>
      </c>
      <c r="U45" s="44">
        <f t="shared" ca="1" si="29"/>
        <v>0</v>
      </c>
      <c r="V45" s="44">
        <f t="shared" ca="1" si="30"/>
        <v>0</v>
      </c>
      <c r="W45" s="44">
        <f t="shared" ca="1" si="27"/>
        <v>1</v>
      </c>
      <c r="X45" s="45">
        <f t="shared" ca="1" si="28"/>
        <v>0</v>
      </c>
      <c r="Y45" s="207"/>
      <c r="AA45" s="19" t="s">
        <v>240</v>
      </c>
      <c r="AB45"/>
      <c r="AC45" s="46" t="str">
        <f t="shared" ca="1" si="51"/>
        <v>Amenadim</v>
      </c>
      <c r="AD45">
        <f t="shared" ca="1" si="67"/>
        <v>15</v>
      </c>
      <c r="AE45">
        <f t="shared" ca="1" si="52"/>
        <v>7</v>
      </c>
      <c r="AF45">
        <f t="shared" ca="1" si="53"/>
        <v>1</v>
      </c>
      <c r="AG45">
        <f t="shared" ca="1" si="54"/>
        <v>7</v>
      </c>
      <c r="AH45">
        <f t="shared" ca="1" si="55"/>
        <v>51</v>
      </c>
      <c r="AI45">
        <f t="shared" ca="1" si="56"/>
        <v>43</v>
      </c>
      <c r="AJ45">
        <f t="shared" ca="1" si="57"/>
        <v>8</v>
      </c>
      <c r="AK45">
        <f t="shared" ca="1" si="58"/>
        <v>70</v>
      </c>
      <c r="AL45">
        <f t="shared" ca="1" si="59"/>
        <v>22</v>
      </c>
      <c r="AM45">
        <f t="shared" ca="1" si="60"/>
        <v>27012.94876923077</v>
      </c>
      <c r="AO45">
        <f t="shared" ca="1" si="68"/>
        <v>31012.071052631578</v>
      </c>
      <c r="AP45" s="46" t="str">
        <f t="shared" ca="1" si="69"/>
        <v>Amenadim</v>
      </c>
      <c r="AQ45">
        <f t="shared" ca="1" si="70"/>
        <v>21</v>
      </c>
      <c r="AR45">
        <f t="shared" ca="1" si="71"/>
        <v>10</v>
      </c>
      <c r="AS45">
        <f t="shared" ca="1" si="61"/>
        <v>1</v>
      </c>
      <c r="AT45">
        <f t="shared" ca="1" si="62"/>
        <v>10</v>
      </c>
      <c r="AU45">
        <f t="shared" ca="1" si="63"/>
        <v>70</v>
      </c>
      <c r="AV45">
        <f t="shared" ca="1" si="64"/>
        <v>59</v>
      </c>
      <c r="AW45">
        <f t="shared" ca="1" si="65"/>
        <v>11</v>
      </c>
      <c r="AX45">
        <f t="shared" ca="1" si="72"/>
        <v>95</v>
      </c>
      <c r="AY45">
        <f t="shared" ca="1" si="66"/>
        <v>31</v>
      </c>
      <c r="AZ45">
        <f t="shared" ca="1" si="73"/>
        <v>27013.867416666664</v>
      </c>
    </row>
    <row r="46" spans="1:52" ht="16.5" thickBot="1" x14ac:dyDescent="0.3">
      <c r="A46" s="213"/>
      <c r="B46" s="60">
        <f>IF(Fixture!C45,Fixture!C45,"")</f>
        <v>45711</v>
      </c>
      <c r="C46" s="58">
        <v>0.47916666666666602</v>
      </c>
      <c r="D46" s="82" t="str">
        <f t="shared" ca="1" si="8"/>
        <v>Finalizado</v>
      </c>
      <c r="E46" s="207"/>
      <c r="F46" s="43">
        <f>+Fixture!B45</f>
        <v>44</v>
      </c>
      <c r="G46" s="42" t="str">
        <f>IF(VLOOKUP(F46,Fixture!$B$2:$F$137,3,FALSE)&lt;&gt;0,VLOOKUP(F46,Fixture!$B$2:$F$137,3,FALSE),"")</f>
        <v>Amenadim</v>
      </c>
      <c r="H46" s="44">
        <f ca="1">IF($D46="Finalizado",_xlfn.XLOOKUP(G46,Resumen!$A$6:$A$22,Resumen!V$6:V$22,0),"")</f>
        <v>2</v>
      </c>
      <c r="I46" s="44">
        <f ca="1">IF($D46="Finalizado",_xlfn.XLOOKUP(G46,Resumen!$A$6:$A$22,Resumen!W$6:W$22,0),"")</f>
        <v>0</v>
      </c>
      <c r="J46" s="44">
        <f ca="1">IF($D46="Finalizado",_xlfn.XLOOKUP(G46,Resumen!$A$6:$A$22,Resumen!X$6:X$22,0)+_xlfn.XLOOKUP(G46,Resumen!$A$6:$A$22,Resumen!Y$6:Y$22,0),"")</f>
        <v>0</v>
      </c>
      <c r="K46" s="44">
        <f t="shared" ca="1" si="0"/>
        <v>0</v>
      </c>
      <c r="L46" s="44">
        <f t="shared" ca="1" si="74"/>
        <v>0</v>
      </c>
      <c r="M46" s="44">
        <f t="shared" ca="1" si="75"/>
        <v>1</v>
      </c>
      <c r="N46" s="44">
        <f t="shared" ca="1" si="76"/>
        <v>1</v>
      </c>
      <c r="O46" s="45">
        <f t="shared" ca="1" si="77"/>
        <v>0</v>
      </c>
      <c r="P46" s="42" t="str">
        <f>IF(VLOOKUP(F46,Fixture!$B$2:$F$137,5,FALSE)&lt;&gt;0,VLOOKUP(F46,Fixture!$B$2:$F$137,5,FALSE),"")</f>
        <v>Los Amigos</v>
      </c>
      <c r="Q46" s="44">
        <f ca="1">IF($D46="Finalizado",_xlfn.XLOOKUP(P46,Resumen!$A$6:$A$22,Resumen!V$6:V$22,0),"")</f>
        <v>6</v>
      </c>
      <c r="R46" s="44">
        <f ca="1">IF($D46="Finalizado",_xlfn.XLOOKUP(P46,Resumen!$A$6:$A$22,Resumen!W$6:W$22,0),"")</f>
        <v>3</v>
      </c>
      <c r="S46" s="44">
        <f ca="1">IF($D46="Finalizado",_xlfn.XLOOKUP(P46,Resumen!$A$6:$A$22,Resumen!X$6:X$22,0)+_xlfn.XLOOKUP(P46,Resumen!$A$6:$A$22,Resumen!Y$6:Y$22,0),"")</f>
        <v>0</v>
      </c>
      <c r="T46" s="44">
        <f t="shared" ca="1" si="26"/>
        <v>1</v>
      </c>
      <c r="U46" s="44">
        <f t="shared" ca="1" si="29"/>
        <v>0</v>
      </c>
      <c r="V46" s="44">
        <f t="shared" ca="1" si="30"/>
        <v>0</v>
      </c>
      <c r="W46" s="44">
        <f t="shared" ca="1" si="27"/>
        <v>1</v>
      </c>
      <c r="X46" s="45">
        <f t="shared" ca="1" si="28"/>
        <v>15</v>
      </c>
      <c r="Y46" s="207"/>
      <c r="AA46" s="19" t="s">
        <v>241</v>
      </c>
      <c r="AB46"/>
      <c r="AC46" s="46" t="str">
        <f t="shared" ca="1" si="51"/>
        <v>Hojas Anchas</v>
      </c>
      <c r="AD46">
        <f t="shared" ca="1" si="67"/>
        <v>15</v>
      </c>
      <c r="AE46">
        <f t="shared" ca="1" si="52"/>
        <v>4</v>
      </c>
      <c r="AF46">
        <f t="shared" ca="1" si="53"/>
        <v>5</v>
      </c>
      <c r="AG46">
        <f t="shared" ca="1" si="54"/>
        <v>6</v>
      </c>
      <c r="AH46">
        <f t="shared" ca="1" si="55"/>
        <v>41</v>
      </c>
      <c r="AI46">
        <f t="shared" ca="1" si="56"/>
        <v>52</v>
      </c>
      <c r="AJ46">
        <f t="shared" ca="1" si="57"/>
        <v>-11</v>
      </c>
      <c r="AK46">
        <f t="shared" ca="1" si="58"/>
        <v>125</v>
      </c>
      <c r="AL46">
        <f t="shared" ca="1" si="59"/>
        <v>17</v>
      </c>
      <c r="AM46">
        <f t="shared" ca="1" si="60"/>
        <v>25014.849645161288</v>
      </c>
      <c r="AO46">
        <f t="shared" ca="1" si="68"/>
        <v>22981.666444444443</v>
      </c>
      <c r="AP46" s="46" t="str">
        <f t="shared" ca="1" si="69"/>
        <v>Hojas Anchas</v>
      </c>
      <c r="AQ46">
        <f t="shared" ca="1" si="70"/>
        <v>22</v>
      </c>
      <c r="AR46">
        <f t="shared" ca="1" si="71"/>
        <v>6</v>
      </c>
      <c r="AS46">
        <f t="shared" ca="1" si="61"/>
        <v>5</v>
      </c>
      <c r="AT46">
        <f t="shared" ca="1" si="62"/>
        <v>11</v>
      </c>
      <c r="AU46">
        <f t="shared" ca="1" si="63"/>
        <v>66</v>
      </c>
      <c r="AV46">
        <f t="shared" ca="1" si="64"/>
        <v>85</v>
      </c>
      <c r="AW46">
        <f t="shared" ca="1" si="65"/>
        <v>-19</v>
      </c>
      <c r="AX46">
        <f t="shared" ca="1" si="72"/>
        <v>225</v>
      </c>
      <c r="AY46">
        <f t="shared" ca="1" si="66"/>
        <v>23</v>
      </c>
      <c r="AZ46">
        <f t="shared" ca="1" si="73"/>
        <v>22981.666444444443</v>
      </c>
    </row>
    <row r="47" spans="1:52" ht="16.5" thickBot="1" x14ac:dyDescent="0.3">
      <c r="A47" s="213"/>
      <c r="B47" s="60">
        <f>IF(Fixture!C46,Fixture!C46,"")</f>
        <v>45711</v>
      </c>
      <c r="C47" s="58">
        <v>0.52777777777777701</v>
      </c>
      <c r="D47" s="82" t="str">
        <f t="shared" ca="1" si="8"/>
        <v>Finalizado</v>
      </c>
      <c r="E47" s="207"/>
      <c r="F47" s="43">
        <f>+Fixture!B46</f>
        <v>45</v>
      </c>
      <c r="G47" s="42" t="str">
        <f>IF(VLOOKUP(F47,Fixture!$B$2:$F$137,3,FALSE)&lt;&gt;0,VLOOKUP(F47,Fixture!$B$2:$F$137,3,FALSE),"")</f>
        <v>CD El Corozo</v>
      </c>
      <c r="H47" s="44">
        <f ca="1">IF($D47="Finalizado",_xlfn.XLOOKUP(G47,Resumen!$A$6:$A$22,Resumen!V$6:V$22,0),"")</f>
        <v>4</v>
      </c>
      <c r="I47" s="44">
        <f ca="1">IF($D47="Finalizado",_xlfn.XLOOKUP(G47,Resumen!$A$6:$A$22,Resumen!W$6:W$22,0),"")</f>
        <v>1</v>
      </c>
      <c r="J47" s="44">
        <f ca="1">IF($D47="Finalizado",_xlfn.XLOOKUP(G47,Resumen!$A$6:$A$22,Resumen!X$6:X$22,0)+_xlfn.XLOOKUP(G47,Resumen!$A$6:$A$22,Resumen!Y$6:Y$22,0),"")</f>
        <v>0</v>
      </c>
      <c r="K47" s="44">
        <f t="shared" ca="1" si="0"/>
        <v>1</v>
      </c>
      <c r="L47" s="44">
        <f t="shared" ca="1" si="74"/>
        <v>0</v>
      </c>
      <c r="M47" s="44">
        <f t="shared" ca="1" si="75"/>
        <v>0</v>
      </c>
      <c r="N47" s="44">
        <f t="shared" ca="1" si="76"/>
        <v>1</v>
      </c>
      <c r="O47" s="45">
        <f t="shared" ca="1" si="77"/>
        <v>5</v>
      </c>
      <c r="P47" s="42" t="str">
        <f>IF(VLOOKUP(F47,Fixture!$B$2:$F$137,5,FALSE)&lt;&gt;0,VLOOKUP(F47,Fixture!$B$2:$F$137,5,FALSE),"")</f>
        <v>Los Aliados</v>
      </c>
      <c r="Q47" s="44">
        <f ca="1">IF($D47="Finalizado",_xlfn.XLOOKUP(P47,Resumen!$A$6:$A$22,Resumen!V$6:V$22,0),"")</f>
        <v>3</v>
      </c>
      <c r="R47" s="44">
        <f ca="1">IF($D47="Finalizado",_xlfn.XLOOKUP(P47,Resumen!$A$6:$A$22,Resumen!W$6:W$22,0),"")</f>
        <v>2</v>
      </c>
      <c r="S47" s="44">
        <f ca="1">IF($D47="Finalizado",_xlfn.XLOOKUP(P47,Resumen!$A$6:$A$22,Resumen!X$6:X$22,0)+_xlfn.XLOOKUP(P47,Resumen!$A$6:$A$22,Resumen!Y$6:Y$22,0),"")</f>
        <v>0</v>
      </c>
      <c r="T47" s="44">
        <f t="shared" ca="1" si="26"/>
        <v>0</v>
      </c>
      <c r="U47" s="44">
        <f t="shared" ca="1" si="29"/>
        <v>0</v>
      </c>
      <c r="V47" s="44">
        <f t="shared" ca="1" si="30"/>
        <v>1</v>
      </c>
      <c r="W47" s="44">
        <f t="shared" ca="1" si="27"/>
        <v>1</v>
      </c>
      <c r="X47" s="45">
        <f t="shared" ca="1" si="28"/>
        <v>10</v>
      </c>
      <c r="Y47" s="207"/>
      <c r="AA47" s="19" t="s">
        <v>242</v>
      </c>
      <c r="AB47"/>
      <c r="AC47" s="46" t="str">
        <f t="shared" ca="1" si="51"/>
        <v>Deportivo Fénix</v>
      </c>
      <c r="AD47">
        <f t="shared" ca="1" si="67"/>
        <v>15</v>
      </c>
      <c r="AE47">
        <f t="shared" ca="1" si="52"/>
        <v>5</v>
      </c>
      <c r="AF47">
        <f t="shared" ca="1" si="53"/>
        <v>1</v>
      </c>
      <c r="AG47">
        <f t="shared" ca="1" si="54"/>
        <v>9</v>
      </c>
      <c r="AH47">
        <f t="shared" ca="1" si="55"/>
        <v>39</v>
      </c>
      <c r="AI47">
        <f t="shared" ca="1" si="56"/>
        <v>81</v>
      </c>
      <c r="AJ47">
        <f t="shared" ca="1" si="57"/>
        <v>-42</v>
      </c>
      <c r="AK47">
        <f t="shared" ca="1" si="58"/>
        <v>75</v>
      </c>
      <c r="AL47">
        <f t="shared" ca="1" si="59"/>
        <v>16</v>
      </c>
      <c r="AM47">
        <f t="shared" ca="1" si="60"/>
        <v>16989.441800000004</v>
      </c>
      <c r="AO47">
        <f t="shared" ca="1" si="68"/>
        <v>21951.755111111113</v>
      </c>
      <c r="AP47" s="46" t="str">
        <f t="shared" ca="1" si="69"/>
        <v>Deportivo Fénix</v>
      </c>
      <c r="AQ47">
        <f t="shared" ca="1" si="70"/>
        <v>21</v>
      </c>
      <c r="AR47">
        <f t="shared" ca="1" si="71"/>
        <v>7</v>
      </c>
      <c r="AS47">
        <f t="shared" ca="1" si="61"/>
        <v>1</v>
      </c>
      <c r="AT47">
        <f t="shared" ca="1" si="62"/>
        <v>13</v>
      </c>
      <c r="AU47">
        <f t="shared" ca="1" si="63"/>
        <v>54</v>
      </c>
      <c r="AV47">
        <f t="shared" ca="1" si="64"/>
        <v>103</v>
      </c>
      <c r="AW47">
        <f t="shared" ca="1" si="65"/>
        <v>-49</v>
      </c>
      <c r="AX47">
        <f t="shared" ca="1" si="72"/>
        <v>90</v>
      </c>
      <c r="AY47">
        <f t="shared" ca="1" si="66"/>
        <v>22</v>
      </c>
      <c r="AZ47">
        <f t="shared" ca="1" si="73"/>
        <v>21951.755111111113</v>
      </c>
    </row>
    <row r="48" spans="1:52" ht="16.5" thickBot="1" x14ac:dyDescent="0.3">
      <c r="A48" s="213"/>
      <c r="B48" s="60">
        <f>IF(Fixture!C47,Fixture!C47,"")</f>
        <v>45711</v>
      </c>
      <c r="C48" s="58">
        <v>0.57638888888888895</v>
      </c>
      <c r="D48" s="82" t="str">
        <f t="shared" ca="1" si="8"/>
        <v>Finalizado</v>
      </c>
      <c r="E48" s="207"/>
      <c r="F48" s="43">
        <f>+Fixture!B47</f>
        <v>46</v>
      </c>
      <c r="G48" s="42" t="str">
        <f>IF(VLOOKUP(F48,Fixture!$B$2:$F$137,3,FALSE)&lt;&gt;0,VLOOKUP(F48,Fixture!$B$2:$F$137,3,FALSE),"")</f>
        <v>La Unión FC</v>
      </c>
      <c r="H48" s="44">
        <f ca="1">IF($D48="Finalizado",_xlfn.XLOOKUP(G48,Resumen!$A$6:$A$22,Resumen!V$6:V$22,0),"")</f>
        <v>3</v>
      </c>
      <c r="I48" s="44">
        <f ca="1">IF($D48="Finalizado",_xlfn.XLOOKUP(G48,Resumen!$A$6:$A$22,Resumen!W$6:W$22,0),"")</f>
        <v>1</v>
      </c>
      <c r="J48" s="44">
        <f ca="1">IF($D48="Finalizado",_xlfn.XLOOKUP(G48,Resumen!$A$6:$A$22,Resumen!X$6:X$22,0)+_xlfn.XLOOKUP(G48,Resumen!$A$6:$A$22,Resumen!Y$6:Y$22,0),"")</f>
        <v>0</v>
      </c>
      <c r="K48" s="44">
        <f t="shared" ca="1" si="0"/>
        <v>1</v>
      </c>
      <c r="L48" s="44">
        <f t="shared" ca="1" si="74"/>
        <v>0</v>
      </c>
      <c r="M48" s="44">
        <f t="shared" ca="1" si="75"/>
        <v>0</v>
      </c>
      <c r="N48" s="44">
        <f t="shared" ca="1" si="76"/>
        <v>1</v>
      </c>
      <c r="O48" s="45">
        <f t="shared" ca="1" si="77"/>
        <v>5</v>
      </c>
      <c r="P48" s="42" t="str">
        <f>IF(VLOOKUP(F48,Fixture!$B$2:$F$137,5,FALSE)&lt;&gt;0,VLOOKUP(F48,Fixture!$B$2:$F$137,5,FALSE),"")</f>
        <v>Boca Juniors</v>
      </c>
      <c r="Q48" s="44">
        <f ca="1">IF($D48="Finalizado",_xlfn.XLOOKUP(P48,Resumen!$A$6:$A$22,Resumen!V$6:V$22,0),"")</f>
        <v>2</v>
      </c>
      <c r="R48" s="44">
        <f ca="1">IF($D48="Finalizado",_xlfn.XLOOKUP(P48,Resumen!$A$6:$A$22,Resumen!W$6:W$22,0),"")</f>
        <v>1</v>
      </c>
      <c r="S48" s="44">
        <f ca="1">IF($D48="Finalizado",_xlfn.XLOOKUP(P48,Resumen!$A$6:$A$22,Resumen!X$6:X$22,0)+_xlfn.XLOOKUP(P48,Resumen!$A$6:$A$22,Resumen!Y$6:Y$22,0),"")</f>
        <v>0</v>
      </c>
      <c r="T48" s="44">
        <f t="shared" ca="1" si="26"/>
        <v>0</v>
      </c>
      <c r="U48" s="44">
        <f t="shared" ca="1" si="29"/>
        <v>0</v>
      </c>
      <c r="V48" s="44">
        <f t="shared" ca="1" si="30"/>
        <v>1</v>
      </c>
      <c r="W48" s="44">
        <f t="shared" ca="1" si="27"/>
        <v>1</v>
      </c>
      <c r="X48" s="45">
        <f t="shared" ca="1" si="28"/>
        <v>5</v>
      </c>
      <c r="Y48" s="207"/>
      <c r="AA48" s="19" t="s">
        <v>245</v>
      </c>
      <c r="AB48"/>
      <c r="AC48" s="46" t="str">
        <f t="shared" ca="1" si="51"/>
        <v>Los Aliados</v>
      </c>
      <c r="AD48">
        <f t="shared" ca="1" si="67"/>
        <v>15</v>
      </c>
      <c r="AE48">
        <f t="shared" ca="1" si="52"/>
        <v>3</v>
      </c>
      <c r="AF48">
        <f t="shared" ca="1" si="53"/>
        <v>2</v>
      </c>
      <c r="AG48">
        <f t="shared" ca="1" si="54"/>
        <v>10</v>
      </c>
      <c r="AH48">
        <f t="shared" ca="1" si="55"/>
        <v>29</v>
      </c>
      <c r="AI48">
        <f t="shared" ca="1" si="56"/>
        <v>68</v>
      </c>
      <c r="AJ48">
        <f t="shared" ca="1" si="57"/>
        <v>-39</v>
      </c>
      <c r="AK48">
        <f t="shared" ca="1" si="58"/>
        <v>125</v>
      </c>
      <c r="AL48">
        <f t="shared" ca="1" si="59"/>
        <v>11</v>
      </c>
      <c r="AM48">
        <f t="shared" ca="1" si="60"/>
        <v>8928.3352222222202</v>
      </c>
      <c r="AO48">
        <f t="shared" ca="1" si="68"/>
        <v>13928.439512820512</v>
      </c>
      <c r="AP48" s="46" t="str">
        <f t="shared" ca="1" si="69"/>
        <v>Los Aliados</v>
      </c>
      <c r="AQ48">
        <f t="shared" ca="1" si="70"/>
        <v>22</v>
      </c>
      <c r="AR48">
        <f t="shared" ca="1" si="71"/>
        <v>4</v>
      </c>
      <c r="AS48">
        <f t="shared" ca="1" si="61"/>
        <v>2</v>
      </c>
      <c r="AT48">
        <f t="shared" ca="1" si="62"/>
        <v>16</v>
      </c>
      <c r="AU48">
        <f t="shared" ca="1" si="63"/>
        <v>39</v>
      </c>
      <c r="AV48">
        <f t="shared" ca="1" si="64"/>
        <v>111</v>
      </c>
      <c r="AW48">
        <f t="shared" ca="1" si="65"/>
        <v>-72</v>
      </c>
      <c r="AX48">
        <f t="shared" ca="1" si="72"/>
        <v>195</v>
      </c>
      <c r="AY48">
        <f t="shared" ca="1" si="66"/>
        <v>14</v>
      </c>
      <c r="AZ48">
        <f t="shared" ca="1" si="73"/>
        <v>13928.439512820512</v>
      </c>
    </row>
    <row r="49" spans="1:52" ht="16.5" thickBot="1" x14ac:dyDescent="0.3">
      <c r="A49" s="213"/>
      <c r="B49" s="60">
        <f>IF(Fixture!C48,Fixture!C48,"")</f>
        <v>45711</v>
      </c>
      <c r="C49" s="58">
        <v>0.625</v>
      </c>
      <c r="D49" s="82" t="str">
        <f t="shared" ca="1" si="8"/>
        <v>Finalizado</v>
      </c>
      <c r="E49" s="207"/>
      <c r="F49" s="43">
        <f>+Fixture!B48</f>
        <v>47</v>
      </c>
      <c r="G49" s="42" t="str">
        <f>IF(VLOOKUP(F49,Fixture!$B$2:$F$137,3,FALSE)&lt;&gt;0,VLOOKUP(F49,Fixture!$B$2:$F$137,3,FALSE),"")</f>
        <v>Ron Star</v>
      </c>
      <c r="H49" s="44">
        <f ca="1">IF($D49="Finalizado",_xlfn.XLOOKUP(G49,Resumen!$A$6:$A$22,Resumen!V$6:V$22,0),"")</f>
        <v>9</v>
      </c>
      <c r="I49" s="44">
        <f ca="1">IF($D49="Finalizado",_xlfn.XLOOKUP(G49,Resumen!$A$6:$A$22,Resumen!W$6:W$22,0),"")</f>
        <v>0</v>
      </c>
      <c r="J49" s="44">
        <f ca="1">IF($D49="Finalizado",_xlfn.XLOOKUP(G49,Resumen!$A$6:$A$22,Resumen!X$6:X$22,0)+_xlfn.XLOOKUP(G49,Resumen!$A$6:$A$22,Resumen!Y$6:Y$22,0),"")</f>
        <v>0</v>
      </c>
      <c r="K49" s="44">
        <f t="shared" ref="K49" ca="1" si="83">IF(D49="Finalizado",IF(H49&gt;Q49,1,0),"")</f>
        <v>1</v>
      </c>
      <c r="L49" s="44">
        <f t="shared" ref="L49" ca="1" si="84">IF(D49="Finalizado",IF(H49=Q49,1,0),"")</f>
        <v>0</v>
      </c>
      <c r="M49" s="44">
        <f t="shared" ref="M49" ca="1" si="85">IF(D49="Finalizado",IF(H49&lt;Q49,1,0),"")</f>
        <v>0</v>
      </c>
      <c r="N49" s="44">
        <f t="shared" ref="N49" ca="1" si="86">IF(D49="Finalizado",1,"")</f>
        <v>1</v>
      </c>
      <c r="O49" s="45">
        <f t="shared" ref="O49" ca="1" si="87">IF(D49="Finalizado",SUM(I49*5,J49*10),"")</f>
        <v>0</v>
      </c>
      <c r="P49" s="42" t="str">
        <f>IF(VLOOKUP(F49,Fixture!$B$2:$F$137,5,FALSE)&lt;&gt;0,VLOOKUP(F49,Fixture!$B$2:$F$137,5,FALSE),"")</f>
        <v>La Nueva Era</v>
      </c>
      <c r="Q49" s="44">
        <f ca="1">IF($D49="Finalizado",_xlfn.XLOOKUP(P49,Resumen!$A$6:$A$22,Resumen!V$6:V$22,0),"")</f>
        <v>2</v>
      </c>
      <c r="R49" s="44">
        <f ca="1">IF($D49="Finalizado",_xlfn.XLOOKUP(P49,Resumen!$A$6:$A$22,Resumen!W$6:W$22,0),"")</f>
        <v>0</v>
      </c>
      <c r="S49" s="44">
        <f ca="1">IF($D49="Finalizado",_xlfn.XLOOKUP(P49,Resumen!$A$6:$A$22,Resumen!X$6:X$22,0)+_xlfn.XLOOKUP(P49,Resumen!$A$6:$A$22,Resumen!Y$6:Y$22,0),"")</f>
        <v>0</v>
      </c>
      <c r="T49" s="44">
        <f t="shared" ca="1" si="26"/>
        <v>0</v>
      </c>
      <c r="U49" s="44">
        <f t="shared" ca="1" si="29"/>
        <v>0</v>
      </c>
      <c r="V49" s="44">
        <f t="shared" ca="1" si="30"/>
        <v>1</v>
      </c>
      <c r="W49" s="44">
        <f t="shared" ca="1" si="27"/>
        <v>1</v>
      </c>
      <c r="X49" s="45">
        <f t="shared" ca="1" si="28"/>
        <v>0</v>
      </c>
      <c r="Y49" s="207"/>
      <c r="AA49" s="19" t="s">
        <v>252</v>
      </c>
      <c r="AB49"/>
      <c r="AC49" s="46" t="str">
        <f t="shared" ca="1" si="51"/>
        <v>La Nueva Era</v>
      </c>
      <c r="AD49">
        <f t="shared" ca="1" si="67"/>
        <v>15</v>
      </c>
      <c r="AE49">
        <f t="shared" ca="1" si="52"/>
        <v>3</v>
      </c>
      <c r="AF49">
        <f t="shared" ca="1" si="53"/>
        <v>0</v>
      </c>
      <c r="AG49">
        <f t="shared" ca="1" si="54"/>
        <v>12</v>
      </c>
      <c r="AH49">
        <f t="shared" ca="1" si="55"/>
        <v>33</v>
      </c>
      <c r="AI49">
        <f t="shared" ca="1" si="56"/>
        <v>105</v>
      </c>
      <c r="AJ49">
        <f t="shared" ca="1" si="57"/>
        <v>-72</v>
      </c>
      <c r="AK49">
        <f t="shared" ca="1" si="58"/>
        <v>45</v>
      </c>
      <c r="AL49">
        <f t="shared" ca="1" si="59"/>
        <v>9</v>
      </c>
      <c r="AM49">
        <f t="shared" ca="1" si="60"/>
        <v>32032.06722222222</v>
      </c>
      <c r="AO49">
        <f t="shared" ca="1" si="68"/>
        <v>11905.44</v>
      </c>
      <c r="AP49" s="46" t="str">
        <f t="shared" ca="1" si="69"/>
        <v>La Nueva Era</v>
      </c>
      <c r="AQ49">
        <f t="shared" ca="1" si="70"/>
        <v>21</v>
      </c>
      <c r="AR49">
        <f t="shared" ca="1" si="71"/>
        <v>4</v>
      </c>
      <c r="AS49">
        <f t="shared" ca="1" si="61"/>
        <v>0</v>
      </c>
      <c r="AT49">
        <f t="shared" ca="1" si="62"/>
        <v>17</v>
      </c>
      <c r="AU49">
        <f t="shared" ca="1" si="63"/>
        <v>38</v>
      </c>
      <c r="AV49">
        <f t="shared" ca="1" si="64"/>
        <v>133</v>
      </c>
      <c r="AW49">
        <f t="shared" ca="1" si="65"/>
        <v>-95</v>
      </c>
      <c r="AX49">
        <f t="shared" ca="1" si="72"/>
        <v>50</v>
      </c>
      <c r="AY49">
        <f t="shared" ca="1" si="66"/>
        <v>12</v>
      </c>
      <c r="AZ49">
        <f t="shared" ca="1" si="73"/>
        <v>12956.350476190475</v>
      </c>
    </row>
    <row r="50" spans="1:52" ht="16.5" thickBot="1" x14ac:dyDescent="0.3">
      <c r="A50" s="214"/>
      <c r="B50" s="60">
        <f>IF(Fixture!C49,Fixture!C49,"")</f>
        <v>45711</v>
      </c>
      <c r="C50" s="58">
        <v>0.67361111111111105</v>
      </c>
      <c r="D50" s="82" t="str">
        <f t="shared" ca="1" si="8"/>
        <v>Finalizado</v>
      </c>
      <c r="E50" s="208"/>
      <c r="F50" s="43">
        <f>+Fixture!B49</f>
        <v>48</v>
      </c>
      <c r="G50" s="42" t="str">
        <f>IF(VLOOKUP(F50,Fixture!$B$2:$F$137,3,FALSE)&lt;&gt;0,VLOOKUP(F50,Fixture!$B$2:$F$137,3,FALSE),"")</f>
        <v>Rayos FC</v>
      </c>
      <c r="H50" s="48">
        <f ca="1">IF($D50="Finalizado",_xlfn.XLOOKUP(G50,Resumen!$A$6:$A$22,Resumen!V$6:V$22,0),"")</f>
        <v>0</v>
      </c>
      <c r="I50" s="48">
        <f ca="1">IF($D50="Finalizado",_xlfn.XLOOKUP(G50,Resumen!$A$6:$A$22,Resumen!W$6:W$22,0),"")</f>
        <v>0</v>
      </c>
      <c r="J50" s="48">
        <f ca="1">IF($D50="Finalizado",_xlfn.XLOOKUP(G50,Resumen!$A$6:$A$22,Resumen!X$6:X$22,0)+_xlfn.XLOOKUP(G50,Resumen!$A$6:$A$22,Resumen!Y$6:Y$22,0),"")</f>
        <v>3</v>
      </c>
      <c r="K50" s="48">
        <f t="shared" ca="1" si="0"/>
        <v>0</v>
      </c>
      <c r="L50" s="48">
        <f t="shared" ca="1" si="74"/>
        <v>0</v>
      </c>
      <c r="M50" s="48">
        <f t="shared" ca="1" si="75"/>
        <v>1</v>
      </c>
      <c r="N50" s="48">
        <f t="shared" ca="1" si="76"/>
        <v>1</v>
      </c>
      <c r="O50" s="49">
        <f t="shared" ca="1" si="77"/>
        <v>30</v>
      </c>
      <c r="P50" s="42" t="str">
        <f>IF(VLOOKUP(F50,Fixture!$B$2:$F$137,5,FALSE)&lt;&gt;0,VLOOKUP(F50,Fixture!$B$2:$F$137,5,FALSE),"")</f>
        <v>Deportivo Fénix</v>
      </c>
      <c r="Q50" s="48">
        <f ca="1">IF($D50="Finalizado",_xlfn.XLOOKUP(P50,Resumen!$A$6:$A$22,Resumen!V$6:V$22,0),"")</f>
        <v>3</v>
      </c>
      <c r="R50" s="48">
        <f ca="1">IF($D50="Finalizado",_xlfn.XLOOKUP(P50,Resumen!$A$6:$A$22,Resumen!W$6:W$22,0),"")</f>
        <v>0</v>
      </c>
      <c r="S50" s="48">
        <f ca="1">IF($D50="Finalizado",_xlfn.XLOOKUP(P50,Resumen!$A$6:$A$22,Resumen!X$6:X$22,0)+_xlfn.XLOOKUP(P50,Resumen!$A$6:$A$22,Resumen!Y$6:Y$22,0),"")</f>
        <v>0</v>
      </c>
      <c r="T50" s="44">
        <f t="shared" ca="1" si="26"/>
        <v>1</v>
      </c>
      <c r="U50" s="44">
        <f t="shared" ca="1" si="29"/>
        <v>0</v>
      </c>
      <c r="V50" s="44">
        <f t="shared" ca="1" si="30"/>
        <v>0</v>
      </c>
      <c r="W50" s="48">
        <f t="shared" ca="1" si="27"/>
        <v>1</v>
      </c>
      <c r="X50" s="49">
        <f t="shared" ca="1" si="28"/>
        <v>0</v>
      </c>
      <c r="Y50" s="208"/>
      <c r="AA50" s="19" t="s">
        <v>253</v>
      </c>
      <c r="AB50"/>
      <c r="AC50" s="46" t="str">
        <f t="shared" ca="1" si="51"/>
        <v>Atalanta</v>
      </c>
      <c r="AD50">
        <f t="shared" ca="1" si="67"/>
        <v>15</v>
      </c>
      <c r="AE50">
        <f t="shared" ca="1" si="52"/>
        <v>1</v>
      </c>
      <c r="AF50">
        <f t="shared" ca="1" si="53"/>
        <v>3</v>
      </c>
      <c r="AG50">
        <f t="shared" ca="1" si="54"/>
        <v>11</v>
      </c>
      <c r="AH50">
        <f t="shared" ca="1" si="55"/>
        <v>24</v>
      </c>
      <c r="AI50">
        <f t="shared" ca="1" si="56"/>
        <v>57</v>
      </c>
      <c r="AJ50">
        <f t="shared" ca="1" si="57"/>
        <v>-33</v>
      </c>
      <c r="AK50">
        <f t="shared" ca="1" si="58"/>
        <v>70</v>
      </c>
      <c r="AL50">
        <f t="shared" ca="1" si="59"/>
        <v>6</v>
      </c>
      <c r="AM50">
        <f t="shared" ca="1" si="60"/>
        <v>5967.1254285714294</v>
      </c>
      <c r="AO50">
        <f t="shared" ca="1" si="68"/>
        <v>12956.350476190475</v>
      </c>
      <c r="AP50" s="46" t="str">
        <f t="shared" ca="1" si="69"/>
        <v>Atalanta</v>
      </c>
      <c r="AQ50">
        <f t="shared" ca="1" si="70"/>
        <v>22</v>
      </c>
      <c r="AR50">
        <f t="shared" ca="1" si="71"/>
        <v>3</v>
      </c>
      <c r="AS50">
        <f t="shared" ca="1" si="61"/>
        <v>4</v>
      </c>
      <c r="AT50">
        <f t="shared" ca="1" si="62"/>
        <v>15</v>
      </c>
      <c r="AU50">
        <f t="shared" ca="1" si="63"/>
        <v>50</v>
      </c>
      <c r="AV50">
        <f t="shared" ca="1" si="64"/>
        <v>94</v>
      </c>
      <c r="AW50">
        <f t="shared" ca="1" si="65"/>
        <v>-44</v>
      </c>
      <c r="AX50">
        <f t="shared" ca="1" si="72"/>
        <v>210</v>
      </c>
      <c r="AY50">
        <f t="shared" ca="1" si="66"/>
        <v>13</v>
      </c>
      <c r="AZ50">
        <f t="shared" ca="1" si="73"/>
        <v>11905.44</v>
      </c>
    </row>
    <row r="51" spans="1:52" ht="16.5" thickBot="1" x14ac:dyDescent="0.3">
      <c r="A51" s="212" t="s">
        <v>11</v>
      </c>
      <c r="B51" s="60">
        <f>IF(Fixture!C50,Fixture!C50,"")</f>
        <v>45718</v>
      </c>
      <c r="C51" s="58">
        <v>0.33333333333333331</v>
      </c>
      <c r="D51" s="82" t="str">
        <f t="shared" ca="1" si="8"/>
        <v>Finalizado</v>
      </c>
      <c r="E51" s="206" t="s">
        <v>114</v>
      </c>
      <c r="F51" s="43">
        <f>+Fixture!B50</f>
        <v>49</v>
      </c>
      <c r="G51" s="42" t="str">
        <f>IF(VLOOKUP(F51,Fixture!$B$2:$F$137,3,FALSE)&lt;&gt;0,VLOOKUP(F51,Fixture!$B$2:$F$137,3,FALSE),"")</f>
        <v>Ron Star</v>
      </c>
      <c r="H51" s="44">
        <f ca="1">IF($D51="Finalizado",_xlfn.XLOOKUP(G51,Resumen!$A$6:$A$22,Resumen!Z$6:Z$22,0),"")</f>
        <v>5</v>
      </c>
      <c r="I51" s="44">
        <f ca="1">IF($D51="Finalizado",_xlfn.XLOOKUP(G51,Resumen!$A$6:$A$22,Resumen!AA$6:AA$22,0),"")</f>
        <v>0</v>
      </c>
      <c r="J51" s="44">
        <f ca="1">IF($D51="Finalizado",_xlfn.XLOOKUP(G51,Resumen!$A$6:$A$22,Resumen!AB$6:AB$22,0)+_xlfn.XLOOKUP(G51,Resumen!$A$6:$A$22,Resumen!AC$6:AC$22,0),"")</f>
        <v>0</v>
      </c>
      <c r="K51" s="44">
        <f t="shared" ca="1" si="0"/>
        <v>0</v>
      </c>
      <c r="L51" s="44">
        <f t="shared" ca="1" si="74"/>
        <v>1</v>
      </c>
      <c r="M51" s="44">
        <f t="shared" ca="1" si="75"/>
        <v>0</v>
      </c>
      <c r="N51" s="44">
        <f t="shared" ca="1" si="76"/>
        <v>1</v>
      </c>
      <c r="O51" s="45">
        <f t="shared" ca="1" si="77"/>
        <v>0</v>
      </c>
      <c r="P51" s="42" t="str">
        <f>IF(VLOOKUP(F51,Fixture!$B$2:$F$137,5,FALSE)&lt;&gt;0,VLOOKUP(F51,Fixture!$B$2:$F$137,5,FALSE),"")</f>
        <v>La Amistad</v>
      </c>
      <c r="Q51" s="44">
        <f ca="1">IF($D51="Finalizado",_xlfn.XLOOKUP(P51,Resumen!$A$6:$A$22,Resumen!Z$6:Z$22,0),"")</f>
        <v>5</v>
      </c>
      <c r="R51" s="44">
        <f ca="1">IF($D51="Finalizado",_xlfn.XLOOKUP(P51,Resumen!$A$6:$A$22,Resumen!AA$6:AA$22,0),"")</f>
        <v>0</v>
      </c>
      <c r="S51" s="44">
        <f ca="1">IF($D51="Finalizado",_xlfn.XLOOKUP(P51,Resumen!$A$6:$A$22,Resumen!AB$6:AB$22,0)+_xlfn.XLOOKUP(P51,Resumen!$A$6:$A$22,Resumen!AC$6:AC$22,0),"")</f>
        <v>0</v>
      </c>
      <c r="T51" s="44">
        <f t="shared" ca="1" si="26"/>
        <v>0</v>
      </c>
      <c r="U51" s="44">
        <f t="shared" ca="1" si="29"/>
        <v>1</v>
      </c>
      <c r="V51" s="44">
        <f t="shared" ca="1" si="30"/>
        <v>0</v>
      </c>
      <c r="W51" s="44">
        <f t="shared" ca="1" si="27"/>
        <v>1</v>
      </c>
      <c r="X51" s="45">
        <f t="shared" ca="1" si="28"/>
        <v>0</v>
      </c>
      <c r="Y51" s="206" t="str">
        <f>+A51</f>
        <v>Fecha 7</v>
      </c>
      <c r="AA51" s="19" t="s">
        <v>383</v>
      </c>
      <c r="AB51"/>
      <c r="AC51" s="46" t="str">
        <f ca="1">VLOOKUP(AM93,$AB$78:$AC$93,2,FALSE)</f>
        <v>Rayos FC</v>
      </c>
      <c r="AD51">
        <f ca="1">VLOOKUP($AC51,$AC$78:$AK$93,9,FALSE)</f>
        <v>15</v>
      </c>
      <c r="AE51">
        <f ca="1">VLOOKUP($AC51,$AC$78:$AK$93,2,FALSE)</f>
        <v>1</v>
      </c>
      <c r="AF51">
        <f ca="1">VLOOKUP($AC51,$AC$78:$AK$93,3,FALSE)</f>
        <v>0</v>
      </c>
      <c r="AG51">
        <f ca="1">VLOOKUP($AC51,$AC$78:$AK$93,4,FALSE)</f>
        <v>14</v>
      </c>
      <c r="AH51">
        <f ca="1">VLOOKUP($AC51,$AC$78:$AK$93,5,FALSE)</f>
        <v>6</v>
      </c>
      <c r="AI51">
        <f ca="1">VLOOKUP($AC51,$AC$78:$AK$93,6,FALSE)</f>
        <v>50</v>
      </c>
      <c r="AJ51">
        <f ca="1">VLOOKUP($AC51,$AC$78:$AK$93,7,FALSE)</f>
        <v>-44</v>
      </c>
      <c r="AK51">
        <f ca="1">VLOOKUP($AC51,$AC$78:$AL$93,10,FALSE)</f>
        <v>370</v>
      </c>
      <c r="AL51">
        <f ca="1">VLOOKUP($AC51,$AC$78:$AK$93,8,FALSE)</f>
        <v>3</v>
      </c>
      <c r="AM51">
        <f ca="1">VLOOKUP($AC51,$AC$78:$AM$93,11,FALSE)</f>
        <v>15958.540333333334</v>
      </c>
      <c r="AO51">
        <f t="shared" ref="AO51" ca="1" si="88">AY51*1000+(AW51)+(AR51/10)+(AU51/1000)+IF(AX51&gt;0,(0.1/AX51),0)</f>
        <v>2956.1062702702702</v>
      </c>
      <c r="AP51" s="46" t="str">
        <f t="shared" ca="1" si="69"/>
        <v>Rayos FC</v>
      </c>
      <c r="AQ51">
        <f t="shared" ca="1" si="70"/>
        <v>15</v>
      </c>
      <c r="AR51">
        <f t="shared" ca="1" si="71"/>
        <v>1</v>
      </c>
      <c r="AS51">
        <f t="shared" ca="1" si="61"/>
        <v>0</v>
      </c>
      <c r="AT51">
        <f t="shared" ca="1" si="62"/>
        <v>14</v>
      </c>
      <c r="AU51">
        <f t="shared" ca="1" si="63"/>
        <v>6</v>
      </c>
      <c r="AV51">
        <f t="shared" ca="1" si="64"/>
        <v>50</v>
      </c>
      <c r="AW51">
        <f t="shared" ca="1" si="65"/>
        <v>-44</v>
      </c>
      <c r="AX51">
        <f t="shared" ca="1" si="72"/>
        <v>370</v>
      </c>
      <c r="AY51">
        <f t="shared" ca="1" si="66"/>
        <v>3</v>
      </c>
      <c r="AZ51">
        <f t="shared" ref="AZ51" ca="1" si="89">LARGE($AO$36:$AO$51,AA93)</f>
        <v>2956.1062702702702</v>
      </c>
    </row>
    <row r="52" spans="1:52" ht="16.5" thickBot="1" x14ac:dyDescent="0.3">
      <c r="A52" s="213"/>
      <c r="B52" s="60">
        <f>IF(Fixture!C51,Fixture!C51,"")</f>
        <v>45718</v>
      </c>
      <c r="C52" s="58">
        <v>0.38194444444444442</v>
      </c>
      <c r="D52" s="82" t="str">
        <f t="shared" ca="1" si="8"/>
        <v>Finalizado</v>
      </c>
      <c r="E52" s="207"/>
      <c r="F52" s="43">
        <f>+Fixture!B51</f>
        <v>50</v>
      </c>
      <c r="G52" s="42" t="str">
        <f>IF(VLOOKUP(F52,Fixture!$B$2:$F$137,3,FALSE)&lt;&gt;0,VLOOKUP(F52,Fixture!$B$2:$F$137,3,FALSE),"")</f>
        <v>Hojas Anchas</v>
      </c>
      <c r="H52" s="44">
        <f ca="1">IF($D52="Finalizado",_xlfn.XLOOKUP(G52,Resumen!$A$6:$A$22,Resumen!Z$6:Z$22,0),"")</f>
        <v>1</v>
      </c>
      <c r="I52" s="44">
        <f ca="1">IF($D52="Finalizado",_xlfn.XLOOKUP(G52,Resumen!$A$6:$A$22,Resumen!AA$6:AA$22,0),"")</f>
        <v>0</v>
      </c>
      <c r="J52" s="44">
        <f ca="1">IF($D52="Finalizado",_xlfn.XLOOKUP(G52,Resumen!$A$6:$A$22,Resumen!AB$6:AB$22,0)+_xlfn.XLOOKUP(G52,Resumen!$A$6:$A$22,Resumen!AC$6:AC$22,0),"")</f>
        <v>1</v>
      </c>
      <c r="K52" s="44">
        <f t="shared" ca="1" si="0"/>
        <v>0</v>
      </c>
      <c r="L52" s="44">
        <f t="shared" ca="1" si="74"/>
        <v>0</v>
      </c>
      <c r="M52" s="44">
        <f t="shared" ca="1" si="75"/>
        <v>1</v>
      </c>
      <c r="N52" s="44">
        <f t="shared" ca="1" si="76"/>
        <v>1</v>
      </c>
      <c r="O52" s="45">
        <f t="shared" ca="1" si="77"/>
        <v>10</v>
      </c>
      <c r="P52" s="42" t="str">
        <f>IF(VLOOKUP(F52,Fixture!$B$2:$F$137,5,FALSE)&lt;&gt;0,VLOOKUP(F52,Fixture!$B$2:$F$137,5,FALSE),"")</f>
        <v>Los Amigos</v>
      </c>
      <c r="Q52" s="44">
        <f ca="1">IF($D52="Finalizado",_xlfn.XLOOKUP(P52,Resumen!$A$6:$A$22,Resumen!Z$6:Z$22,0),"")</f>
        <v>6</v>
      </c>
      <c r="R52" s="44">
        <f ca="1">IF($D52="Finalizado",_xlfn.XLOOKUP(P52,Resumen!$A$6:$A$22,Resumen!AA$6:AA$22,0),"")</f>
        <v>1</v>
      </c>
      <c r="S52" s="44">
        <f ca="1">IF($D52="Finalizado",_xlfn.XLOOKUP(P52,Resumen!$A$6:$A$22,Resumen!AB$6:AB$22,0)+_xlfn.XLOOKUP(P52,Resumen!$A$6:$A$22,Resumen!AC$6:AC$22,0),"")</f>
        <v>0</v>
      </c>
      <c r="T52" s="44">
        <f t="shared" ca="1" si="26"/>
        <v>1</v>
      </c>
      <c r="U52" s="44">
        <f t="shared" ca="1" si="29"/>
        <v>0</v>
      </c>
      <c r="V52" s="44">
        <f t="shared" ca="1" si="30"/>
        <v>0</v>
      </c>
      <c r="W52" s="44">
        <f t="shared" ca="1" si="27"/>
        <v>1</v>
      </c>
      <c r="X52" s="45">
        <f t="shared" ca="1" si="28"/>
        <v>5</v>
      </c>
      <c r="Y52" s="207"/>
      <c r="AA52" s="19"/>
      <c r="AB52"/>
      <c r="AC52" s="46"/>
      <c r="AD52"/>
      <c r="AE52"/>
      <c r="AF52"/>
      <c r="AG52"/>
      <c r="AH52"/>
      <c r="AI52"/>
      <c r="AJ52"/>
      <c r="AK52"/>
      <c r="AL52"/>
      <c r="AM52"/>
      <c r="AO52"/>
      <c r="AP52" s="46"/>
      <c r="AQ52"/>
      <c r="AR52"/>
      <c r="AS52"/>
      <c r="AT52"/>
      <c r="AU52"/>
      <c r="AV52"/>
      <c r="AW52"/>
      <c r="AX52"/>
      <c r="AY52"/>
      <c r="AZ52"/>
    </row>
    <row r="53" spans="1:52" ht="16.5" thickBot="1" x14ac:dyDescent="0.3">
      <c r="A53" s="213"/>
      <c r="B53" s="60">
        <f>IF(Fixture!C52,Fixture!C52,"")</f>
        <v>45718</v>
      </c>
      <c r="C53" s="58">
        <v>0.43055555555555602</v>
      </c>
      <c r="D53" s="82" t="str">
        <f t="shared" ca="1" si="8"/>
        <v>Finalizado</v>
      </c>
      <c r="E53" s="207"/>
      <c r="F53" s="43">
        <f>+Fixture!B52</f>
        <v>51</v>
      </c>
      <c r="G53" s="42" t="str">
        <f>IF(VLOOKUP(F53,Fixture!$B$2:$F$137,3,FALSE)&lt;&gt;0,VLOOKUP(F53,Fixture!$B$2:$F$137,3,FALSE),"")</f>
        <v>Amenadim</v>
      </c>
      <c r="H53" s="44">
        <f ca="1">IF($D53="Finalizado",_xlfn.XLOOKUP(G53,Resumen!$A$6:$A$22,Resumen!Z$6:Z$22,0),"")</f>
        <v>4</v>
      </c>
      <c r="I53" s="44">
        <f ca="1">IF($D53="Finalizado",_xlfn.XLOOKUP(G53,Resumen!$A$6:$A$22,Resumen!AA$6:AA$22,0),"")</f>
        <v>1</v>
      </c>
      <c r="J53" s="44">
        <f ca="1">IF($D53="Finalizado",_xlfn.XLOOKUP(G53,Resumen!$A$6:$A$22,Resumen!AB$6:AB$22,0)+_xlfn.XLOOKUP(G53,Resumen!$A$6:$A$22,Resumen!AC$6:AC$22,0),"")</f>
        <v>0</v>
      </c>
      <c r="K53" s="44">
        <f t="shared" ca="1" si="0"/>
        <v>1</v>
      </c>
      <c r="L53" s="44">
        <f t="shared" ca="1" si="74"/>
        <v>0</v>
      </c>
      <c r="M53" s="44">
        <f t="shared" ca="1" si="75"/>
        <v>0</v>
      </c>
      <c r="N53" s="44">
        <f t="shared" ca="1" si="76"/>
        <v>1</v>
      </c>
      <c r="O53" s="45">
        <f t="shared" ca="1" si="77"/>
        <v>5</v>
      </c>
      <c r="P53" s="42" t="str">
        <f>IF(VLOOKUP(F53,Fixture!$B$2:$F$137,5,FALSE)&lt;&gt;0,VLOOKUP(F53,Fixture!$B$2:$F$137,5,FALSE),"")</f>
        <v>La Nueva Era</v>
      </c>
      <c r="Q53" s="44">
        <f ca="1">IF($D53="Finalizado",_xlfn.XLOOKUP(P53,Resumen!$A$6:$A$22,Resumen!Z$6:Z$22,0),"")</f>
        <v>3</v>
      </c>
      <c r="R53" s="44">
        <f ca="1">IF($D53="Finalizado",_xlfn.XLOOKUP(P53,Resumen!$A$6:$A$22,Resumen!AA$6:AA$22,0),"")</f>
        <v>1</v>
      </c>
      <c r="S53" s="44">
        <f ca="1">IF($D53="Finalizado",_xlfn.XLOOKUP(P53,Resumen!$A$6:$A$22,Resumen!AB$6:AB$22,0)+_xlfn.XLOOKUP(P53,Resumen!$A$6:$A$22,Resumen!AC$6:AC$22,0),"")</f>
        <v>0</v>
      </c>
      <c r="T53" s="44">
        <f t="shared" ca="1" si="26"/>
        <v>0</v>
      </c>
      <c r="U53" s="44">
        <f t="shared" ca="1" si="29"/>
        <v>0</v>
      </c>
      <c r="V53" s="44">
        <f t="shared" ca="1" si="30"/>
        <v>1</v>
      </c>
      <c r="W53" s="44">
        <f t="shared" ca="1" si="27"/>
        <v>1</v>
      </c>
      <c r="X53" s="45">
        <f t="shared" ca="1" si="28"/>
        <v>5</v>
      </c>
      <c r="Y53" s="207"/>
    </row>
    <row r="54" spans="1:52" ht="16.5" thickBot="1" x14ac:dyDescent="0.3">
      <c r="A54" s="213"/>
      <c r="B54" s="60">
        <f>IF(Fixture!C53,Fixture!C53,"")</f>
        <v>45718</v>
      </c>
      <c r="C54" s="58">
        <v>0.47916666666666602</v>
      </c>
      <c r="D54" s="82" t="str">
        <f t="shared" ca="1" si="8"/>
        <v>Finalizado</v>
      </c>
      <c r="E54" s="207"/>
      <c r="F54" s="43">
        <f>+Fixture!B53</f>
        <v>52</v>
      </c>
      <c r="G54" s="42" t="str">
        <f>IF(VLOOKUP(F54,Fixture!$B$2:$F$137,3,FALSE)&lt;&gt;0,VLOOKUP(F54,Fixture!$B$2:$F$137,3,FALSE),"")</f>
        <v>Villanueva</v>
      </c>
      <c r="H54" s="44">
        <f ca="1">IF($D54="Finalizado",_xlfn.XLOOKUP(G54,Resumen!$A$6:$A$22,Resumen!Z$6:Z$22,0),"")</f>
        <v>2</v>
      </c>
      <c r="I54" s="44">
        <f ca="1">IF($D54="Finalizado",_xlfn.XLOOKUP(G54,Resumen!$A$6:$A$22,Resumen!AA$6:AA$22,0),"")</f>
        <v>0</v>
      </c>
      <c r="J54" s="44">
        <f ca="1">IF($D54="Finalizado",_xlfn.XLOOKUP(G54,Resumen!$A$6:$A$22,Resumen!AB$6:AB$22,0)+_xlfn.XLOOKUP(G54,Resumen!$A$6:$A$22,Resumen!AC$6:AC$22,0),"")</f>
        <v>0</v>
      </c>
      <c r="K54" s="44">
        <f t="shared" ca="1" si="0"/>
        <v>1</v>
      </c>
      <c r="L54" s="44">
        <f t="shared" ca="1" si="74"/>
        <v>0</v>
      </c>
      <c r="M54" s="44">
        <f t="shared" ca="1" si="75"/>
        <v>0</v>
      </c>
      <c r="N54" s="44">
        <f t="shared" ca="1" si="76"/>
        <v>1</v>
      </c>
      <c r="O54" s="45">
        <f t="shared" ca="1" si="77"/>
        <v>0</v>
      </c>
      <c r="P54" s="42" t="str">
        <f>IF(VLOOKUP(F54,Fixture!$B$2:$F$137,5,FALSE)&lt;&gt;0,VLOOKUP(F54,Fixture!$B$2:$F$137,5,FALSE),"")</f>
        <v>Konami</v>
      </c>
      <c r="Q54" s="44">
        <f ca="1">IF($D54="Finalizado",_xlfn.XLOOKUP(P54,Resumen!$A$6:$A$22,Resumen!Z$6:Z$22,0),"")</f>
        <v>1</v>
      </c>
      <c r="R54" s="44">
        <f ca="1">IF($D54="Finalizado",_xlfn.XLOOKUP(P54,Resumen!$A$6:$A$22,Resumen!AA$6:AA$22,0),"")</f>
        <v>1</v>
      </c>
      <c r="S54" s="44">
        <f ca="1">IF($D54="Finalizado",_xlfn.XLOOKUP(P54,Resumen!$A$6:$A$22,Resumen!AB$6:AB$22,0)+_xlfn.XLOOKUP(P54,Resumen!$A$6:$A$22,Resumen!AC$6:AC$22,0),"")</f>
        <v>0</v>
      </c>
      <c r="T54" s="44">
        <f t="shared" ca="1" si="26"/>
        <v>0</v>
      </c>
      <c r="U54" s="44">
        <f t="shared" ca="1" si="29"/>
        <v>0</v>
      </c>
      <c r="V54" s="44">
        <f t="shared" ca="1" si="30"/>
        <v>1</v>
      </c>
      <c r="W54" s="44">
        <f t="shared" ca="1" si="27"/>
        <v>1</v>
      </c>
      <c r="X54" s="45">
        <f t="shared" ca="1" si="28"/>
        <v>5</v>
      </c>
      <c r="Y54" s="207"/>
      <c r="AA54" s="219" t="s">
        <v>522</v>
      </c>
      <c r="AB54" s="219"/>
      <c r="AC54" s="219"/>
      <c r="AD54" s="219"/>
      <c r="AE54" s="219"/>
      <c r="AF54" s="219"/>
      <c r="AG54" s="219"/>
      <c r="AH54" s="219"/>
      <c r="AI54" s="219"/>
      <c r="AJ54" s="219"/>
      <c r="AK54" s="219"/>
      <c r="AL54" s="219"/>
    </row>
    <row r="55" spans="1:52" ht="16.5" thickBot="1" x14ac:dyDescent="0.3">
      <c r="A55" s="213"/>
      <c r="B55" s="60">
        <f>IF(Fixture!C54,Fixture!C54,"")</f>
        <v>45718</v>
      </c>
      <c r="C55" s="58">
        <v>0.52777777777777701</v>
      </c>
      <c r="D55" s="82" t="str">
        <f t="shared" ca="1" si="8"/>
        <v>Finalizado</v>
      </c>
      <c r="E55" s="207"/>
      <c r="F55" s="43">
        <f>+Fixture!B54</f>
        <v>53</v>
      </c>
      <c r="G55" s="42" t="str">
        <f>IF(VLOOKUP(F55,Fixture!$B$2:$F$137,3,FALSE)&lt;&gt;0,VLOOKUP(F55,Fixture!$B$2:$F$137,3,FALSE),"")</f>
        <v>CD El Corozo</v>
      </c>
      <c r="H55" s="44">
        <f ca="1">IF($D55="Finalizado",_xlfn.XLOOKUP(G55,Resumen!$A$6:$A$22,Resumen!Z$6:Z$22,0),"")</f>
        <v>0</v>
      </c>
      <c r="I55" s="44">
        <f ca="1">IF($D55="Finalizado",_xlfn.XLOOKUP(G55,Resumen!$A$6:$A$22,Resumen!AA$6:AA$22,0),"")</f>
        <v>0</v>
      </c>
      <c r="J55" s="44">
        <f ca="1">IF($D55="Finalizado",_xlfn.XLOOKUP(G55,Resumen!$A$6:$A$22,Resumen!AB$6:AB$22,0)+_xlfn.XLOOKUP(G55,Resumen!$A$6:$A$22,Resumen!AC$6:AC$22,0),"")</f>
        <v>0</v>
      </c>
      <c r="K55" s="44">
        <f t="shared" ca="1" si="0"/>
        <v>0</v>
      </c>
      <c r="L55" s="44">
        <f t="shared" ca="1" si="74"/>
        <v>0</v>
      </c>
      <c r="M55" s="44">
        <f t="shared" ca="1" si="75"/>
        <v>1</v>
      </c>
      <c r="N55" s="44">
        <f t="shared" ca="1" si="76"/>
        <v>1</v>
      </c>
      <c r="O55" s="45">
        <f t="shared" ca="1" si="77"/>
        <v>0</v>
      </c>
      <c r="P55" s="42" t="str">
        <f>IF(VLOOKUP(F55,Fixture!$B$2:$F$137,5,FALSE)&lt;&gt;0,VLOOKUP(F55,Fixture!$B$2:$F$137,5,FALSE),"")</f>
        <v>Boca Juniors</v>
      </c>
      <c r="Q55" s="44">
        <f ca="1">IF($D55="Finalizado",_xlfn.XLOOKUP(P55,Resumen!$A$6:$A$22,Resumen!Z$6:Z$22,0),"")</f>
        <v>2</v>
      </c>
      <c r="R55" s="44">
        <f ca="1">IF($D55="Finalizado",_xlfn.XLOOKUP(P55,Resumen!$A$6:$A$22,Resumen!AA$6:AA$22,0),"")</f>
        <v>2</v>
      </c>
      <c r="S55" s="44">
        <f ca="1">IF($D55="Finalizado",_xlfn.XLOOKUP(P55,Resumen!$A$6:$A$22,Resumen!AB$6:AB$22,0)+_xlfn.XLOOKUP(P55,Resumen!$A$6:$A$22,Resumen!AC$6:AC$22,0),"")</f>
        <v>0</v>
      </c>
      <c r="T55" s="44">
        <f t="shared" ca="1" si="26"/>
        <v>1</v>
      </c>
      <c r="U55" s="44">
        <f t="shared" ca="1" si="29"/>
        <v>0</v>
      </c>
      <c r="V55" s="44">
        <f t="shared" ca="1" si="30"/>
        <v>0</v>
      </c>
      <c r="W55" s="44">
        <f t="shared" ca="1" si="27"/>
        <v>1</v>
      </c>
      <c r="X55" s="45">
        <f t="shared" ca="1" si="28"/>
        <v>10</v>
      </c>
      <c r="Y55" s="207"/>
      <c r="AA55" s="40" t="s">
        <v>122</v>
      </c>
      <c r="AB55" s="40"/>
      <c r="AC55" s="41" t="s">
        <v>2</v>
      </c>
      <c r="AD55" s="40" t="s">
        <v>115</v>
      </c>
      <c r="AE55" s="40" t="s">
        <v>116</v>
      </c>
      <c r="AF55" s="40" t="s">
        <v>117</v>
      </c>
      <c r="AG55" s="40" t="s">
        <v>123</v>
      </c>
      <c r="AH55" s="40" t="s">
        <v>124</v>
      </c>
      <c r="AI55" s="40" t="s">
        <v>125</v>
      </c>
      <c r="AJ55" s="40" t="s">
        <v>126</v>
      </c>
      <c r="AK55" s="40" t="s">
        <v>127</v>
      </c>
      <c r="AL55" s="40" t="s">
        <v>119</v>
      </c>
      <c r="AM55"/>
      <c r="AP55" s="41" t="s">
        <v>2</v>
      </c>
      <c r="AQ55" s="40" t="s">
        <v>127</v>
      </c>
      <c r="AR55" s="40" t="s">
        <v>115</v>
      </c>
      <c r="AS55" s="40" t="s">
        <v>116</v>
      </c>
      <c r="AT55" s="40" t="s">
        <v>117</v>
      </c>
      <c r="AU55" s="40" t="s">
        <v>123</v>
      </c>
      <c r="AV55" s="40" t="s">
        <v>124</v>
      </c>
      <c r="AW55" s="40" t="s">
        <v>125</v>
      </c>
      <c r="AX55" s="40" t="s">
        <v>119</v>
      </c>
      <c r="AY55" s="40" t="s">
        <v>126</v>
      </c>
    </row>
    <row r="56" spans="1:52" ht="16.5" thickBot="1" x14ac:dyDescent="0.3">
      <c r="A56" s="213"/>
      <c r="B56" s="60">
        <f>IF(Fixture!C55,Fixture!C55,"")</f>
        <v>45718</v>
      </c>
      <c r="C56" s="58">
        <v>0.57638888888888895</v>
      </c>
      <c r="D56" s="82" t="str">
        <f t="shared" ca="1" si="8"/>
        <v>Finalizado</v>
      </c>
      <c r="E56" s="207"/>
      <c r="F56" s="43">
        <f>+Fixture!B55</f>
        <v>54</v>
      </c>
      <c r="G56" s="42" t="str">
        <f>IF(VLOOKUP(F56,Fixture!$B$2:$F$137,3,FALSE)&lt;&gt;0,VLOOKUP(F56,Fixture!$B$2:$F$137,3,FALSE),"")</f>
        <v>Atalanta</v>
      </c>
      <c r="H56" s="44">
        <f ca="1">IF($D56="Finalizado",_xlfn.XLOOKUP(G56,Resumen!$A$6:$A$22,Resumen!Z$6:Z$22,0),"")</f>
        <v>3</v>
      </c>
      <c r="I56" s="44">
        <f ca="1">IF($D56="Finalizado",_xlfn.XLOOKUP(G56,Resumen!$A$6:$A$22,Resumen!AA$6:AA$22,0),"")</f>
        <v>2</v>
      </c>
      <c r="J56" s="44">
        <f ca="1">IF($D56="Finalizado",_xlfn.XLOOKUP(G56,Resumen!$A$6:$A$22,Resumen!AB$6:AB$22,0)+_xlfn.XLOOKUP(G56,Resumen!$A$6:$A$22,Resumen!AC$6:AC$22,0),"")</f>
        <v>1</v>
      </c>
      <c r="K56" s="44">
        <f t="shared" ca="1" si="0"/>
        <v>0</v>
      </c>
      <c r="L56" s="44">
        <f t="shared" ca="1" si="74"/>
        <v>1</v>
      </c>
      <c r="M56" s="44">
        <f t="shared" ca="1" si="75"/>
        <v>0</v>
      </c>
      <c r="N56" s="44">
        <f t="shared" ca="1" si="76"/>
        <v>1</v>
      </c>
      <c r="O56" s="45">
        <f t="shared" ca="1" si="77"/>
        <v>20</v>
      </c>
      <c r="P56" s="42" t="str">
        <f>IF(VLOOKUP(F56,Fixture!$B$2:$F$137,5,FALSE)&lt;&gt;0,VLOOKUP(F56,Fixture!$B$2:$F$137,5,FALSE),"")</f>
        <v>Los Aliados</v>
      </c>
      <c r="Q56" s="44">
        <f ca="1">IF($D56="Finalizado",_xlfn.XLOOKUP(P56,Resumen!$A$6:$A$22,Resumen!Z$6:Z$22,0),"")</f>
        <v>3</v>
      </c>
      <c r="R56" s="44">
        <f ca="1">IF($D56="Finalizado",_xlfn.XLOOKUP(P56,Resumen!$A$6:$A$22,Resumen!AA$6:AA$22,0),"")</f>
        <v>0</v>
      </c>
      <c r="S56" s="44">
        <f ca="1">IF($D56="Finalizado",_xlfn.XLOOKUP(P56,Resumen!$A$6:$A$22,Resumen!AB$6:AB$22,0)+_xlfn.XLOOKUP(P56,Resumen!$A$6:$A$22,Resumen!AC$6:AC$22,0),"")</f>
        <v>1</v>
      </c>
      <c r="T56" s="44">
        <f t="shared" ca="1" si="26"/>
        <v>0</v>
      </c>
      <c r="U56" s="44">
        <f t="shared" ca="1" si="29"/>
        <v>1</v>
      </c>
      <c r="V56" s="44">
        <f t="shared" ca="1" si="30"/>
        <v>0</v>
      </c>
      <c r="W56" s="44">
        <f t="shared" ca="1" si="27"/>
        <v>1</v>
      </c>
      <c r="X56" s="45">
        <f t="shared" ca="1" si="28"/>
        <v>10</v>
      </c>
      <c r="Y56" s="207"/>
      <c r="AA56" s="19" t="s">
        <v>41</v>
      </c>
      <c r="AB56" s="19">
        <f ca="1">AJ56*1000+(AI56)+(AD56/10)+(AG56/1000)+IF(AL56&gt;0,(0.1/AL56),0)</f>
        <v>18022.63011111111</v>
      </c>
      <c r="AC56" s="46" t="str">
        <f ca="1">VLOOKUP(AM123,$AB$123:$AC$130,2,FALSE)</f>
        <v>Valentín FC</v>
      </c>
      <c r="AD56">
        <f t="shared" ref="AD56:AD62" ca="1" si="90">VLOOKUP($AC56,$AC$123:$AK$130,2,FALSE)</f>
        <v>6</v>
      </c>
      <c r="AE56">
        <f t="shared" ref="AE56:AE62" ca="1" si="91">VLOOKUP($AC56,$AC$123:$AK$130,3,FALSE)</f>
        <v>0</v>
      </c>
      <c r="AF56">
        <f t="shared" ref="AF56:AF62" ca="1" si="92">VLOOKUP($AC56,$AC$123:$AK$130,4,FALSE)</f>
        <v>1</v>
      </c>
      <c r="AG56">
        <f t="shared" ref="AG56:AG62" ca="1" si="93">VLOOKUP($AC56,$AC$123:$AK$130,5,FALSE)</f>
        <v>29</v>
      </c>
      <c r="AH56">
        <f t="shared" ref="AH56:AH62" ca="1" si="94">VLOOKUP($AC56,$AC$123:$AK$130,6,FALSE)</f>
        <v>7</v>
      </c>
      <c r="AI56">
        <f t="shared" ref="AI56:AI62" ca="1" si="95">VLOOKUP($AC56,$AC$123:$AK$130,7,FALSE)</f>
        <v>22</v>
      </c>
      <c r="AJ56">
        <f t="shared" ref="AJ56:AJ62" ca="1" si="96">VLOOKUP($AC56,$AC$123:$AK$130,8,FALSE)</f>
        <v>18</v>
      </c>
      <c r="AK56">
        <f ca="1">VLOOKUP($AC56,$AC$123:$AL$130,9,FALSE)</f>
        <v>7</v>
      </c>
      <c r="AL56">
        <f ca="1">VLOOKUP($AC56,$AC$123:$AL$140,10,FALSE)</f>
        <v>90</v>
      </c>
      <c r="AM56">
        <f ca="1">VLOOKUP($AC56,$AC$123:$AM$130,11,FALSE)</f>
        <v>7034.902714285714</v>
      </c>
      <c r="AO56" s="1">
        <f ca="1">AB78</f>
        <v>30026.968052631579</v>
      </c>
      <c r="AP56" s="1" t="str">
        <f ca="1">+AC36</f>
        <v>La Unión FC</v>
      </c>
      <c r="AQ56" s="1">
        <f ca="1">+AD36</f>
        <v>15</v>
      </c>
      <c r="AR56" s="1">
        <f t="shared" ref="AR56:AZ56" ca="1" si="97">+AE36</f>
        <v>11</v>
      </c>
      <c r="AS56" s="1">
        <f t="shared" ca="1" si="97"/>
        <v>3</v>
      </c>
      <c r="AT56" s="1">
        <f t="shared" ca="1" si="97"/>
        <v>1</v>
      </c>
      <c r="AU56" s="1">
        <f t="shared" ca="1" si="97"/>
        <v>83</v>
      </c>
      <c r="AV56" s="1">
        <f t="shared" ca="1" si="97"/>
        <v>46</v>
      </c>
      <c r="AW56" s="1">
        <f t="shared" ca="1" si="97"/>
        <v>37</v>
      </c>
      <c r="AX56" s="1">
        <f t="shared" ca="1" si="97"/>
        <v>85</v>
      </c>
      <c r="AY56" s="1">
        <f t="shared" ca="1" si="97"/>
        <v>36</v>
      </c>
      <c r="AZ56" s="1">
        <f t="shared" ca="1" si="97"/>
        <v>10961.3298</v>
      </c>
    </row>
    <row r="57" spans="1:52" ht="16.5" thickBot="1" x14ac:dyDescent="0.3">
      <c r="A57" s="213"/>
      <c r="B57" s="60">
        <f>IF(Fixture!C56,Fixture!C56,"")</f>
        <v>45718</v>
      </c>
      <c r="C57" s="58">
        <v>0.625</v>
      </c>
      <c r="D57" s="82" t="str">
        <f t="shared" ca="1" si="8"/>
        <v>Finalizado</v>
      </c>
      <c r="E57" s="207"/>
      <c r="F57" s="43">
        <f>+Fixture!B56</f>
        <v>55</v>
      </c>
      <c r="G57" s="42" t="str">
        <f>IF(VLOOKUP(F57,Fixture!$B$2:$F$137,3,FALSE)&lt;&gt;0,VLOOKUP(F57,Fixture!$B$2:$F$137,3,FALSE),"")</f>
        <v>La Unión FC</v>
      </c>
      <c r="H57" s="44">
        <f ca="1">IF($D57="Finalizado",_xlfn.XLOOKUP(G57,Resumen!$A$6:$A$22,Resumen!Z$6:Z$22,0),"")</f>
        <v>10</v>
      </c>
      <c r="I57" s="44">
        <f ca="1">IF($D57="Finalizado",_xlfn.XLOOKUP(G57,Resumen!$A$6:$A$22,Resumen!AA$6:AA$22,0),"")</f>
        <v>0</v>
      </c>
      <c r="J57" s="44">
        <f ca="1">IF($D57="Finalizado",_xlfn.XLOOKUP(G57,Resumen!$A$6:$A$22,Resumen!AB$6:AB$22,0)+_xlfn.XLOOKUP(G57,Resumen!$A$6:$A$22,Resumen!AC$6:AC$22,0),"")</f>
        <v>0</v>
      </c>
      <c r="K57" s="44">
        <f t="shared" ref="K57" ca="1" si="98">IF(D57="Finalizado",IF(H57&gt;Q57,1,0),"")</f>
        <v>1</v>
      </c>
      <c r="L57" s="44">
        <f t="shared" ref="L57" ca="1" si="99">IF(D57="Finalizado",IF(H57=Q57,1,0),"")</f>
        <v>0</v>
      </c>
      <c r="M57" s="44">
        <f t="shared" ref="M57" ca="1" si="100">IF(D57="Finalizado",IF(H57&lt;Q57,1,0),"")</f>
        <v>0</v>
      </c>
      <c r="N57" s="44">
        <f t="shared" ref="N57" ca="1" si="101">IF(D57="Finalizado",1,"")</f>
        <v>1</v>
      </c>
      <c r="O57" s="45">
        <f t="shared" ref="O57" ca="1" si="102">IF(D57="Finalizado",SUM(I57*5,J57*10),"")</f>
        <v>0</v>
      </c>
      <c r="P57" s="42" t="str">
        <f>IF(VLOOKUP(F57,Fixture!$B$2:$F$137,5,FALSE)&lt;&gt;0,VLOOKUP(F57,Fixture!$B$2:$F$137,5,FALSE),"")</f>
        <v>Deportivo Fénix</v>
      </c>
      <c r="Q57" s="44">
        <f ca="1">IF($D57="Finalizado",_xlfn.XLOOKUP(P57,Resumen!$A$6:$A$22,Resumen!Z$6:Z$22,0),"")</f>
        <v>1</v>
      </c>
      <c r="R57" s="44">
        <f ca="1">IF($D57="Finalizado",_xlfn.XLOOKUP(P57,Resumen!$A$6:$A$22,Resumen!AA$6:AA$22,0),"")</f>
        <v>0</v>
      </c>
      <c r="S57" s="44">
        <f ca="1">IF($D57="Finalizado",_xlfn.XLOOKUP(P57,Resumen!$A$6:$A$22,Resumen!AB$6:AB$22,0)+_xlfn.XLOOKUP(P57,Resumen!$A$6:$A$22,Resumen!AC$6:AC$22,0),"")</f>
        <v>0</v>
      </c>
      <c r="T57" s="44">
        <f t="shared" ca="1" si="26"/>
        <v>0</v>
      </c>
      <c r="U57" s="44">
        <f t="shared" ca="1" si="29"/>
        <v>0</v>
      </c>
      <c r="V57" s="44">
        <f t="shared" ca="1" si="30"/>
        <v>1</v>
      </c>
      <c r="W57" s="44">
        <f t="shared" ca="1" si="27"/>
        <v>1</v>
      </c>
      <c r="X57" s="45">
        <f t="shared" ca="1" si="28"/>
        <v>0</v>
      </c>
      <c r="Y57" s="207"/>
      <c r="AA57" s="19" t="s">
        <v>42</v>
      </c>
      <c r="AB57" s="19">
        <f t="shared" ref="AB57:AB62" ca="1" si="103">AJ57*1000+(AI57)+(AD57/10)+(AG57/1000)+IF(AL57&gt;0,(0.1/AL57),0)</f>
        <v>16024.535833333333</v>
      </c>
      <c r="AC57" s="46" t="str">
        <f t="shared" ref="AC57:AC63" ca="1" si="104">VLOOKUP(AM124,$AB$123:$AC$130,2,FALSE)</f>
        <v>La Unión FC</v>
      </c>
      <c r="AD57">
        <f t="shared" ca="1" si="90"/>
        <v>5</v>
      </c>
      <c r="AE57">
        <f t="shared" ca="1" si="91"/>
        <v>1</v>
      </c>
      <c r="AF57">
        <f t="shared" ca="1" si="92"/>
        <v>1</v>
      </c>
      <c r="AG57">
        <f t="shared" ca="1" si="93"/>
        <v>35</v>
      </c>
      <c r="AH57">
        <f t="shared" ca="1" si="94"/>
        <v>11</v>
      </c>
      <c r="AI57">
        <f t="shared" ca="1" si="95"/>
        <v>24</v>
      </c>
      <c r="AJ57">
        <f t="shared" ca="1" si="96"/>
        <v>16</v>
      </c>
      <c r="AK57">
        <f t="shared" ref="AK57:AK62" ca="1" si="105">VLOOKUP($AC57,$AC$123:$AL$130,9,FALSE)</f>
        <v>7</v>
      </c>
      <c r="AL57">
        <f t="shared" ref="AL57:AL63" ca="1" si="106">VLOOKUP($AC57,$AC$123:$AL$140,10,FALSE)</f>
        <v>120</v>
      </c>
      <c r="AM57">
        <f t="shared" ref="AM57:AM63" ca="1" si="107">VLOOKUP($AC57,$AC$123:$AM$130,11,FALSE)</f>
        <v>18071.207111111115</v>
      </c>
      <c r="AO57" s="1">
        <f t="shared" ref="AO57:AO70" ca="1" si="108">AB79</f>
        <v>8928.3352222222202</v>
      </c>
      <c r="AP57" s="1" t="str">
        <f t="shared" ref="AP57:AP70" ca="1" si="109">+AC37</f>
        <v>La Amistad</v>
      </c>
      <c r="AQ57" s="1">
        <f t="shared" ref="AQ57:AQ70" ca="1" si="110">+AD37</f>
        <v>15</v>
      </c>
      <c r="AR57" s="1">
        <f t="shared" ref="AR57:AR70" ca="1" si="111">+AE37</f>
        <v>10</v>
      </c>
      <c r="AS57" s="1">
        <f t="shared" ref="AS57:AS70" ca="1" si="112">+AF37</f>
        <v>2</v>
      </c>
      <c r="AT57" s="1">
        <f t="shared" ref="AT57:AT70" ca="1" si="113">+AG37</f>
        <v>3</v>
      </c>
      <c r="AU57" s="1">
        <f t="shared" ref="AU57:AU70" ca="1" si="114">+AH37</f>
        <v>65</v>
      </c>
      <c r="AV57" s="1">
        <f t="shared" ref="AV57:AV70" ca="1" si="115">+AI37</f>
        <v>34</v>
      </c>
      <c r="AW57" s="1">
        <f t="shared" ref="AW57:AW70" ca="1" si="116">+AJ37</f>
        <v>31</v>
      </c>
      <c r="AX57" s="1">
        <f t="shared" ref="AX57:AX70" ca="1" si="117">+AK37</f>
        <v>45</v>
      </c>
      <c r="AY57" s="1">
        <f t="shared" ref="AY57:AY70" ca="1" si="118">+AL37</f>
        <v>32</v>
      </c>
      <c r="AZ57" s="1">
        <f t="shared" ref="AZ57:AZ70" ca="1" si="119">+AM37</f>
        <v>31035.071</v>
      </c>
    </row>
    <row r="58" spans="1:52" ht="16.5" thickBot="1" x14ac:dyDescent="0.3">
      <c r="A58" s="214"/>
      <c r="B58" s="60">
        <f>IF(Fixture!C57,Fixture!C57,"")</f>
        <v>45718</v>
      </c>
      <c r="C58" s="58">
        <v>0.67361111111111105</v>
      </c>
      <c r="D58" s="82" t="str">
        <f t="shared" ca="1" si="8"/>
        <v>Finalizado</v>
      </c>
      <c r="E58" s="208"/>
      <c r="F58" s="43">
        <f>+Fixture!B57</f>
        <v>56</v>
      </c>
      <c r="G58" s="42" t="str">
        <f>IF(VLOOKUP(F58,Fixture!$B$2:$F$137,3,FALSE)&lt;&gt;0,VLOOKUP(F58,Fixture!$B$2:$F$137,3,FALSE),"")</f>
        <v>Valentín FC</v>
      </c>
      <c r="H58" s="48">
        <f ca="1">IF($D58="Finalizado",_xlfn.XLOOKUP(G58,Resumen!$A$6:$A$22,Resumen!Z$6:Z$22,0),"")</f>
        <v>3</v>
      </c>
      <c r="I58" s="48">
        <f ca="1">IF($D58="Finalizado",_xlfn.XLOOKUP(G58,Resumen!$A$6:$A$22,Resumen!AA$6:AA$22,0),"")</f>
        <v>0</v>
      </c>
      <c r="J58" s="48">
        <f ca="1">IF($D58="Finalizado",_xlfn.XLOOKUP(G58,Resumen!$A$6:$A$22,Resumen!AB$6:AB$22,0)+_xlfn.XLOOKUP(G58,Resumen!$A$6:$A$22,Resumen!AC$6:AC$22,0),"")</f>
        <v>0</v>
      </c>
      <c r="K58" s="48">
        <f t="shared" ca="1" si="0"/>
        <v>1</v>
      </c>
      <c r="L58" s="48">
        <f t="shared" ca="1" si="74"/>
        <v>0</v>
      </c>
      <c r="M58" s="48">
        <f t="shared" ca="1" si="75"/>
        <v>0</v>
      </c>
      <c r="N58" s="48">
        <f t="shared" ca="1" si="76"/>
        <v>1</v>
      </c>
      <c r="O58" s="49">
        <f t="shared" ca="1" si="77"/>
        <v>0</v>
      </c>
      <c r="P58" s="42" t="str">
        <f>IF(VLOOKUP(F58,Fixture!$B$2:$F$137,5,FALSE)&lt;&gt;0,VLOOKUP(F58,Fixture!$B$2:$F$137,5,FALSE),"")</f>
        <v>Rayos FC</v>
      </c>
      <c r="Q58" s="48">
        <f ca="1">IF($D58="Finalizado",_xlfn.XLOOKUP(P58,Resumen!$A$6:$A$22,Resumen!Z$6:Z$22,0),"")</f>
        <v>0</v>
      </c>
      <c r="R58" s="48">
        <f ca="1">IF($D58="Finalizado",_xlfn.XLOOKUP(P58,Resumen!$A$6:$A$22,Resumen!AA$6:AA$22,0),"")</f>
        <v>0</v>
      </c>
      <c r="S58" s="48">
        <f ca="1">IF($D58="Finalizado",_xlfn.XLOOKUP(P58,Resumen!$A$6:$A$22,Resumen!AB$6:AB$22,0)+_xlfn.XLOOKUP(P58,Resumen!$A$6:$A$22,Resumen!AC$6:AC$22,0),"")</f>
        <v>3</v>
      </c>
      <c r="T58" s="48">
        <f t="shared" ca="1" si="26"/>
        <v>0</v>
      </c>
      <c r="U58" s="48">
        <f t="shared" ca="1" si="29"/>
        <v>0</v>
      </c>
      <c r="V58" s="48">
        <f t="shared" ca="1" si="30"/>
        <v>1</v>
      </c>
      <c r="W58" s="48">
        <f t="shared" ca="1" si="27"/>
        <v>1</v>
      </c>
      <c r="X58" s="49">
        <f t="shared" ca="1" si="28"/>
        <v>30</v>
      </c>
      <c r="Y58" s="208"/>
      <c r="AA58" s="19" t="s">
        <v>43</v>
      </c>
      <c r="AB58" s="19">
        <f t="shared" ca="1" si="103"/>
        <v>16015.535333333333</v>
      </c>
      <c r="AC58" s="46" t="str">
        <f t="shared" ca="1" si="104"/>
        <v>Los Amigos</v>
      </c>
      <c r="AD58">
        <f t="shared" ca="1" si="90"/>
        <v>5</v>
      </c>
      <c r="AE58">
        <f t="shared" ca="1" si="91"/>
        <v>1</v>
      </c>
      <c r="AF58">
        <f t="shared" ca="1" si="92"/>
        <v>1</v>
      </c>
      <c r="AG58">
        <f t="shared" ca="1" si="93"/>
        <v>32</v>
      </c>
      <c r="AH58">
        <f t="shared" ca="1" si="94"/>
        <v>17</v>
      </c>
      <c r="AI58">
        <f t="shared" ca="1" si="95"/>
        <v>15</v>
      </c>
      <c r="AJ58">
        <f t="shared" ca="1" si="96"/>
        <v>16</v>
      </c>
      <c r="AK58">
        <f t="shared" ca="1" si="105"/>
        <v>7</v>
      </c>
      <c r="AL58">
        <f t="shared" ca="1" si="106"/>
        <v>30</v>
      </c>
      <c r="AM58">
        <f t="shared" ca="1" si="107"/>
        <v>16093.508333333333</v>
      </c>
      <c r="AO58" s="1">
        <f t="shared" ca="1" si="108"/>
        <v>32032.06722222222</v>
      </c>
      <c r="AP58" s="1" t="str">
        <f t="shared" ca="1" si="109"/>
        <v>Ron Star</v>
      </c>
      <c r="AQ58" s="1">
        <f t="shared" ca="1" si="110"/>
        <v>15</v>
      </c>
      <c r="AR58" s="1">
        <f t="shared" ca="1" si="111"/>
        <v>10</v>
      </c>
      <c r="AS58" s="1">
        <f t="shared" ca="1" si="112"/>
        <v>1</v>
      </c>
      <c r="AT58" s="1">
        <f t="shared" ca="1" si="113"/>
        <v>4</v>
      </c>
      <c r="AU58" s="1">
        <f t="shared" ca="1" si="114"/>
        <v>69</v>
      </c>
      <c r="AV58" s="1">
        <f t="shared" ca="1" si="115"/>
        <v>35</v>
      </c>
      <c r="AW58" s="1">
        <f t="shared" ca="1" si="116"/>
        <v>34</v>
      </c>
      <c r="AX58" s="1">
        <f t="shared" ca="1" si="117"/>
        <v>50</v>
      </c>
      <c r="AY58" s="1">
        <f t="shared" ca="1" si="118"/>
        <v>31</v>
      </c>
      <c r="AZ58" s="1">
        <f t="shared" ca="1" si="119"/>
        <v>27029.864176470586</v>
      </c>
    </row>
    <row r="59" spans="1:52" ht="16.5" thickBot="1" x14ac:dyDescent="0.3">
      <c r="A59" s="212" t="s">
        <v>12</v>
      </c>
      <c r="B59" s="60">
        <f>IF(Fixture!C58,Fixture!C58,"")</f>
        <v>45725</v>
      </c>
      <c r="C59" s="58">
        <v>0.33333333333333331</v>
      </c>
      <c r="D59" s="82" t="str">
        <f t="shared" ca="1" si="8"/>
        <v>Finalizado</v>
      </c>
      <c r="E59" s="206" t="s">
        <v>114</v>
      </c>
      <c r="F59" s="43">
        <f>+Fixture!B58</f>
        <v>57</v>
      </c>
      <c r="G59" s="42" t="str">
        <f>IF(VLOOKUP(F59,Fixture!$B$2:$F$137,3,FALSE)&lt;&gt;0,VLOOKUP(F59,Fixture!$B$2:$F$137,3,FALSE),"")</f>
        <v>Valentín FC</v>
      </c>
      <c r="H59" s="44">
        <f ca="1">IF($D59="Finalizado",_xlfn.XLOOKUP(G59,Resumen!$A$6:$A$22,Resumen!AD$6:AD$22,0),"")</f>
        <v>3</v>
      </c>
      <c r="I59" s="44">
        <f ca="1">IF($D59="Finalizado",_xlfn.XLOOKUP(G59,Resumen!$A$6:$A$22,Resumen!AE$6:AE$22,0),"")</f>
        <v>2</v>
      </c>
      <c r="J59" s="44">
        <f ca="1">IF($D59="Finalizado",_xlfn.XLOOKUP(G59,Resumen!$A$6:$A$22,Resumen!AF$6:AF$22,0)+_xlfn.XLOOKUP(G59,Resumen!$A$6:$A$22,Resumen!AG$6:AG$22,0),"")</f>
        <v>0</v>
      </c>
      <c r="K59" s="44">
        <f t="shared" ca="1" si="0"/>
        <v>1</v>
      </c>
      <c r="L59" s="44">
        <f t="shared" ca="1" si="74"/>
        <v>0</v>
      </c>
      <c r="M59" s="44">
        <f t="shared" ca="1" si="75"/>
        <v>0</v>
      </c>
      <c r="N59" s="44">
        <f t="shared" ca="1" si="76"/>
        <v>1</v>
      </c>
      <c r="O59" s="45">
        <f t="shared" ca="1" si="77"/>
        <v>10</v>
      </c>
      <c r="P59" s="42" t="str">
        <f>IF(VLOOKUP(F59,Fixture!$B$2:$F$137,5,FALSE)&lt;&gt;0,VLOOKUP(F59,Fixture!$B$2:$F$137,5,FALSE),"")</f>
        <v>Villanueva</v>
      </c>
      <c r="Q59" s="44">
        <f ca="1">IF($D59="Finalizado",_xlfn.XLOOKUP(P59,Resumen!$A$6:$A$22,Resumen!AD$6:AD$22,0),"")</f>
        <v>1</v>
      </c>
      <c r="R59" s="44">
        <f ca="1">IF($D59="Finalizado",_xlfn.XLOOKUP(P59,Resumen!$A$6:$A$22,Resumen!AE$6:AE$22,0),"")</f>
        <v>2</v>
      </c>
      <c r="S59" s="44">
        <f ca="1">IF($D59="Finalizado",_xlfn.XLOOKUP(P59,Resumen!$A$6:$A$22,Resumen!AF$6:AF$22,0)+_xlfn.XLOOKUP(P59,Resumen!$A$6:$A$22,Resumen!AG$6:AG$22,0),"")</f>
        <v>0</v>
      </c>
      <c r="T59" s="44">
        <f t="shared" ca="1" si="26"/>
        <v>0</v>
      </c>
      <c r="U59" s="44">
        <f t="shared" ca="1" si="29"/>
        <v>0</v>
      </c>
      <c r="V59" s="44">
        <f t="shared" ca="1" si="30"/>
        <v>1</v>
      </c>
      <c r="W59" s="44">
        <f t="shared" ca="1" si="27"/>
        <v>1</v>
      </c>
      <c r="X59" s="45">
        <f t="shared" ca="1" si="28"/>
        <v>10</v>
      </c>
      <c r="Y59" s="206" t="str">
        <f>+A59</f>
        <v>Fecha 8</v>
      </c>
      <c r="AA59" s="19" t="s">
        <v>44</v>
      </c>
      <c r="AB59" s="19">
        <f t="shared" ca="1" si="103"/>
        <v>14009.429</v>
      </c>
      <c r="AC59" s="46" t="str">
        <f t="shared" ca="1" si="104"/>
        <v>Ron Star</v>
      </c>
      <c r="AD59">
        <f t="shared" ca="1" si="90"/>
        <v>4</v>
      </c>
      <c r="AE59">
        <f t="shared" ca="1" si="91"/>
        <v>2</v>
      </c>
      <c r="AF59">
        <f t="shared" ca="1" si="92"/>
        <v>1</v>
      </c>
      <c r="AG59">
        <f t="shared" ca="1" si="93"/>
        <v>25</v>
      </c>
      <c r="AH59">
        <f t="shared" ca="1" si="94"/>
        <v>16</v>
      </c>
      <c r="AI59">
        <f t="shared" ca="1" si="95"/>
        <v>9</v>
      </c>
      <c r="AJ59">
        <f t="shared" ca="1" si="96"/>
        <v>14</v>
      </c>
      <c r="AK59">
        <f t="shared" ca="1" si="105"/>
        <v>7</v>
      </c>
      <c r="AL59">
        <f t="shared" ca="1" si="106"/>
        <v>25</v>
      </c>
      <c r="AM59">
        <f t="shared" ca="1" si="107"/>
        <v>16117.405833333332</v>
      </c>
      <c r="AO59" s="1">
        <f t="shared" ca="1" si="108"/>
        <v>31033.060333333335</v>
      </c>
      <c r="AP59" s="1" t="str">
        <f t="shared" ca="1" si="109"/>
        <v>Konami</v>
      </c>
      <c r="AQ59" s="1">
        <f t="shared" ca="1" si="110"/>
        <v>15</v>
      </c>
      <c r="AR59" s="1">
        <f t="shared" ca="1" si="111"/>
        <v>10</v>
      </c>
      <c r="AS59" s="1">
        <f t="shared" ca="1" si="112"/>
        <v>1</v>
      </c>
      <c r="AT59" s="1">
        <f t="shared" ca="1" si="113"/>
        <v>4</v>
      </c>
      <c r="AU59" s="1">
        <f t="shared" ca="1" si="114"/>
        <v>57</v>
      </c>
      <c r="AV59" s="1">
        <f t="shared" ca="1" si="115"/>
        <v>25</v>
      </c>
      <c r="AW59" s="1">
        <f t="shared" ca="1" si="116"/>
        <v>32</v>
      </c>
      <c r="AX59" s="1">
        <f t="shared" ca="1" si="117"/>
        <v>30</v>
      </c>
      <c r="AY59" s="1">
        <f t="shared" ca="1" si="118"/>
        <v>31</v>
      </c>
      <c r="AZ59" s="1">
        <f t="shared" ca="1" si="119"/>
        <v>31033.060333333335</v>
      </c>
    </row>
    <row r="60" spans="1:52" ht="16.5" thickBot="1" x14ac:dyDescent="0.3">
      <c r="A60" s="213"/>
      <c r="B60" s="60">
        <f>IF(Fixture!C59,Fixture!C59,"")</f>
        <v>45725</v>
      </c>
      <c r="C60" s="58">
        <v>0.38194444444444442</v>
      </c>
      <c r="D60" s="82" t="str">
        <f t="shared" ca="1" si="8"/>
        <v>Finalizado</v>
      </c>
      <c r="E60" s="207"/>
      <c r="F60" s="43">
        <f>+Fixture!B59</f>
        <v>58</v>
      </c>
      <c r="G60" s="42" t="str">
        <f>IF(VLOOKUP(F60,Fixture!$B$2:$F$137,3,FALSE)&lt;&gt;0,VLOOKUP(F60,Fixture!$B$2:$F$137,3,FALSE),"")</f>
        <v>Amenadim</v>
      </c>
      <c r="H60" s="44">
        <f ca="1">IF($D60="Finalizado",_xlfn.XLOOKUP(G60,Resumen!$A$6:$A$22,Resumen!AD$6:AD$22,0),"")</f>
        <v>2</v>
      </c>
      <c r="I60" s="44">
        <f ca="1">IF($D60="Finalizado",_xlfn.XLOOKUP(G60,Resumen!$A$6:$A$22,Resumen!AE$6:AE$22,0),"")</f>
        <v>1</v>
      </c>
      <c r="J60" s="44">
        <f ca="1">IF($D60="Finalizado",_xlfn.XLOOKUP(G60,Resumen!$A$6:$A$22,Resumen!AF$6:AF$22,0)+_xlfn.XLOOKUP(G60,Resumen!$A$6:$A$22,Resumen!AG$6:AG$22,0),"")</f>
        <v>0</v>
      </c>
      <c r="K60" s="44">
        <f t="shared" ca="1" si="0"/>
        <v>0</v>
      </c>
      <c r="L60" s="44">
        <f t="shared" ca="1" si="74"/>
        <v>0</v>
      </c>
      <c r="M60" s="44">
        <f t="shared" ca="1" si="75"/>
        <v>1</v>
      </c>
      <c r="N60" s="44">
        <f t="shared" ca="1" si="76"/>
        <v>1</v>
      </c>
      <c r="O60" s="45">
        <f t="shared" ca="1" si="77"/>
        <v>5</v>
      </c>
      <c r="P60" s="42" t="str">
        <f>IF(VLOOKUP(F60,Fixture!$B$2:$F$137,5,FALSE)&lt;&gt;0,VLOOKUP(F60,Fixture!$B$2:$F$137,5,FALSE),"")</f>
        <v>La Amistad</v>
      </c>
      <c r="Q60" s="44">
        <f ca="1">IF($D60="Finalizado",_xlfn.XLOOKUP(P60,Resumen!$A$6:$A$22,Resumen!AD$6:AD$22,0),"")</f>
        <v>4</v>
      </c>
      <c r="R60" s="44">
        <f ca="1">IF($D60="Finalizado",_xlfn.XLOOKUP(P60,Resumen!$A$6:$A$22,Resumen!AE$6:AE$22,0),"")</f>
        <v>1</v>
      </c>
      <c r="S60" s="44">
        <f ca="1">IF($D60="Finalizado",_xlfn.XLOOKUP(P60,Resumen!$A$6:$A$22,Resumen!AF$6:AF$22,0)+_xlfn.XLOOKUP(P60,Resumen!$A$6:$A$22,Resumen!AG$6:AG$22,0),"")</f>
        <v>0</v>
      </c>
      <c r="T60" s="44">
        <f t="shared" ca="1" si="26"/>
        <v>1</v>
      </c>
      <c r="U60" s="44">
        <f t="shared" ca="1" si="29"/>
        <v>0</v>
      </c>
      <c r="V60" s="44">
        <f t="shared" ca="1" si="30"/>
        <v>0</v>
      </c>
      <c r="W60" s="44">
        <f t="shared" ca="1" si="27"/>
        <v>1</v>
      </c>
      <c r="X60" s="45">
        <f t="shared" ca="1" si="28"/>
        <v>5</v>
      </c>
      <c r="Y60" s="207"/>
      <c r="AA60" s="19" t="s">
        <v>45</v>
      </c>
      <c r="AB60" s="19">
        <f t="shared" ca="1" si="103"/>
        <v>6989.2267142857136</v>
      </c>
      <c r="AC60" s="46" t="str">
        <f t="shared" ca="1" si="104"/>
        <v>Atalanta</v>
      </c>
      <c r="AD60">
        <f t="shared" ca="1" si="90"/>
        <v>2</v>
      </c>
      <c r="AE60">
        <f t="shared" ca="1" si="91"/>
        <v>1</v>
      </c>
      <c r="AF60">
        <f t="shared" ca="1" si="92"/>
        <v>4</v>
      </c>
      <c r="AG60">
        <f t="shared" ca="1" si="93"/>
        <v>26</v>
      </c>
      <c r="AH60">
        <f t="shared" ca="1" si="94"/>
        <v>37</v>
      </c>
      <c r="AI60">
        <f t="shared" ca="1" si="95"/>
        <v>-11</v>
      </c>
      <c r="AJ60">
        <f t="shared" ca="1" si="96"/>
        <v>7</v>
      </c>
      <c r="AK60">
        <f t="shared" ca="1" si="105"/>
        <v>7</v>
      </c>
      <c r="AL60">
        <f t="shared" ca="1" si="106"/>
        <v>140</v>
      </c>
      <c r="AM60">
        <f t="shared" ca="1" si="107"/>
        <v>1059.2018181818182</v>
      </c>
      <c r="AO60" s="1">
        <f t="shared" ca="1" si="108"/>
        <v>25014.849645161288</v>
      </c>
      <c r="AP60" s="1" t="str">
        <f t="shared" ca="1" si="109"/>
        <v>Los Amigos</v>
      </c>
      <c r="AQ60" s="1">
        <f t="shared" ca="1" si="110"/>
        <v>15</v>
      </c>
      <c r="AR60" s="1">
        <f t="shared" ca="1" si="111"/>
        <v>9</v>
      </c>
      <c r="AS60" s="1">
        <f t="shared" ca="1" si="112"/>
        <v>3</v>
      </c>
      <c r="AT60" s="1">
        <f t="shared" ca="1" si="113"/>
        <v>3</v>
      </c>
      <c r="AU60" s="1">
        <f t="shared" ca="1" si="114"/>
        <v>67</v>
      </c>
      <c r="AV60" s="1">
        <f t="shared" ca="1" si="115"/>
        <v>41</v>
      </c>
      <c r="AW60" s="1">
        <f t="shared" ca="1" si="116"/>
        <v>26</v>
      </c>
      <c r="AX60" s="1">
        <f t="shared" ca="1" si="117"/>
        <v>95</v>
      </c>
      <c r="AY60" s="1">
        <f t="shared" ca="1" si="118"/>
        <v>30</v>
      </c>
      <c r="AZ60" s="1">
        <f t="shared" ca="1" si="119"/>
        <v>36038.184176470582</v>
      </c>
    </row>
    <row r="61" spans="1:52" ht="16.5" thickBot="1" x14ac:dyDescent="0.3">
      <c r="A61" s="213"/>
      <c r="B61" s="60">
        <f>IF(Fixture!C60,Fixture!C60,"")</f>
        <v>45725</v>
      </c>
      <c r="C61" s="58">
        <v>0.43055555555555602</v>
      </c>
      <c r="D61" s="82" t="str">
        <f t="shared" ca="1" si="8"/>
        <v>Finalizado</v>
      </c>
      <c r="E61" s="207"/>
      <c r="F61" s="43">
        <f>+Fixture!B60</f>
        <v>59</v>
      </c>
      <c r="G61" s="42" t="str">
        <f>IF(VLOOKUP(F61,Fixture!$B$2:$F$137,3,FALSE)&lt;&gt;0,VLOOKUP(F61,Fixture!$B$2:$F$137,3,FALSE),"")</f>
        <v>Atalanta</v>
      </c>
      <c r="H61" s="44">
        <f ca="1">IF($D61="Finalizado",_xlfn.XLOOKUP(G61,Resumen!$A$6:$A$22,Resumen!AD$6:AD$22,0),"")</f>
        <v>0</v>
      </c>
      <c r="I61" s="44">
        <f ca="1">IF($D61="Finalizado",_xlfn.XLOOKUP(G61,Resumen!$A$6:$A$22,Resumen!AE$6:AE$22,0),"")</f>
        <v>0</v>
      </c>
      <c r="J61" s="44">
        <f ca="1">IF($D61="Finalizado",_xlfn.XLOOKUP(G61,Resumen!$A$6:$A$22,Resumen!AF$6:AF$22,0)+_xlfn.XLOOKUP(G61,Resumen!$A$6:$A$22,Resumen!AG$6:AG$22,0),"")</f>
        <v>0</v>
      </c>
      <c r="K61" s="44">
        <f t="shared" ca="1" si="0"/>
        <v>0</v>
      </c>
      <c r="L61" s="44">
        <f t="shared" ca="1" si="74"/>
        <v>0</v>
      </c>
      <c r="M61" s="44">
        <f t="shared" ca="1" si="75"/>
        <v>1</v>
      </c>
      <c r="N61" s="44">
        <f t="shared" ca="1" si="76"/>
        <v>1</v>
      </c>
      <c r="O61" s="45">
        <f t="shared" ca="1" si="77"/>
        <v>0</v>
      </c>
      <c r="P61" s="42" t="str">
        <f>IF(VLOOKUP(F61,Fixture!$B$2:$F$137,5,FALSE)&lt;&gt;0,VLOOKUP(F61,Fixture!$B$2:$F$137,5,FALSE),"")</f>
        <v>Boca Juniors</v>
      </c>
      <c r="Q61" s="44">
        <f ca="1">IF($D61="Finalizado",_xlfn.XLOOKUP(P61,Resumen!$A$6:$A$22,Resumen!AD$6:AD$22,0),"")</f>
        <v>1</v>
      </c>
      <c r="R61" s="44">
        <f ca="1">IF($D61="Finalizado",_xlfn.XLOOKUP(P61,Resumen!$A$6:$A$22,Resumen!AE$6:AE$22,0),"")</f>
        <v>2</v>
      </c>
      <c r="S61" s="44">
        <f ca="1">IF($D61="Finalizado",_xlfn.XLOOKUP(P61,Resumen!$A$6:$A$22,Resumen!AF$6:AF$22,0)+_xlfn.XLOOKUP(P61,Resumen!$A$6:$A$22,Resumen!AG$6:AG$22,0),"")</f>
        <v>0</v>
      </c>
      <c r="T61" s="44">
        <f t="shared" ca="1" si="26"/>
        <v>1</v>
      </c>
      <c r="U61" s="44">
        <f t="shared" ca="1" si="29"/>
        <v>0</v>
      </c>
      <c r="V61" s="44">
        <f t="shared" ca="1" si="30"/>
        <v>0</v>
      </c>
      <c r="W61" s="44">
        <f t="shared" ca="1" si="27"/>
        <v>1</v>
      </c>
      <c r="X61" s="45">
        <f t="shared" ca="1" si="28"/>
        <v>10</v>
      </c>
      <c r="Y61" s="207"/>
      <c r="AA61" s="19" t="s">
        <v>46</v>
      </c>
      <c r="AB61" s="19">
        <f t="shared" ca="1" si="103"/>
        <v>5992.2259999999997</v>
      </c>
      <c r="AC61" s="46" t="str">
        <f t="shared" ca="1" si="104"/>
        <v>Hojas Anchas</v>
      </c>
      <c r="AD61">
        <f t="shared" ca="1" si="90"/>
        <v>2</v>
      </c>
      <c r="AE61">
        <f t="shared" ca="1" si="91"/>
        <v>0</v>
      </c>
      <c r="AF61">
        <f t="shared" ca="1" si="92"/>
        <v>5</v>
      </c>
      <c r="AG61">
        <f t="shared" ca="1" si="93"/>
        <v>25</v>
      </c>
      <c r="AH61">
        <f t="shared" ca="1" si="94"/>
        <v>33</v>
      </c>
      <c r="AI61">
        <f t="shared" ca="1" si="95"/>
        <v>-8</v>
      </c>
      <c r="AJ61">
        <f t="shared" ca="1" si="96"/>
        <v>6</v>
      </c>
      <c r="AK61">
        <f t="shared" ca="1" si="105"/>
        <v>7</v>
      </c>
      <c r="AL61">
        <f t="shared" ca="1" si="106"/>
        <v>100</v>
      </c>
      <c r="AM61">
        <f t="shared" ca="1" si="107"/>
        <v>6054.2030000000004</v>
      </c>
      <c r="AO61" s="1">
        <f t="shared" ca="1" si="108"/>
        <v>31035.071</v>
      </c>
      <c r="AP61" s="1" t="str">
        <f t="shared" ca="1" si="109"/>
        <v>CD El Corozo</v>
      </c>
      <c r="AQ61" s="1">
        <f t="shared" ca="1" si="110"/>
        <v>15</v>
      </c>
      <c r="AR61" s="1">
        <f t="shared" ca="1" si="111"/>
        <v>8</v>
      </c>
      <c r="AS61" s="1">
        <f t="shared" ca="1" si="112"/>
        <v>3</v>
      </c>
      <c r="AT61" s="1">
        <f t="shared" ca="1" si="113"/>
        <v>4</v>
      </c>
      <c r="AU61" s="1">
        <f t="shared" ca="1" si="114"/>
        <v>63</v>
      </c>
      <c r="AV61" s="1">
        <f t="shared" ca="1" si="115"/>
        <v>34</v>
      </c>
      <c r="AW61" s="1">
        <f t="shared" ca="1" si="116"/>
        <v>29</v>
      </c>
      <c r="AX61" s="1">
        <f t="shared" ca="1" si="117"/>
        <v>85</v>
      </c>
      <c r="AY61" s="1">
        <f t="shared" ca="1" si="118"/>
        <v>27</v>
      </c>
      <c r="AZ61" s="1">
        <f t="shared" ca="1" si="119"/>
        <v>2956.1062702702702</v>
      </c>
    </row>
    <row r="62" spans="1:52" ht="16.5" thickBot="1" x14ac:dyDescent="0.3">
      <c r="A62" s="213"/>
      <c r="B62" s="60">
        <f>IF(Fixture!C61,Fixture!C61,"")</f>
        <v>45725</v>
      </c>
      <c r="C62" s="58">
        <v>0.47916666666666602</v>
      </c>
      <c r="D62" s="82" t="str">
        <f t="shared" ca="1" si="8"/>
        <v>Finalizado</v>
      </c>
      <c r="E62" s="207"/>
      <c r="F62" s="43">
        <f>+Fixture!B61</f>
        <v>60</v>
      </c>
      <c r="G62" s="42" t="str">
        <f>IF(VLOOKUP(F62,Fixture!$B$2:$F$137,3,FALSE)&lt;&gt;0,VLOOKUP(F62,Fixture!$B$2:$F$137,3,FALSE),"")</f>
        <v>Ron Star</v>
      </c>
      <c r="H62" s="44">
        <f ca="1">IF($D62="Finalizado",_xlfn.XLOOKUP(G62,Resumen!$A$6:$A$22,Resumen!AD$6:AD$22,0),"")</f>
        <v>0</v>
      </c>
      <c r="I62" s="44">
        <f ca="1">IF($D62="Finalizado",_xlfn.XLOOKUP(G62,Resumen!$A$6:$A$22,Resumen!AE$6:AE$22,0),"")</f>
        <v>0</v>
      </c>
      <c r="J62" s="44">
        <f ca="1">IF($D62="Finalizado",_xlfn.XLOOKUP(G62,Resumen!$A$6:$A$22,Resumen!AF$6:AF$22,0)+_xlfn.XLOOKUP(G62,Resumen!$A$6:$A$22,Resumen!AG$6:AG$22,0),"")</f>
        <v>0</v>
      </c>
      <c r="K62" s="44">
        <f t="shared" ca="1" si="0"/>
        <v>0</v>
      </c>
      <c r="L62" s="44">
        <f t="shared" ca="1" si="74"/>
        <v>0</v>
      </c>
      <c r="M62" s="44">
        <f t="shared" ca="1" si="75"/>
        <v>1</v>
      </c>
      <c r="N62" s="44">
        <f t="shared" ca="1" si="76"/>
        <v>1</v>
      </c>
      <c r="O62" s="45">
        <f t="shared" ca="1" si="77"/>
        <v>0</v>
      </c>
      <c r="P62" s="42" t="str">
        <f>IF(VLOOKUP(F62,Fixture!$B$2:$F$137,5,FALSE)&lt;&gt;0,VLOOKUP(F62,Fixture!$B$2:$F$137,5,FALSE),"")</f>
        <v>Konami</v>
      </c>
      <c r="Q62" s="44">
        <f ca="1">IF($D62="Finalizado",_xlfn.XLOOKUP(P62,Resumen!$A$6:$A$22,Resumen!AD$6:AD$22,0),"")</f>
        <v>3</v>
      </c>
      <c r="R62" s="44">
        <f ca="1">IF($D62="Finalizado",_xlfn.XLOOKUP(P62,Resumen!$A$6:$A$22,Resumen!AE$6:AE$22,0),"")</f>
        <v>1</v>
      </c>
      <c r="S62" s="44">
        <f ca="1">IF($D62="Finalizado",_xlfn.XLOOKUP(P62,Resumen!$A$6:$A$22,Resumen!AF$6:AF$22,0)+_xlfn.XLOOKUP(P62,Resumen!$A$6:$A$22,Resumen!AG$6:AG$22,0),"")</f>
        <v>0</v>
      </c>
      <c r="T62" s="44">
        <f t="shared" ca="1" si="26"/>
        <v>1</v>
      </c>
      <c r="U62" s="44">
        <f t="shared" ca="1" si="29"/>
        <v>0</v>
      </c>
      <c r="V62" s="44">
        <f t="shared" ca="1" si="30"/>
        <v>0</v>
      </c>
      <c r="W62" s="44">
        <f t="shared" ca="1" si="27"/>
        <v>1</v>
      </c>
      <c r="X62" s="45">
        <f t="shared" ca="1" si="28"/>
        <v>5</v>
      </c>
      <c r="Y62" s="207"/>
      <c r="AA62" s="19" t="s">
        <v>47</v>
      </c>
      <c r="AB62" s="19">
        <f t="shared" ca="1" si="103"/>
        <v>2967.1114285714289</v>
      </c>
      <c r="AC62" s="46" t="str">
        <f t="shared" ca="1" si="104"/>
        <v>Los Aliados</v>
      </c>
      <c r="AD62">
        <f t="shared" ca="1" si="90"/>
        <v>1</v>
      </c>
      <c r="AE62">
        <f t="shared" ca="1" si="91"/>
        <v>0</v>
      </c>
      <c r="AF62">
        <f t="shared" ca="1" si="92"/>
        <v>6</v>
      </c>
      <c r="AG62">
        <f t="shared" ca="1" si="93"/>
        <v>10</v>
      </c>
      <c r="AH62">
        <f t="shared" ca="1" si="94"/>
        <v>43</v>
      </c>
      <c r="AI62">
        <f t="shared" ca="1" si="95"/>
        <v>-33</v>
      </c>
      <c r="AJ62">
        <f t="shared" ca="1" si="96"/>
        <v>3</v>
      </c>
      <c r="AK62">
        <f t="shared" ca="1" si="105"/>
        <v>7</v>
      </c>
      <c r="AL62">
        <f t="shared" ca="1" si="106"/>
        <v>70</v>
      </c>
      <c r="AM62">
        <f t="shared" ca="1" si="107"/>
        <v>3026.7024285714288</v>
      </c>
      <c r="AO62" s="1">
        <f t="shared" ca="1" si="108"/>
        <v>22008.752428571428</v>
      </c>
      <c r="AP62" s="1" t="str">
        <f t="shared" ca="1" si="109"/>
        <v>Boca Juniors</v>
      </c>
      <c r="AQ62" s="1">
        <f t="shared" ca="1" si="110"/>
        <v>15</v>
      </c>
      <c r="AR62" s="1">
        <f t="shared" ca="1" si="111"/>
        <v>9</v>
      </c>
      <c r="AS62" s="1">
        <f t="shared" ca="1" si="112"/>
        <v>0</v>
      </c>
      <c r="AT62" s="1">
        <f t="shared" ca="1" si="113"/>
        <v>6</v>
      </c>
      <c r="AU62" s="1">
        <f t="shared" ca="1" si="114"/>
        <v>48</v>
      </c>
      <c r="AV62" s="1">
        <f t="shared" ca="1" si="115"/>
        <v>36</v>
      </c>
      <c r="AW62" s="1">
        <f t="shared" ca="1" si="116"/>
        <v>12</v>
      </c>
      <c r="AX62" s="1">
        <f t="shared" ca="1" si="117"/>
        <v>130</v>
      </c>
      <c r="AY62" s="1">
        <f t="shared" ca="1" si="118"/>
        <v>27</v>
      </c>
      <c r="AZ62" s="1">
        <f t="shared" ca="1" si="119"/>
        <v>22008.752428571428</v>
      </c>
    </row>
    <row r="63" spans="1:52" ht="16.5" thickBot="1" x14ac:dyDescent="0.3">
      <c r="A63" s="213"/>
      <c r="B63" s="60">
        <f>IF(Fixture!C62,Fixture!C62,"")</f>
        <v>45725</v>
      </c>
      <c r="C63" s="58">
        <v>0.52777777777777701</v>
      </c>
      <c r="D63" s="82" t="str">
        <f t="shared" ca="1" si="8"/>
        <v>Finalizado</v>
      </c>
      <c r="E63" s="207"/>
      <c r="F63" s="43">
        <f>+Fixture!B62</f>
        <v>61</v>
      </c>
      <c r="G63" s="42" t="str">
        <f>IF(VLOOKUP(F63,Fixture!$B$2:$F$137,3,FALSE)&lt;&gt;0,VLOOKUP(F63,Fixture!$B$2:$F$137,3,FALSE),"")</f>
        <v>Hojas Anchas</v>
      </c>
      <c r="H63" s="44">
        <f ca="1">IF($D63="Finalizado",_xlfn.XLOOKUP(G63,Resumen!$A$6:$A$22,Resumen!AD$6:AD$22,0),"")</f>
        <v>4</v>
      </c>
      <c r="I63" s="44">
        <f ca="1">IF($D63="Finalizado",_xlfn.XLOOKUP(G63,Resumen!$A$6:$A$22,Resumen!AE$6:AE$22,0),"")</f>
        <v>1</v>
      </c>
      <c r="J63" s="44">
        <f ca="1">IF($D63="Finalizado",_xlfn.XLOOKUP(G63,Resumen!$A$6:$A$22,Resumen!AF$6:AF$22,0)+_xlfn.XLOOKUP(G63,Resumen!$A$6:$A$22,Resumen!AG$6:AG$22,0),"")</f>
        <v>0</v>
      </c>
      <c r="K63" s="44">
        <f t="shared" ca="1" si="0"/>
        <v>1</v>
      </c>
      <c r="L63" s="44">
        <f t="shared" ca="1" si="74"/>
        <v>0</v>
      </c>
      <c r="M63" s="44">
        <f t="shared" ca="1" si="75"/>
        <v>0</v>
      </c>
      <c r="N63" s="44">
        <f t="shared" ca="1" si="76"/>
        <v>1</v>
      </c>
      <c r="O63" s="45">
        <f t="shared" ca="1" si="77"/>
        <v>5</v>
      </c>
      <c r="P63" s="42" t="str">
        <f>IF(VLOOKUP(F63,Fixture!$B$2:$F$137,5,FALSE)&lt;&gt;0,VLOOKUP(F63,Fixture!$B$2:$F$137,5,FALSE),"")</f>
        <v>La Nueva Era</v>
      </c>
      <c r="Q63" s="44">
        <f ca="1">IF($D63="Finalizado",_xlfn.XLOOKUP(P63,Resumen!$A$6:$A$22,Resumen!AD$6:AD$22,0),"")</f>
        <v>3</v>
      </c>
      <c r="R63" s="44">
        <f ca="1">IF($D63="Finalizado",_xlfn.XLOOKUP(P63,Resumen!$A$6:$A$22,Resumen!AE$6:AE$22,0),"")</f>
        <v>2</v>
      </c>
      <c r="S63" s="44">
        <f ca="1">IF($D63="Finalizado",_xlfn.XLOOKUP(P63,Resumen!$A$6:$A$22,Resumen!AF$6:AF$22,0)+_xlfn.XLOOKUP(P63,Resumen!$A$6:$A$22,Resumen!AG$6:AG$22,0),"")</f>
        <v>0</v>
      </c>
      <c r="T63" s="44">
        <f t="shared" ca="1" si="26"/>
        <v>0</v>
      </c>
      <c r="U63" s="44">
        <f t="shared" ca="1" si="29"/>
        <v>0</v>
      </c>
      <c r="V63" s="44">
        <f t="shared" ca="1" si="30"/>
        <v>1</v>
      </c>
      <c r="W63" s="44">
        <f t="shared" ca="1" si="27"/>
        <v>1</v>
      </c>
      <c r="X63" s="45">
        <f t="shared" ca="1" si="28"/>
        <v>10</v>
      </c>
      <c r="Y63" s="207"/>
      <c r="AA63" s="19" t="s">
        <v>48</v>
      </c>
      <c r="AB63" s="19">
        <f t="shared" ref="AB63" ca="1" si="120">AJ63*1000+(AI63)+(AD63/10)+(AG63/1000)+IF(AL63&gt;0,(0.1/AL63),0)</f>
        <v>982.01281818181815</v>
      </c>
      <c r="AC63" s="46" t="str">
        <f t="shared" ca="1" si="104"/>
        <v>Boca Juniors</v>
      </c>
      <c r="AD63">
        <f ca="1">VLOOKUP($AC63,$AC$123:$AK$130,2,FALSE)</f>
        <v>0</v>
      </c>
      <c r="AE63">
        <f ca="1">VLOOKUP($AC63,$AC$123:$AK$130,3,FALSE)</f>
        <v>1</v>
      </c>
      <c r="AF63">
        <f ca="1">VLOOKUP($AC63,$AC$123:$AK$130,4,FALSE)</f>
        <v>6</v>
      </c>
      <c r="AG63">
        <f ca="1">VLOOKUP($AC63,$AC$123:$AK$130,5,FALSE)</f>
        <v>11</v>
      </c>
      <c r="AH63">
        <f ca="1">VLOOKUP($AC63,$AC$123:$AK$130,6,FALSE)</f>
        <v>29</v>
      </c>
      <c r="AI63">
        <f ca="1">VLOOKUP($AC63,$AC$123:$AK$130,7,FALSE)</f>
        <v>-18</v>
      </c>
      <c r="AJ63">
        <f ca="1">VLOOKUP($AC63,$AC$123:$AK$130,8,FALSE)</f>
        <v>1</v>
      </c>
      <c r="AK63">
        <f ca="1">VLOOKUP($AC63,$AC$123:$AL$130,9,FALSE)</f>
        <v>7</v>
      </c>
      <c r="AL63">
        <f t="shared" ca="1" si="106"/>
        <v>55</v>
      </c>
      <c r="AM63">
        <f t="shared" ca="1" si="107"/>
        <v>14095.908000000001</v>
      </c>
      <c r="AO63" s="1">
        <f t="shared" ca="1" si="108"/>
        <v>16989.441800000004</v>
      </c>
      <c r="AP63" s="1" t="str">
        <f t="shared" ca="1" si="109"/>
        <v>Villanueva</v>
      </c>
      <c r="AQ63" s="1">
        <f t="shared" ca="1" si="110"/>
        <v>15</v>
      </c>
      <c r="AR63" s="1">
        <f t="shared" ca="1" si="111"/>
        <v>8</v>
      </c>
      <c r="AS63" s="1">
        <f t="shared" ca="1" si="112"/>
        <v>1</v>
      </c>
      <c r="AT63" s="1">
        <f t="shared" ca="1" si="113"/>
        <v>6</v>
      </c>
      <c r="AU63" s="1">
        <f t="shared" ca="1" si="114"/>
        <v>49</v>
      </c>
      <c r="AV63" s="1">
        <f t="shared" ca="1" si="115"/>
        <v>35</v>
      </c>
      <c r="AW63" s="1">
        <f t="shared" ca="1" si="116"/>
        <v>14</v>
      </c>
      <c r="AX63" s="1">
        <f t="shared" ca="1" si="117"/>
        <v>155</v>
      </c>
      <c r="AY63" s="1">
        <f t="shared" ca="1" si="118"/>
        <v>25</v>
      </c>
      <c r="AZ63" s="1">
        <f t="shared" ca="1" si="119"/>
        <v>30026.968052631579</v>
      </c>
    </row>
    <row r="64" spans="1:52" ht="16.5" thickBot="1" x14ac:dyDescent="0.3">
      <c r="A64" s="213"/>
      <c r="B64" s="60">
        <f>IF(Fixture!C63,Fixture!C63,"")</f>
        <v>45725</v>
      </c>
      <c r="C64" s="58">
        <v>0.57638888888888895</v>
      </c>
      <c r="D64" s="82" t="str">
        <f t="shared" ca="1" si="8"/>
        <v>Finalizado</v>
      </c>
      <c r="E64" s="207"/>
      <c r="F64" s="43">
        <f>+Fixture!B63</f>
        <v>62</v>
      </c>
      <c r="G64" s="42" t="str">
        <f>IF(VLOOKUP(F64,Fixture!$B$2:$F$137,3,FALSE)&lt;&gt;0,VLOOKUP(F64,Fixture!$B$2:$F$137,3,FALSE),"")</f>
        <v>CD El Corozo</v>
      </c>
      <c r="H64" s="44">
        <f ca="1">IF($D64="Finalizado",_xlfn.XLOOKUP(G64,Resumen!$A$6:$A$22,Resumen!AD$6:AD$22,0),"")</f>
        <v>5</v>
      </c>
      <c r="I64" s="44">
        <f ca="1">IF($D64="Finalizado",_xlfn.XLOOKUP(G64,Resumen!$A$6:$A$22,Resumen!AE$6:AE$22,0),"")</f>
        <v>0</v>
      </c>
      <c r="J64" s="44">
        <f ca="1">IF($D64="Finalizado",_xlfn.XLOOKUP(G64,Resumen!$A$6:$A$22,Resumen!AF$6:AF$22,0)+_xlfn.XLOOKUP(G64,Resumen!$A$6:$A$22,Resumen!AG$6:AG$22,0),"")</f>
        <v>0</v>
      </c>
      <c r="K64" s="44">
        <f t="shared" ca="1" si="0"/>
        <v>1</v>
      </c>
      <c r="L64" s="44">
        <f t="shared" ca="1" si="74"/>
        <v>0</v>
      </c>
      <c r="M64" s="44">
        <f t="shared" ca="1" si="75"/>
        <v>0</v>
      </c>
      <c r="N64" s="44">
        <f t="shared" ca="1" si="76"/>
        <v>1</v>
      </c>
      <c r="O64" s="45">
        <f t="shared" ca="1" si="77"/>
        <v>0</v>
      </c>
      <c r="P64" s="42" t="str">
        <f>IF(VLOOKUP(F64,Fixture!$B$2:$F$137,5,FALSE)&lt;&gt;0,VLOOKUP(F64,Fixture!$B$2:$F$137,5,FALSE),"")</f>
        <v>Deportivo Fénix</v>
      </c>
      <c r="Q64" s="44">
        <f ca="1">IF($D64="Finalizado",_xlfn.XLOOKUP(P64,Resumen!$A$6:$A$22,Resumen!AD$6:AD$22,0),"")</f>
        <v>3</v>
      </c>
      <c r="R64" s="44">
        <f ca="1">IF($D64="Finalizado",_xlfn.XLOOKUP(P64,Resumen!$A$6:$A$22,Resumen!AE$6:AE$22,0),"")</f>
        <v>2</v>
      </c>
      <c r="S64" s="44">
        <f ca="1">IF($D64="Finalizado",_xlfn.XLOOKUP(P64,Resumen!$A$6:$A$22,Resumen!AF$6:AF$22,0)+_xlfn.XLOOKUP(P64,Resumen!$A$6:$A$22,Resumen!AG$6:AG$22,0),"")</f>
        <v>0</v>
      </c>
      <c r="T64" s="44">
        <f t="shared" ca="1" si="26"/>
        <v>0</v>
      </c>
      <c r="U64" s="44">
        <f t="shared" ca="1" si="29"/>
        <v>0</v>
      </c>
      <c r="V64" s="44">
        <f t="shared" ca="1" si="30"/>
        <v>1</v>
      </c>
      <c r="W64" s="44">
        <f t="shared" ca="1" si="27"/>
        <v>1</v>
      </c>
      <c r="X64" s="45">
        <f t="shared" ca="1" si="28"/>
        <v>10</v>
      </c>
      <c r="Y64" s="207"/>
      <c r="AO64" s="1">
        <f t="shared" ca="1" si="108"/>
        <v>22018.655869565217</v>
      </c>
      <c r="AP64" s="1" t="str">
        <f t="shared" ca="1" si="109"/>
        <v>Valentín FC</v>
      </c>
      <c r="AQ64" s="1">
        <f t="shared" ca="1" si="110"/>
        <v>15</v>
      </c>
      <c r="AR64" s="1">
        <f t="shared" ca="1" si="111"/>
        <v>6</v>
      </c>
      <c r="AS64" s="1">
        <f t="shared" ca="1" si="112"/>
        <v>4</v>
      </c>
      <c r="AT64" s="1">
        <f t="shared" ca="1" si="113"/>
        <v>5</v>
      </c>
      <c r="AU64" s="1">
        <f t="shared" ca="1" si="114"/>
        <v>55</v>
      </c>
      <c r="AV64" s="1">
        <f t="shared" ca="1" si="115"/>
        <v>37</v>
      </c>
      <c r="AW64" s="1">
        <f t="shared" ca="1" si="116"/>
        <v>18</v>
      </c>
      <c r="AX64" s="1">
        <f t="shared" ca="1" si="117"/>
        <v>115</v>
      </c>
      <c r="AY64" s="1">
        <f t="shared" ca="1" si="118"/>
        <v>22</v>
      </c>
      <c r="AZ64" s="1">
        <f t="shared" ca="1" si="119"/>
        <v>22018.655869565217</v>
      </c>
    </row>
    <row r="65" spans="1:52" ht="16.5" thickBot="1" x14ac:dyDescent="0.3">
      <c r="A65" s="213"/>
      <c r="B65" s="60">
        <f>IF(Fixture!C64,Fixture!C64,"")</f>
        <v>45725</v>
      </c>
      <c r="C65" s="58">
        <v>0.625</v>
      </c>
      <c r="D65" s="82" t="str">
        <f t="shared" ca="1" si="8"/>
        <v>Finalizado</v>
      </c>
      <c r="E65" s="207"/>
      <c r="F65" s="43">
        <f>+Fixture!B64</f>
        <v>63</v>
      </c>
      <c r="G65" s="42" t="str">
        <f>IF(VLOOKUP(F65,Fixture!$B$2:$F$137,3,FALSE)&lt;&gt;0,VLOOKUP(F65,Fixture!$B$2:$F$137,3,FALSE),"")</f>
        <v>Los Aliados</v>
      </c>
      <c r="H65" s="44">
        <f ca="1">IF($D65="Finalizado",_xlfn.XLOOKUP(G65,Resumen!$A$6:$A$22,Resumen!AD$6:AD$22,0),"")</f>
        <v>0</v>
      </c>
      <c r="I65" s="44">
        <f ca="1">IF($D65="Finalizado",_xlfn.XLOOKUP(G65,Resumen!$A$6:$A$22,Resumen!AE$6:AE$22,0),"")</f>
        <v>2</v>
      </c>
      <c r="J65" s="44">
        <f ca="1">IF($D65="Finalizado",_xlfn.XLOOKUP(G65,Resumen!$A$6:$A$22,Resumen!AF$6:AF$22,0)+_xlfn.XLOOKUP(G65,Resumen!$A$6:$A$22,Resumen!AG$6:AG$22,0),"")</f>
        <v>0</v>
      </c>
      <c r="K65" s="44">
        <f t="shared" ref="K65" ca="1" si="121">IF(D65="Finalizado",IF(H65&gt;Q65,1,0),"")</f>
        <v>0</v>
      </c>
      <c r="L65" s="44">
        <f t="shared" ref="L65" ca="1" si="122">IF(D65="Finalizado",IF(H65=Q65,1,0),"")</f>
        <v>0</v>
      </c>
      <c r="M65" s="44">
        <f t="shared" ref="M65" ca="1" si="123">IF(D65="Finalizado",IF(H65&lt;Q65,1,0),"")</f>
        <v>1</v>
      </c>
      <c r="N65" s="44">
        <f t="shared" ref="N65" ca="1" si="124">IF(D65="Finalizado",1,"")</f>
        <v>1</v>
      </c>
      <c r="O65" s="45">
        <f t="shared" ref="O65" ca="1" si="125">IF(D65="Finalizado",SUM(I65*5,J65*10),"")</f>
        <v>10</v>
      </c>
      <c r="P65" s="42" t="str">
        <f>IF(VLOOKUP(F65,Fixture!$B$2:$F$137,5,FALSE)&lt;&gt;0,VLOOKUP(F65,Fixture!$B$2:$F$137,5,FALSE),"")</f>
        <v>Los Amigos</v>
      </c>
      <c r="Q65" s="44">
        <f ca="1">IF($D65="Finalizado",_xlfn.XLOOKUP(P65,Resumen!$A$6:$A$22,Resumen!AD$6:AD$22,0),"")</f>
        <v>1</v>
      </c>
      <c r="R65" s="44">
        <f ca="1">IF($D65="Finalizado",_xlfn.XLOOKUP(P65,Resumen!$A$6:$A$22,Resumen!AE$6:AE$22,0),"")</f>
        <v>1</v>
      </c>
      <c r="S65" s="44">
        <f ca="1">IF($D65="Finalizado",_xlfn.XLOOKUP(P65,Resumen!$A$6:$A$22,Resumen!AF$6:AF$22,0)+_xlfn.XLOOKUP(P65,Resumen!$A$6:$A$22,Resumen!AG$6:AG$22,0),"")</f>
        <v>0</v>
      </c>
      <c r="T65" s="44">
        <f t="shared" ca="1" si="26"/>
        <v>1</v>
      </c>
      <c r="U65" s="44">
        <f t="shared" ca="1" si="29"/>
        <v>0</v>
      </c>
      <c r="V65" s="44">
        <f t="shared" ca="1" si="30"/>
        <v>0</v>
      </c>
      <c r="W65" s="44">
        <f t="shared" ca="1" si="27"/>
        <v>1</v>
      </c>
      <c r="X65" s="45">
        <f t="shared" ca="1" si="28"/>
        <v>5</v>
      </c>
      <c r="Y65" s="207"/>
      <c r="AA65" s="219" t="s">
        <v>523</v>
      </c>
      <c r="AB65" s="219"/>
      <c r="AC65" s="219"/>
      <c r="AD65" s="219"/>
      <c r="AE65" s="219"/>
      <c r="AF65" s="219"/>
      <c r="AG65" s="219"/>
      <c r="AH65" s="219"/>
      <c r="AI65" s="219"/>
      <c r="AJ65" s="219"/>
      <c r="AK65" s="219"/>
      <c r="AL65" s="219"/>
      <c r="AO65" s="1">
        <f t="shared" ca="1" si="108"/>
        <v>27012.94876923077</v>
      </c>
      <c r="AP65" s="1" t="str">
        <f t="shared" ca="1" si="109"/>
        <v>Amenadim</v>
      </c>
      <c r="AQ65" s="1">
        <f t="shared" ca="1" si="110"/>
        <v>15</v>
      </c>
      <c r="AR65" s="1">
        <f t="shared" ca="1" si="111"/>
        <v>7</v>
      </c>
      <c r="AS65" s="1">
        <f t="shared" ca="1" si="112"/>
        <v>1</v>
      </c>
      <c r="AT65" s="1">
        <f t="shared" ca="1" si="113"/>
        <v>7</v>
      </c>
      <c r="AU65" s="1">
        <f t="shared" ca="1" si="114"/>
        <v>51</v>
      </c>
      <c r="AV65" s="1">
        <f t="shared" ca="1" si="115"/>
        <v>43</v>
      </c>
      <c r="AW65" s="1">
        <f t="shared" ca="1" si="116"/>
        <v>8</v>
      </c>
      <c r="AX65" s="1">
        <f t="shared" ca="1" si="117"/>
        <v>70</v>
      </c>
      <c r="AY65" s="1">
        <f t="shared" ca="1" si="118"/>
        <v>22</v>
      </c>
      <c r="AZ65" s="1">
        <f t="shared" ca="1" si="119"/>
        <v>27012.94876923077</v>
      </c>
    </row>
    <row r="66" spans="1:52" ht="16.5" thickBot="1" x14ac:dyDescent="0.3">
      <c r="A66" s="214"/>
      <c r="B66" s="60">
        <f>IF(Fixture!C65,Fixture!C65,"")</f>
        <v>45725</v>
      </c>
      <c r="C66" s="58">
        <v>0.67361111111111105</v>
      </c>
      <c r="D66" s="82" t="str">
        <f t="shared" ca="1" si="8"/>
        <v>Finalizado</v>
      </c>
      <c r="E66" s="208"/>
      <c r="F66" s="43">
        <f>+Fixture!B65</f>
        <v>64</v>
      </c>
      <c r="G66" s="42" t="str">
        <f>IF(VLOOKUP(F66,Fixture!$B$2:$F$137,3,FALSE)&lt;&gt;0,VLOOKUP(F66,Fixture!$B$2:$F$137,3,FALSE),"")</f>
        <v>La Unión FC</v>
      </c>
      <c r="H66" s="48">
        <f ca="1">IF($D66="Finalizado",_xlfn.XLOOKUP(G66,Resumen!$A$6:$A$22,Resumen!AD$6:AD$22,0),"")</f>
        <v>3</v>
      </c>
      <c r="I66" s="48">
        <f ca="1">IF($D66="Finalizado",_xlfn.XLOOKUP(G66,Resumen!$A$6:$A$22,Resumen!AE$6:AE$22,0),"")</f>
        <v>0</v>
      </c>
      <c r="J66" s="48">
        <f ca="1">IF($D66="Finalizado",_xlfn.XLOOKUP(G66,Resumen!$A$6:$A$22,Resumen!AF$6:AF$22,0)+_xlfn.XLOOKUP(G66,Resumen!$A$6:$A$22,Resumen!AG$6:AG$22,0),"")</f>
        <v>0</v>
      </c>
      <c r="K66" s="48">
        <f t="shared" ca="1" si="0"/>
        <v>1</v>
      </c>
      <c r="L66" s="48">
        <f t="shared" ca="1" si="74"/>
        <v>0</v>
      </c>
      <c r="M66" s="48">
        <f t="shared" ca="1" si="75"/>
        <v>0</v>
      </c>
      <c r="N66" s="48">
        <f t="shared" ca="1" si="76"/>
        <v>1</v>
      </c>
      <c r="O66" s="49">
        <f t="shared" ca="1" si="77"/>
        <v>0</v>
      </c>
      <c r="P66" s="42" t="str">
        <f>IF(VLOOKUP(F66,Fixture!$B$2:$F$137,5,FALSE)&lt;&gt;0,VLOOKUP(F66,Fixture!$B$2:$F$137,5,FALSE),"")</f>
        <v>Rayos FC</v>
      </c>
      <c r="Q66" s="48">
        <f ca="1">IF($D66="Finalizado",_xlfn.XLOOKUP(P66,Resumen!$A$6:$A$22,Resumen!AD$6:AD$22,0),"")</f>
        <v>0</v>
      </c>
      <c r="R66" s="48">
        <f ca="1">IF($D66="Finalizado",_xlfn.XLOOKUP(P66,Resumen!$A$6:$A$22,Resumen!AE$6:AE$22,0),"")</f>
        <v>0</v>
      </c>
      <c r="S66" s="48">
        <f ca="1">IF($D66="Finalizado",_xlfn.XLOOKUP(P66,Resumen!$A$6:$A$22,Resumen!AF$6:AF$22,0)+_xlfn.XLOOKUP(P66,Resumen!$A$6:$A$22,Resumen!AG$6:AG$22,0),"")</f>
        <v>3</v>
      </c>
      <c r="T66" s="48">
        <f t="shared" ca="1" si="26"/>
        <v>0</v>
      </c>
      <c r="U66" s="48">
        <f t="shared" ca="1" si="29"/>
        <v>0</v>
      </c>
      <c r="V66" s="48">
        <f t="shared" ca="1" si="30"/>
        <v>1</v>
      </c>
      <c r="W66" s="48">
        <f t="shared" ca="1" si="27"/>
        <v>1</v>
      </c>
      <c r="X66" s="49">
        <f t="shared" ca="1" si="28"/>
        <v>30</v>
      </c>
      <c r="Y66" s="208"/>
      <c r="AA66" s="40" t="s">
        <v>122</v>
      </c>
      <c r="AB66" s="40"/>
      <c r="AC66" s="41" t="s">
        <v>2</v>
      </c>
      <c r="AD66" s="40" t="s">
        <v>115</v>
      </c>
      <c r="AE66" s="40" t="s">
        <v>116</v>
      </c>
      <c r="AF66" s="40" t="s">
        <v>117</v>
      </c>
      <c r="AG66" s="40" t="s">
        <v>123</v>
      </c>
      <c r="AH66" s="40" t="s">
        <v>124</v>
      </c>
      <c r="AI66" s="40" t="s">
        <v>125</v>
      </c>
      <c r="AJ66" s="40" t="s">
        <v>126</v>
      </c>
      <c r="AK66" s="40" t="s">
        <v>127</v>
      </c>
      <c r="AL66" s="40" t="s">
        <v>119</v>
      </c>
      <c r="AM66"/>
      <c r="AO66" s="1">
        <f t="shared" ca="1" si="108"/>
        <v>15958.540333333334</v>
      </c>
      <c r="AP66" s="1" t="str">
        <f t="shared" ca="1" si="109"/>
        <v>Hojas Anchas</v>
      </c>
      <c r="AQ66" s="1">
        <f t="shared" ca="1" si="110"/>
        <v>15</v>
      </c>
      <c r="AR66" s="1">
        <f t="shared" ca="1" si="111"/>
        <v>4</v>
      </c>
      <c r="AS66" s="1">
        <f t="shared" ca="1" si="112"/>
        <v>5</v>
      </c>
      <c r="AT66" s="1">
        <f t="shared" ca="1" si="113"/>
        <v>6</v>
      </c>
      <c r="AU66" s="1">
        <f t="shared" ca="1" si="114"/>
        <v>41</v>
      </c>
      <c r="AV66" s="1">
        <f t="shared" ca="1" si="115"/>
        <v>52</v>
      </c>
      <c r="AW66" s="1">
        <f t="shared" ca="1" si="116"/>
        <v>-11</v>
      </c>
      <c r="AX66" s="1">
        <f t="shared" ca="1" si="117"/>
        <v>125</v>
      </c>
      <c r="AY66" s="1">
        <f t="shared" ca="1" si="118"/>
        <v>17</v>
      </c>
      <c r="AZ66" s="1">
        <f t="shared" ca="1" si="119"/>
        <v>25014.849645161288</v>
      </c>
    </row>
    <row r="67" spans="1:52" ht="16.5" thickBot="1" x14ac:dyDescent="0.3">
      <c r="A67" s="212" t="s">
        <v>13</v>
      </c>
      <c r="B67" s="60">
        <f>IF(Fixture!C66,Fixture!C66,"")</f>
        <v>45704</v>
      </c>
      <c r="C67" s="58">
        <v>0.33333333333333331</v>
      </c>
      <c r="D67" s="82" t="str">
        <f t="shared" ca="1" si="8"/>
        <v>Finalizado</v>
      </c>
      <c r="E67" s="206" t="s">
        <v>114</v>
      </c>
      <c r="F67" s="43">
        <f>+Fixture!B66</f>
        <v>65</v>
      </c>
      <c r="G67" s="42" t="str">
        <f>IF(VLOOKUP(F67,Fixture!$B$2:$F$137,3,FALSE)&lt;&gt;0,VLOOKUP(F67,Fixture!$B$2:$F$137,3,FALSE),"")</f>
        <v>Ron Star</v>
      </c>
      <c r="H67" s="44">
        <f ca="1">IF($D67="Finalizado",_xlfn.XLOOKUP(G67,Resumen!$A$6:$A$22,Resumen!AH$6:AH$22,0),"")</f>
        <v>3</v>
      </c>
      <c r="I67" s="44">
        <f ca="1">IF($D67="Finalizado",_xlfn.XLOOKUP(G67,Resumen!$A$6:$A$22,Resumen!AI$6:AI$22,0),"")</f>
        <v>1</v>
      </c>
      <c r="J67" s="44">
        <f ca="1">IF($D67="Finalizado",_xlfn.XLOOKUP(G67,Resumen!$A$6:$A$22,Resumen!AJ$6:AJ$22,0)+_xlfn.XLOOKUP(G67,Resumen!$A$6:$A$22,Resumen!AK$6:AK$22,0),"")</f>
        <v>0</v>
      </c>
      <c r="K67" s="44">
        <f t="shared" ca="1" si="0"/>
        <v>1</v>
      </c>
      <c r="L67" s="44">
        <f t="shared" ca="1" si="74"/>
        <v>0</v>
      </c>
      <c r="M67" s="44">
        <f t="shared" ca="1" si="75"/>
        <v>0</v>
      </c>
      <c r="N67" s="44">
        <f t="shared" ca="1" si="76"/>
        <v>1</v>
      </c>
      <c r="O67" s="45">
        <f t="shared" ca="1" si="77"/>
        <v>5</v>
      </c>
      <c r="P67" s="42" t="str">
        <f>IF(VLOOKUP(F67,Fixture!$B$2:$F$137,5,FALSE)&lt;&gt;0,VLOOKUP(F67,Fixture!$B$2:$F$137,5,FALSE),"")</f>
        <v>Villanueva</v>
      </c>
      <c r="Q67" s="44">
        <f ca="1">IF($D67="Finalizado",_xlfn.XLOOKUP(P67,Resumen!$A$6:$A$22,Resumen!AH$6:AH$22,0),"")</f>
        <v>0</v>
      </c>
      <c r="R67" s="44">
        <f ca="1">IF($D67="Finalizado",_xlfn.XLOOKUP(P67,Resumen!$A$6:$A$22,Resumen!AI$6:AI$22,0),"")</f>
        <v>3</v>
      </c>
      <c r="S67" s="44">
        <f ca="1">IF($D67="Finalizado",_xlfn.XLOOKUP(P67,Resumen!$A$6:$A$22,Resumen!AJ$6:AJ$22,0)+_xlfn.XLOOKUP(P67,Resumen!$A$6:$A$22,Resumen!AK$6:AK$22,0),"")</f>
        <v>0</v>
      </c>
      <c r="T67" s="44">
        <f t="shared" ca="1" si="26"/>
        <v>0</v>
      </c>
      <c r="U67" s="44">
        <f t="shared" ca="1" si="29"/>
        <v>0</v>
      </c>
      <c r="V67" s="44">
        <f t="shared" ca="1" si="30"/>
        <v>1</v>
      </c>
      <c r="W67" s="44">
        <f t="shared" ca="1" si="27"/>
        <v>1</v>
      </c>
      <c r="X67" s="45">
        <f t="shared" ca="1" si="28"/>
        <v>15</v>
      </c>
      <c r="Y67" s="206" t="str">
        <f>+A67</f>
        <v>Fecha 9</v>
      </c>
      <c r="AA67" s="19" t="s">
        <v>41</v>
      </c>
      <c r="AB67" s="19">
        <f t="shared" ref="AB67:AB73" ca="1" si="126">AJ67*1000+(AI67)+(AD67/10)+(AG67/1000)+IF(AL67&gt;0,(0.1/AL67),0)</f>
        <v>18026.636333333332</v>
      </c>
      <c r="AC67" s="46" t="str">
        <f t="shared" ref="AC67:AC73" ca="1" si="127">VLOOKUP(AM134,$AB$134:$AC$140,2,FALSE)</f>
        <v>La Amistad</v>
      </c>
      <c r="AD67">
        <f t="shared" ref="AD67:AD73" ca="1" si="128">VLOOKUP($AC67,$AC$134:$AK$140,2,FALSE)</f>
        <v>6</v>
      </c>
      <c r="AE67">
        <f t="shared" ref="AE67:AE73" ca="1" si="129">VLOOKUP($AC67,$AC$134:$AK$140,3,FALSE)</f>
        <v>0</v>
      </c>
      <c r="AF67">
        <f t="shared" ref="AF67:AF73" ca="1" si="130">VLOOKUP($AC67,$AC$134:$AK$140,4,FALSE)</f>
        <v>0</v>
      </c>
      <c r="AG67">
        <f t="shared" ref="AG67:AG73" ca="1" si="131">VLOOKUP($AC67,$AC$134:$AK$140,5,FALSE)</f>
        <v>35</v>
      </c>
      <c r="AH67">
        <f t="shared" ref="AH67:AH73" ca="1" si="132">VLOOKUP($AC67,$AC$134:$AK$140,6,FALSE)</f>
        <v>9</v>
      </c>
      <c r="AI67">
        <f t="shared" ref="AI67:AI73" ca="1" si="133">VLOOKUP($AC67,$AC$134:$AK$140,7,FALSE)</f>
        <v>26</v>
      </c>
      <c r="AJ67">
        <f t="shared" ref="AJ67:AJ73" ca="1" si="134">VLOOKUP($AC67,$AC$134:$AK$140,8,FALSE)</f>
        <v>18</v>
      </c>
      <c r="AK67">
        <f t="shared" ref="AK67:AK73" ca="1" si="135">VLOOKUP($AC67,$AC$134:$AL$140,9,FALSE)</f>
        <v>6</v>
      </c>
      <c r="AL67">
        <f ca="1">VLOOKUP($AC67,$AC$123:$AL$140,10,FALSE)</f>
        <v>75</v>
      </c>
      <c r="AM67">
        <f ca="1">VLOOKUP($AC67,$AC$134:$AM$140,11,FALSE)</f>
        <v>18107.607333333333</v>
      </c>
      <c r="AO67" s="1">
        <f t="shared" ca="1" si="108"/>
        <v>2956.1062702702702</v>
      </c>
      <c r="AP67" s="1" t="str">
        <f t="shared" ca="1" si="109"/>
        <v>Deportivo Fénix</v>
      </c>
      <c r="AQ67" s="1">
        <f t="shared" ca="1" si="110"/>
        <v>15</v>
      </c>
      <c r="AR67" s="1">
        <f t="shared" ca="1" si="111"/>
        <v>5</v>
      </c>
      <c r="AS67" s="1">
        <f t="shared" ca="1" si="112"/>
        <v>1</v>
      </c>
      <c r="AT67" s="1">
        <f t="shared" ca="1" si="113"/>
        <v>9</v>
      </c>
      <c r="AU67" s="1">
        <f t="shared" ca="1" si="114"/>
        <v>39</v>
      </c>
      <c r="AV67" s="1">
        <f t="shared" ca="1" si="115"/>
        <v>81</v>
      </c>
      <c r="AW67" s="1">
        <f t="shared" ca="1" si="116"/>
        <v>-42</v>
      </c>
      <c r="AX67" s="1">
        <f t="shared" ca="1" si="117"/>
        <v>75</v>
      </c>
      <c r="AY67" s="1">
        <f t="shared" ca="1" si="118"/>
        <v>16</v>
      </c>
      <c r="AZ67" s="1">
        <f t="shared" ca="1" si="119"/>
        <v>16989.441800000004</v>
      </c>
    </row>
    <row r="68" spans="1:52" ht="16.5" thickBot="1" x14ac:dyDescent="0.3">
      <c r="A68" s="213"/>
      <c r="B68" s="60">
        <f>IF(Fixture!C67,Fixture!C67,"")</f>
        <v>45704</v>
      </c>
      <c r="C68" s="58">
        <v>0.38194444444444442</v>
      </c>
      <c r="D68" s="82" t="str">
        <f t="shared" ref="D68:D131" ca="1" si="136">IF(OR(B68="",C68="",B68&lt;$A$1),"Finalizado",IF(B68=$A$1,IF(AND(C68&lt;=$D$1,$D$1&lt;=(C68+0.08333333333)),"En juego",IF($A$1&lt;C68,"HOY!","Finalizado")),IF($D$1&gt;B68,"Finalizado","Proximamente..")))</f>
        <v>Finalizado</v>
      </c>
      <c r="E68" s="207"/>
      <c r="F68" s="43">
        <f>+Fixture!B67</f>
        <v>66</v>
      </c>
      <c r="G68" s="42" t="str">
        <f>IF(VLOOKUP(F68,Fixture!$B$2:$F$137,3,FALSE)&lt;&gt;0,VLOOKUP(F68,Fixture!$B$2:$F$137,3,FALSE),"")</f>
        <v>Amenadim</v>
      </c>
      <c r="H68" s="44">
        <f ca="1">IF($D68="Finalizado",_xlfn.XLOOKUP(G68,Resumen!$A$6:$A$22,Resumen!AH$6:AH$22,0),"")</f>
        <v>4</v>
      </c>
      <c r="I68" s="44">
        <f ca="1">IF($D68="Finalizado",_xlfn.XLOOKUP(G68,Resumen!$A$6:$A$22,Resumen!AI$6:AI$22,0),"")</f>
        <v>1</v>
      </c>
      <c r="J68" s="44">
        <f ca="1">IF($D68="Finalizado",_xlfn.XLOOKUP(G68,Resumen!$A$6:$A$22,Resumen!AJ$6:AJ$22,0)+_xlfn.XLOOKUP(G68,Resumen!$A$6:$A$22,Resumen!AK$6:AK$22,0),"")</f>
        <v>0</v>
      </c>
      <c r="K68" s="44">
        <f t="shared" ca="1" si="0"/>
        <v>1</v>
      </c>
      <c r="L68" s="44">
        <f t="shared" ca="1" si="74"/>
        <v>0</v>
      </c>
      <c r="M68" s="44">
        <f t="shared" ca="1" si="75"/>
        <v>0</v>
      </c>
      <c r="N68" s="44">
        <f t="shared" ca="1" si="76"/>
        <v>1</v>
      </c>
      <c r="O68" s="45">
        <f t="shared" ca="1" si="77"/>
        <v>5</v>
      </c>
      <c r="P68" s="42" t="str">
        <f>IF(VLOOKUP(F68,Fixture!$B$2:$F$137,5,FALSE)&lt;&gt;0,VLOOKUP(F68,Fixture!$B$2:$F$137,5,FALSE),"")</f>
        <v>Konami</v>
      </c>
      <c r="Q68" s="44">
        <f ca="1">IF($D68="Finalizado",_xlfn.XLOOKUP(P68,Resumen!$A$6:$A$22,Resumen!AH$6:AH$22,0),"")</f>
        <v>3</v>
      </c>
      <c r="R68" s="44">
        <f ca="1">IF($D68="Finalizado",_xlfn.XLOOKUP(P68,Resumen!$A$6:$A$22,Resumen!AI$6:AI$22,0),"")</f>
        <v>0</v>
      </c>
      <c r="S68" s="44">
        <f ca="1">IF($D68="Finalizado",_xlfn.XLOOKUP(P68,Resumen!$A$6:$A$22,Resumen!AJ$6:AJ$22,0)+_xlfn.XLOOKUP(P68,Resumen!$A$6:$A$22,Resumen!AK$6:AK$22,0),"")</f>
        <v>0</v>
      </c>
      <c r="T68" s="44">
        <f t="shared" ca="1" si="26"/>
        <v>0</v>
      </c>
      <c r="U68" s="44">
        <f t="shared" ca="1" si="29"/>
        <v>0</v>
      </c>
      <c r="V68" s="44">
        <f t="shared" ca="1" si="30"/>
        <v>1</v>
      </c>
      <c r="W68" s="44">
        <f t="shared" ca="1" si="27"/>
        <v>1</v>
      </c>
      <c r="X68" s="45">
        <f t="shared" ca="1" si="28"/>
        <v>0</v>
      </c>
      <c r="Y68" s="207"/>
      <c r="AA68" s="19" t="s">
        <v>42</v>
      </c>
      <c r="AB68" s="19">
        <f t="shared" ca="1" si="126"/>
        <v>15014.528666666667</v>
      </c>
      <c r="AC68" s="46" t="str">
        <f t="shared" ca="1" si="127"/>
        <v>Villanueva</v>
      </c>
      <c r="AD68">
        <f t="shared" ca="1" si="128"/>
        <v>5</v>
      </c>
      <c r="AE68">
        <f t="shared" ca="1" si="129"/>
        <v>0</v>
      </c>
      <c r="AF68">
        <f t="shared" ca="1" si="130"/>
        <v>1</v>
      </c>
      <c r="AG68">
        <f t="shared" ca="1" si="131"/>
        <v>22</v>
      </c>
      <c r="AH68">
        <f t="shared" ca="1" si="132"/>
        <v>8</v>
      </c>
      <c r="AI68">
        <f t="shared" ca="1" si="133"/>
        <v>14</v>
      </c>
      <c r="AJ68">
        <f t="shared" ca="1" si="134"/>
        <v>15</v>
      </c>
      <c r="AK68">
        <f t="shared" ca="1" si="135"/>
        <v>6</v>
      </c>
      <c r="AL68">
        <f t="shared" ref="AL68:AL73" ca="1" si="137">VLOOKUP($AC68,$AC$123:$AL$140,10,FALSE)</f>
        <v>15</v>
      </c>
      <c r="AM68">
        <f t="shared" ref="AM68:AM73" ca="1" si="138">VLOOKUP($AC68,$AC$134:$AM$140,11,FALSE)</f>
        <v>9049.3070000000007</v>
      </c>
      <c r="AO68" s="1">
        <f t="shared" ca="1" si="108"/>
        <v>36038.184176470582</v>
      </c>
      <c r="AP68" s="1" t="str">
        <f t="shared" ca="1" si="109"/>
        <v>Los Aliados</v>
      </c>
      <c r="AQ68" s="1">
        <f t="shared" ca="1" si="110"/>
        <v>15</v>
      </c>
      <c r="AR68" s="1">
        <f t="shared" ca="1" si="111"/>
        <v>3</v>
      </c>
      <c r="AS68" s="1">
        <f t="shared" ca="1" si="112"/>
        <v>2</v>
      </c>
      <c r="AT68" s="1">
        <f t="shared" ca="1" si="113"/>
        <v>10</v>
      </c>
      <c r="AU68" s="1">
        <f t="shared" ca="1" si="114"/>
        <v>29</v>
      </c>
      <c r="AV68" s="1">
        <f t="shared" ca="1" si="115"/>
        <v>68</v>
      </c>
      <c r="AW68" s="1">
        <f t="shared" ca="1" si="116"/>
        <v>-39</v>
      </c>
      <c r="AX68" s="1">
        <f t="shared" ca="1" si="117"/>
        <v>125</v>
      </c>
      <c r="AY68" s="1">
        <f t="shared" ca="1" si="118"/>
        <v>11</v>
      </c>
      <c r="AZ68" s="1">
        <f t="shared" ca="1" si="119"/>
        <v>8928.3352222222202</v>
      </c>
    </row>
    <row r="69" spans="1:52" ht="16.5" thickBot="1" x14ac:dyDescent="0.3">
      <c r="A69" s="213"/>
      <c r="B69" s="60">
        <f>IF(Fixture!C68,Fixture!C68,"")</f>
        <v>45704</v>
      </c>
      <c r="C69" s="58">
        <v>0.43055555555555602</v>
      </c>
      <c r="D69" s="82" t="str">
        <f t="shared" ca="1" si="136"/>
        <v>Finalizado</v>
      </c>
      <c r="E69" s="207"/>
      <c r="F69" s="43">
        <f>+Fixture!B68</f>
        <v>67</v>
      </c>
      <c r="G69" s="42" t="str">
        <f>IF(VLOOKUP(F69,Fixture!$B$2:$F$137,3,FALSE)&lt;&gt;0,VLOOKUP(F69,Fixture!$B$2:$F$137,3,FALSE),"")</f>
        <v>Hojas Anchas</v>
      </c>
      <c r="H69" s="44">
        <f ca="1">IF($D69="Finalizado",_xlfn.XLOOKUP(G69,Resumen!$A$6:$A$22,Resumen!AH$6:AH$22,0),"")</f>
        <v>3</v>
      </c>
      <c r="I69" s="44">
        <f ca="1">IF($D69="Finalizado",_xlfn.XLOOKUP(G69,Resumen!$A$6:$A$22,Resumen!AI$6:AI$22,0),"")</f>
        <v>0</v>
      </c>
      <c r="J69" s="44">
        <f ca="1">IF($D69="Finalizado",_xlfn.XLOOKUP(G69,Resumen!$A$6:$A$22,Resumen!AJ$6:AJ$22,0)+_xlfn.XLOOKUP(G69,Resumen!$A$6:$A$22,Resumen!AK$6:AK$22,0),"")</f>
        <v>1</v>
      </c>
      <c r="K69" s="44">
        <f t="shared" ca="1" si="0"/>
        <v>0</v>
      </c>
      <c r="L69" s="44">
        <f t="shared" ca="1" si="74"/>
        <v>0</v>
      </c>
      <c r="M69" s="44">
        <f t="shared" ca="1" si="75"/>
        <v>1</v>
      </c>
      <c r="N69" s="44">
        <f t="shared" ca="1" si="76"/>
        <v>1</v>
      </c>
      <c r="O69" s="45">
        <f t="shared" ca="1" si="77"/>
        <v>10</v>
      </c>
      <c r="P69" s="42" t="str">
        <f>IF(VLOOKUP(F69,Fixture!$B$2:$F$137,5,FALSE)&lt;&gt;0,VLOOKUP(F69,Fixture!$B$2:$F$137,5,FALSE),"")</f>
        <v>La Amistad</v>
      </c>
      <c r="Q69" s="44">
        <f ca="1">IF($D69="Finalizado",_xlfn.XLOOKUP(P69,Resumen!$A$6:$A$22,Resumen!AH$6:AH$22,0),"")</f>
        <v>5</v>
      </c>
      <c r="R69" s="44">
        <f ca="1">IF($D69="Finalizado",_xlfn.XLOOKUP(P69,Resumen!$A$6:$A$22,Resumen!AI$6:AI$22,0),"")</f>
        <v>2</v>
      </c>
      <c r="S69" s="44">
        <f ca="1">IF($D69="Finalizado",_xlfn.XLOOKUP(P69,Resumen!$A$6:$A$22,Resumen!AJ$6:AJ$22,0)+_xlfn.XLOOKUP(P69,Resumen!$A$6:$A$22,Resumen!AK$6:AK$22,0),"")</f>
        <v>0</v>
      </c>
      <c r="T69" s="44">
        <f t="shared" ca="1" si="26"/>
        <v>1</v>
      </c>
      <c r="U69" s="44">
        <f t="shared" ca="1" si="29"/>
        <v>0</v>
      </c>
      <c r="V69" s="44">
        <f t="shared" ca="1" si="30"/>
        <v>0</v>
      </c>
      <c r="W69" s="44">
        <f t="shared" ca="1" si="27"/>
        <v>1</v>
      </c>
      <c r="X69" s="45">
        <f t="shared" ca="1" si="28"/>
        <v>10</v>
      </c>
      <c r="Y69" s="207"/>
      <c r="AA69" s="19" t="s">
        <v>43</v>
      </c>
      <c r="AB69" s="19">
        <f t="shared" ca="1" si="126"/>
        <v>12003.418666666666</v>
      </c>
      <c r="AC69" s="46" t="str">
        <f t="shared" ca="1" si="127"/>
        <v>Konami</v>
      </c>
      <c r="AD69">
        <f t="shared" ca="1" si="128"/>
        <v>4</v>
      </c>
      <c r="AE69">
        <f t="shared" ca="1" si="129"/>
        <v>0</v>
      </c>
      <c r="AF69">
        <f t="shared" ca="1" si="130"/>
        <v>2</v>
      </c>
      <c r="AG69">
        <f t="shared" ca="1" si="131"/>
        <v>12</v>
      </c>
      <c r="AH69">
        <f t="shared" ca="1" si="132"/>
        <v>9</v>
      </c>
      <c r="AI69">
        <f t="shared" ca="1" si="133"/>
        <v>3</v>
      </c>
      <c r="AJ69">
        <f t="shared" ca="1" si="134"/>
        <v>12</v>
      </c>
      <c r="AK69">
        <f t="shared" ca="1" si="135"/>
        <v>6</v>
      </c>
      <c r="AL69">
        <f t="shared" ca="1" si="137"/>
        <v>15</v>
      </c>
      <c r="AM69">
        <f t="shared" ca="1" si="138"/>
        <v>15063.411666666665</v>
      </c>
      <c r="AO69" s="1">
        <f t="shared" ca="1" si="108"/>
        <v>10961.3298</v>
      </c>
      <c r="AP69" s="1" t="str">
        <f t="shared" ca="1" si="109"/>
        <v>La Nueva Era</v>
      </c>
      <c r="AQ69" s="1">
        <f t="shared" ca="1" si="110"/>
        <v>15</v>
      </c>
      <c r="AR69" s="1">
        <f t="shared" ca="1" si="111"/>
        <v>3</v>
      </c>
      <c r="AS69" s="1">
        <f t="shared" ca="1" si="112"/>
        <v>0</v>
      </c>
      <c r="AT69" s="1">
        <f t="shared" ca="1" si="113"/>
        <v>12</v>
      </c>
      <c r="AU69" s="1">
        <f t="shared" ca="1" si="114"/>
        <v>33</v>
      </c>
      <c r="AV69" s="1">
        <f t="shared" ca="1" si="115"/>
        <v>105</v>
      </c>
      <c r="AW69" s="1">
        <f t="shared" ca="1" si="116"/>
        <v>-72</v>
      </c>
      <c r="AX69" s="1">
        <f t="shared" ca="1" si="117"/>
        <v>45</v>
      </c>
      <c r="AY69" s="1">
        <f t="shared" ca="1" si="118"/>
        <v>9</v>
      </c>
      <c r="AZ69" s="1">
        <f t="shared" ca="1" si="119"/>
        <v>32032.06722222222</v>
      </c>
    </row>
    <row r="70" spans="1:52" ht="16.5" thickBot="1" x14ac:dyDescent="0.3">
      <c r="A70" s="213"/>
      <c r="B70" s="60">
        <f>IF(Fixture!C69,Fixture!C69,"")</f>
        <v>45704</v>
      </c>
      <c r="C70" s="58">
        <v>0.47916666666666602</v>
      </c>
      <c r="D70" s="82" t="str">
        <f t="shared" ca="1" si="136"/>
        <v>Finalizado</v>
      </c>
      <c r="E70" s="207"/>
      <c r="F70" s="43">
        <f>+Fixture!B69</f>
        <v>68</v>
      </c>
      <c r="G70" s="42" t="str">
        <f>IF(VLOOKUP(F70,Fixture!$B$2:$F$137,3,FALSE)&lt;&gt;0,VLOOKUP(F70,Fixture!$B$2:$F$137,3,FALSE),"")</f>
        <v>Los Aliados</v>
      </c>
      <c r="H70" s="44">
        <f ca="1">IF($D70="Finalizado",_xlfn.XLOOKUP(G70,Resumen!$A$6:$A$22,Resumen!AH$6:AH$22,0),"")</f>
        <v>1</v>
      </c>
      <c r="I70" s="44">
        <f ca="1">IF($D70="Finalizado",_xlfn.XLOOKUP(G70,Resumen!$A$6:$A$22,Resumen!AI$6:AI$22,0),"")</f>
        <v>0</v>
      </c>
      <c r="J70" s="44">
        <f ca="1">IF($D70="Finalizado",_xlfn.XLOOKUP(G70,Resumen!$A$6:$A$22,Resumen!AJ$6:AJ$22,0)+_xlfn.XLOOKUP(G70,Resumen!$A$6:$A$22,Resumen!AK$6:AK$22,0),"")</f>
        <v>0</v>
      </c>
      <c r="K70" s="44">
        <f t="shared" ca="1" si="0"/>
        <v>0</v>
      </c>
      <c r="L70" s="44">
        <f t="shared" ca="1" si="74"/>
        <v>0</v>
      </c>
      <c r="M70" s="44">
        <f t="shared" ca="1" si="75"/>
        <v>1</v>
      </c>
      <c r="N70" s="44">
        <f t="shared" ca="1" si="76"/>
        <v>1</v>
      </c>
      <c r="O70" s="45">
        <f t="shared" ca="1" si="77"/>
        <v>0</v>
      </c>
      <c r="P70" s="42" t="str">
        <f>IF(VLOOKUP(F70,Fixture!$B$2:$F$137,5,FALSE)&lt;&gt;0,VLOOKUP(F70,Fixture!$B$2:$F$137,5,FALSE),"")</f>
        <v>La Nueva Era</v>
      </c>
      <c r="Q70" s="44">
        <f ca="1">IF($D70="Finalizado",_xlfn.XLOOKUP(P70,Resumen!$A$6:$A$22,Resumen!AH$6:AH$22,0),"")</f>
        <v>2</v>
      </c>
      <c r="R70" s="44">
        <f ca="1">IF($D70="Finalizado",_xlfn.XLOOKUP(P70,Resumen!$A$6:$A$22,Resumen!AI$6:AI$22,0),"")</f>
        <v>1</v>
      </c>
      <c r="S70" s="44">
        <f ca="1">IF($D70="Finalizado",_xlfn.XLOOKUP(P70,Resumen!$A$6:$A$22,Resumen!AJ$6:AJ$22,0)+_xlfn.XLOOKUP(P70,Resumen!$A$6:$A$22,Resumen!AK$6:AK$22,0),"")</f>
        <v>0</v>
      </c>
      <c r="T70" s="44">
        <f t="shared" ca="1" si="26"/>
        <v>1</v>
      </c>
      <c r="U70" s="44">
        <f t="shared" ca="1" si="29"/>
        <v>0</v>
      </c>
      <c r="V70" s="44">
        <f t="shared" ca="1" si="30"/>
        <v>0</v>
      </c>
      <c r="W70" s="44">
        <f t="shared" ca="1" si="27"/>
        <v>1</v>
      </c>
      <c r="X70" s="45">
        <f t="shared" ca="1" si="28"/>
        <v>5</v>
      </c>
      <c r="Y70" s="207"/>
      <c r="AA70" s="19" t="s">
        <v>44</v>
      </c>
      <c r="AB70" s="19">
        <f t="shared" ca="1" si="126"/>
        <v>9003.3230000000003</v>
      </c>
      <c r="AC70" s="46" t="str">
        <f t="shared" ca="1" si="127"/>
        <v>Amenadim</v>
      </c>
      <c r="AD70">
        <f t="shared" ca="1" si="128"/>
        <v>3</v>
      </c>
      <c r="AE70">
        <f t="shared" ca="1" si="129"/>
        <v>0</v>
      </c>
      <c r="AF70">
        <f t="shared" ca="1" si="130"/>
        <v>3</v>
      </c>
      <c r="AG70">
        <f t="shared" ca="1" si="131"/>
        <v>19</v>
      </c>
      <c r="AH70">
        <f t="shared" ca="1" si="132"/>
        <v>16</v>
      </c>
      <c r="AI70">
        <f t="shared" ca="1" si="133"/>
        <v>3</v>
      </c>
      <c r="AJ70">
        <f t="shared" ca="1" si="134"/>
        <v>9</v>
      </c>
      <c r="AK70">
        <f t="shared" ca="1" si="135"/>
        <v>6</v>
      </c>
      <c r="AL70">
        <f t="shared" ca="1" si="137"/>
        <v>25</v>
      </c>
      <c r="AM70">
        <f t="shared" ca="1" si="138"/>
        <v>6034.3086666666677</v>
      </c>
      <c r="AO70" s="1">
        <f t="shared" ca="1" si="108"/>
        <v>5967.1254285714294</v>
      </c>
      <c r="AP70" s="1" t="str">
        <f t="shared" ca="1" si="109"/>
        <v>Atalanta</v>
      </c>
      <c r="AQ70" s="1">
        <f t="shared" ca="1" si="110"/>
        <v>15</v>
      </c>
      <c r="AR70" s="1">
        <f t="shared" ca="1" si="111"/>
        <v>1</v>
      </c>
      <c r="AS70" s="1">
        <f t="shared" ca="1" si="112"/>
        <v>3</v>
      </c>
      <c r="AT70" s="1">
        <f t="shared" ca="1" si="113"/>
        <v>11</v>
      </c>
      <c r="AU70" s="1">
        <f t="shared" ca="1" si="114"/>
        <v>24</v>
      </c>
      <c r="AV70" s="1">
        <f t="shared" ca="1" si="115"/>
        <v>57</v>
      </c>
      <c r="AW70" s="1">
        <f t="shared" ca="1" si="116"/>
        <v>-33</v>
      </c>
      <c r="AX70" s="1">
        <f t="shared" ca="1" si="117"/>
        <v>70</v>
      </c>
      <c r="AY70" s="1">
        <f t="shared" ca="1" si="118"/>
        <v>6</v>
      </c>
      <c r="AZ70" s="1">
        <f t="shared" ca="1" si="119"/>
        <v>5967.1254285714294</v>
      </c>
    </row>
    <row r="71" spans="1:52" ht="16.5" thickBot="1" x14ac:dyDescent="0.3">
      <c r="A71" s="213"/>
      <c r="B71" s="60">
        <f>IF(Fixture!C70,Fixture!C70,"")</f>
        <v>45809</v>
      </c>
      <c r="C71" s="58">
        <v>0.52777777777777701</v>
      </c>
      <c r="D71" s="82" t="str">
        <f t="shared" ca="1" si="136"/>
        <v>Finalizado</v>
      </c>
      <c r="E71" s="207"/>
      <c r="F71" s="43">
        <f>+Fixture!B70</f>
        <v>69</v>
      </c>
      <c r="G71" s="42" t="str">
        <f>IF(VLOOKUP(F71,Fixture!$B$2:$F$137,3,FALSE)&lt;&gt;0,VLOOKUP(F71,Fixture!$B$2:$F$137,3,FALSE),"")</f>
        <v>Boca Juniors</v>
      </c>
      <c r="H71" s="44">
        <f ca="1">IF($D71="Finalizado",_xlfn.XLOOKUP(G71,Resumen!$A$6:$A$22,Resumen!AH$6:AH$22,0),"")</f>
        <v>1</v>
      </c>
      <c r="I71" s="44">
        <f ca="1">IF($D71="Finalizado",_xlfn.XLOOKUP(G71,Resumen!$A$6:$A$22,Resumen!AI$6:AI$22,0),"")</f>
        <v>0</v>
      </c>
      <c r="J71" s="44">
        <f ca="1">IF($D71="Finalizado",_xlfn.XLOOKUP(G71,Resumen!$A$6:$A$22,Resumen!AJ$6:AJ$22,0)+_xlfn.XLOOKUP(G71,Resumen!$A$6:$A$22,Resumen!AK$6:AK$22,0),"")</f>
        <v>0</v>
      </c>
      <c r="K71" s="44">
        <f t="shared" ca="1" si="0"/>
        <v>0</v>
      </c>
      <c r="L71" s="44">
        <f t="shared" ca="1" si="74"/>
        <v>0</v>
      </c>
      <c r="M71" s="44">
        <f t="shared" ca="1" si="75"/>
        <v>1</v>
      </c>
      <c r="N71" s="44">
        <f t="shared" ca="1" si="76"/>
        <v>1</v>
      </c>
      <c r="O71" s="45">
        <f t="shared" ca="1" si="77"/>
        <v>0</v>
      </c>
      <c r="P71" s="42" t="str">
        <f>IF(VLOOKUP(F71,Fixture!$B$2:$F$137,5,FALSE)&lt;&gt;0,VLOOKUP(F71,Fixture!$B$2:$F$137,5,FALSE),"")</f>
        <v>Los Amigos</v>
      </c>
      <c r="Q71" s="44">
        <f ca="1">IF($D71="Finalizado",_xlfn.XLOOKUP(P71,Resumen!$A$6:$A$22,Resumen!AH$6:AH$22,0),"")</f>
        <v>4</v>
      </c>
      <c r="R71" s="44">
        <f ca="1">IF($D71="Finalizado",_xlfn.XLOOKUP(P71,Resumen!$A$6:$A$22,Resumen!AI$6:AI$22,0),"")</f>
        <v>0</v>
      </c>
      <c r="S71" s="44">
        <f ca="1">IF($D71="Finalizado",_xlfn.XLOOKUP(P71,Resumen!$A$6:$A$22,Resumen!AJ$6:AJ$22,0)+_xlfn.XLOOKUP(P71,Resumen!$A$6:$A$22,Resumen!AK$6:AK$22,0),"")</f>
        <v>0</v>
      </c>
      <c r="T71" s="44">
        <f t="shared" ca="1" si="26"/>
        <v>1</v>
      </c>
      <c r="U71" s="44">
        <f t="shared" ca="1" si="29"/>
        <v>0</v>
      </c>
      <c r="V71" s="44">
        <f t="shared" ca="1" si="30"/>
        <v>0</v>
      </c>
      <c r="W71" s="44">
        <f t="shared" ca="1" si="27"/>
        <v>1</v>
      </c>
      <c r="X71" s="45">
        <f t="shared" ca="1" si="28"/>
        <v>0</v>
      </c>
      <c r="Y71" s="207"/>
      <c r="AA71" s="19" t="s">
        <v>45</v>
      </c>
      <c r="AB71" s="19">
        <f t="shared" ca="1" si="126"/>
        <v>5993.2216666666673</v>
      </c>
      <c r="AC71" s="46" t="str">
        <f t="shared" ca="1" si="127"/>
        <v>Deportivo Fénix</v>
      </c>
      <c r="AD71">
        <f t="shared" ca="1" si="128"/>
        <v>2</v>
      </c>
      <c r="AE71">
        <f t="shared" ca="1" si="129"/>
        <v>0</v>
      </c>
      <c r="AF71">
        <f t="shared" ca="1" si="130"/>
        <v>4</v>
      </c>
      <c r="AG71">
        <f t="shared" ca="1" si="131"/>
        <v>15</v>
      </c>
      <c r="AH71">
        <f t="shared" ca="1" si="132"/>
        <v>22</v>
      </c>
      <c r="AI71">
        <f t="shared" ca="1" si="133"/>
        <v>-7</v>
      </c>
      <c r="AJ71">
        <f t="shared" ca="1" si="134"/>
        <v>6</v>
      </c>
      <c r="AK71">
        <f t="shared" ca="1" si="135"/>
        <v>6</v>
      </c>
      <c r="AL71">
        <f t="shared" ca="1" si="137"/>
        <v>15</v>
      </c>
      <c r="AM71">
        <f t="shared" ca="1" si="138"/>
        <v>3012.721</v>
      </c>
      <c r="AO71" s="1">
        <f ca="1">AB93</f>
        <v>27029.864176470586</v>
      </c>
      <c r="AP71" s="1" t="str">
        <f ca="1">+AC51</f>
        <v>Rayos FC</v>
      </c>
      <c r="AQ71" s="1">
        <f t="shared" ref="AQ71" ca="1" si="139">+AD51</f>
        <v>15</v>
      </c>
      <c r="AR71" s="1">
        <f t="shared" ref="AR71" ca="1" si="140">+AE51</f>
        <v>1</v>
      </c>
      <c r="AS71" s="1">
        <f t="shared" ref="AS71" ca="1" si="141">+AF51</f>
        <v>0</v>
      </c>
      <c r="AT71" s="1">
        <f t="shared" ref="AT71" ca="1" si="142">+AG51</f>
        <v>14</v>
      </c>
      <c r="AU71" s="1">
        <f t="shared" ref="AU71" ca="1" si="143">+AH51</f>
        <v>6</v>
      </c>
      <c r="AV71" s="1">
        <f t="shared" ref="AV71" ca="1" si="144">+AI51</f>
        <v>50</v>
      </c>
      <c r="AW71" s="1">
        <f t="shared" ref="AW71" ca="1" si="145">+AJ51</f>
        <v>-44</v>
      </c>
      <c r="AX71" s="1">
        <f t="shared" ref="AX71" ca="1" si="146">+AK51</f>
        <v>370</v>
      </c>
      <c r="AY71" s="1">
        <f t="shared" ref="AY71" ca="1" si="147">+AL51</f>
        <v>3</v>
      </c>
      <c r="AZ71" s="1">
        <f t="shared" ref="AZ71" ca="1" si="148">+AM51</f>
        <v>15958.540333333334</v>
      </c>
    </row>
    <row r="72" spans="1:52" ht="16.5" thickBot="1" x14ac:dyDescent="0.3">
      <c r="A72" s="213"/>
      <c r="B72" s="60">
        <f>IF(Fixture!C71,Fixture!C71,"")</f>
        <v>45704</v>
      </c>
      <c r="C72" s="58">
        <v>0.57638888888888895</v>
      </c>
      <c r="D72" s="82" t="str">
        <f t="shared" ca="1" si="136"/>
        <v>Finalizado</v>
      </c>
      <c r="E72" s="207"/>
      <c r="F72" s="43">
        <f>+Fixture!B71</f>
        <v>70</v>
      </c>
      <c r="G72" s="42" t="str">
        <f>IF(VLOOKUP(F72,Fixture!$B$2:$F$137,3,FALSE)&lt;&gt;0,VLOOKUP(F72,Fixture!$B$2:$F$137,3,FALSE),"")</f>
        <v>Atalanta</v>
      </c>
      <c r="H72" s="44">
        <f ca="1">IF($D72="Finalizado",_xlfn.XLOOKUP(G72,Resumen!$A$6:$A$22,Resumen!AH$6:AH$22,0),"")</f>
        <v>2</v>
      </c>
      <c r="I72" s="44">
        <f ca="1">IF($D72="Finalizado",_xlfn.XLOOKUP(G72,Resumen!$A$6:$A$22,Resumen!AI$6:AI$22,0),"")</f>
        <v>2</v>
      </c>
      <c r="J72" s="44">
        <f ca="1">IF($D72="Finalizado",_xlfn.XLOOKUP(G72,Resumen!$A$6:$A$22,Resumen!AJ$6:AJ$22,0)+_xlfn.XLOOKUP(G72,Resumen!$A$6:$A$22,Resumen!AK$6:AK$22,0),"")</f>
        <v>0</v>
      </c>
      <c r="K72" s="44">
        <f t="shared" ca="1" si="0"/>
        <v>0</v>
      </c>
      <c r="L72" s="44">
        <f t="shared" ca="1" si="74"/>
        <v>0</v>
      </c>
      <c r="M72" s="44">
        <f t="shared" ca="1" si="75"/>
        <v>1</v>
      </c>
      <c r="N72" s="44">
        <f t="shared" ca="1" si="76"/>
        <v>1</v>
      </c>
      <c r="O72" s="45">
        <f t="shared" ca="1" si="77"/>
        <v>10</v>
      </c>
      <c r="P72" s="42" t="str">
        <f>IF(VLOOKUP(F72,Fixture!$B$2:$F$137,5,FALSE)&lt;&gt;0,VLOOKUP(F72,Fixture!$B$2:$F$137,5,FALSE),"")</f>
        <v>Deportivo Fénix</v>
      </c>
      <c r="Q72" s="44">
        <f ca="1">IF($D72="Finalizado",_xlfn.XLOOKUP(P72,Resumen!$A$6:$A$22,Resumen!AH$6:AH$22,0),"")</f>
        <v>3</v>
      </c>
      <c r="R72" s="44">
        <f ca="1">IF($D72="Finalizado",_xlfn.XLOOKUP(P72,Resumen!$A$6:$A$22,Resumen!AI$6:AI$22,0),"")</f>
        <v>1</v>
      </c>
      <c r="S72" s="44">
        <f ca="1">IF($D72="Finalizado",_xlfn.XLOOKUP(P72,Resumen!$A$6:$A$22,Resumen!AJ$6:AJ$22,0)+_xlfn.XLOOKUP(P72,Resumen!$A$6:$A$22,Resumen!AK$6:AK$22,0),"")</f>
        <v>0</v>
      </c>
      <c r="T72" s="44">
        <f t="shared" ca="1" si="26"/>
        <v>1</v>
      </c>
      <c r="U72" s="44">
        <f t="shared" ca="1" si="29"/>
        <v>0</v>
      </c>
      <c r="V72" s="44">
        <f t="shared" ca="1" si="30"/>
        <v>0</v>
      </c>
      <c r="W72" s="44">
        <f t="shared" ca="1" si="27"/>
        <v>1</v>
      </c>
      <c r="X72" s="45">
        <f t="shared" ca="1" si="28"/>
        <v>5</v>
      </c>
      <c r="Y72" s="207"/>
      <c r="AA72" s="19" t="s">
        <v>46</v>
      </c>
      <c r="AB72" s="19">
        <f t="shared" ca="1" si="126"/>
        <v>2977.125</v>
      </c>
      <c r="AC72" s="46" t="str">
        <f t="shared" ca="1" si="127"/>
        <v>La Nueva Era</v>
      </c>
      <c r="AD72">
        <f t="shared" ca="1" si="128"/>
        <v>1</v>
      </c>
      <c r="AE72">
        <f t="shared" ca="1" si="129"/>
        <v>0</v>
      </c>
      <c r="AF72">
        <f t="shared" ca="1" si="130"/>
        <v>5</v>
      </c>
      <c r="AG72">
        <f t="shared" ca="1" si="131"/>
        <v>5</v>
      </c>
      <c r="AH72">
        <f t="shared" ca="1" si="132"/>
        <v>28</v>
      </c>
      <c r="AI72">
        <f t="shared" ca="1" si="133"/>
        <v>-23</v>
      </c>
      <c r="AJ72">
        <f t="shared" ca="1" si="134"/>
        <v>3</v>
      </c>
      <c r="AK72">
        <f t="shared" ca="1" si="135"/>
        <v>6</v>
      </c>
      <c r="AL72">
        <f t="shared" ca="1" si="137"/>
        <v>5</v>
      </c>
      <c r="AM72">
        <f t="shared" ca="1" si="138"/>
        <v>52.400645161290321</v>
      </c>
    </row>
    <row r="73" spans="1:52" ht="16.5" thickBot="1" x14ac:dyDescent="0.3">
      <c r="A73" s="213"/>
      <c r="B73" s="60">
        <f>IF(Fixture!C72,Fixture!C72,"")</f>
        <v>45704</v>
      </c>
      <c r="C73" s="58">
        <v>0.625</v>
      </c>
      <c r="D73" s="82" t="str">
        <f t="shared" ca="1" si="136"/>
        <v>Finalizado</v>
      </c>
      <c r="E73" s="207"/>
      <c r="F73" s="43">
        <f>+Fixture!B72</f>
        <v>71</v>
      </c>
      <c r="G73" s="42" t="str">
        <f>IF(VLOOKUP(F73,Fixture!$B$2:$F$137,3,FALSE)&lt;&gt;0,VLOOKUP(F73,Fixture!$B$2:$F$137,3,FALSE),"")</f>
        <v>Valentín FC</v>
      </c>
      <c r="H73" s="44">
        <f ca="1">IF($D73="Finalizado",_xlfn.XLOOKUP(G73,Resumen!$A$6:$A$22,Resumen!AH$6:AH$22,0),"")</f>
        <v>3</v>
      </c>
      <c r="I73" s="44">
        <f ca="1">IF($D73="Finalizado",_xlfn.XLOOKUP(G73,Resumen!$A$6:$A$22,Resumen!AI$6:AI$22,0),"")</f>
        <v>1</v>
      </c>
      <c r="J73" s="44">
        <f ca="1">IF($D73="Finalizado",_xlfn.XLOOKUP(G73,Resumen!$A$6:$A$22,Resumen!AJ$6:AJ$22,0)+_xlfn.XLOOKUP(G73,Resumen!$A$6:$A$22,Resumen!AK$6:AK$22,0),"")</f>
        <v>0</v>
      </c>
      <c r="K73" s="44">
        <f t="shared" ref="K73" ca="1" si="149">IF(D73="Finalizado",IF(H73&gt;Q73,1,0),"")</f>
        <v>0</v>
      </c>
      <c r="L73" s="44">
        <f t="shared" ref="L73" ca="1" si="150">IF(D73="Finalizado",IF(H73=Q73,1,0),"")</f>
        <v>1</v>
      </c>
      <c r="M73" s="44">
        <f t="shared" ref="M73" ca="1" si="151">IF(D73="Finalizado",IF(H73&lt;Q73,1,0),"")</f>
        <v>0</v>
      </c>
      <c r="N73" s="44">
        <f t="shared" ref="N73" ca="1" si="152">IF(D73="Finalizado",1,"")</f>
        <v>1</v>
      </c>
      <c r="O73" s="45">
        <f t="shared" ref="O73" ca="1" si="153">IF(D73="Finalizado",SUM(I73*5,J73*10),"")</f>
        <v>5</v>
      </c>
      <c r="P73" s="42" t="str">
        <f>IF(VLOOKUP(F73,Fixture!$B$2:$F$137,5,FALSE)&lt;&gt;0,VLOOKUP(F73,Fixture!$B$2:$F$137,5,FALSE),"")</f>
        <v>La Unión FC</v>
      </c>
      <c r="Q73" s="44">
        <f ca="1">IF($D73="Finalizado",_xlfn.XLOOKUP(P73,Resumen!$A$6:$A$22,Resumen!AH$6:AH$22,0),"")</f>
        <v>3</v>
      </c>
      <c r="R73" s="44">
        <f ca="1">IF($D73="Finalizado",_xlfn.XLOOKUP(P73,Resumen!$A$6:$A$22,Resumen!AI$6:AI$22,0),"")</f>
        <v>2</v>
      </c>
      <c r="S73" s="44">
        <f ca="1">IF($D73="Finalizado",_xlfn.XLOOKUP(P73,Resumen!$A$6:$A$22,Resumen!AJ$6:AJ$22,0)+_xlfn.XLOOKUP(P73,Resumen!$A$6:$A$22,Resumen!AK$6:AK$22,0),"")</f>
        <v>0</v>
      </c>
      <c r="T73" s="44">
        <f t="shared" ca="1" si="26"/>
        <v>0</v>
      </c>
      <c r="U73" s="44">
        <f t="shared" ca="1" si="29"/>
        <v>1</v>
      </c>
      <c r="V73" s="44">
        <f t="shared" ca="1" si="30"/>
        <v>0</v>
      </c>
      <c r="W73" s="44">
        <f t="shared" ca="1" si="27"/>
        <v>1</v>
      </c>
      <c r="X73" s="45">
        <f t="shared" ca="1" si="28"/>
        <v>10</v>
      </c>
      <c r="Y73" s="207"/>
      <c r="AA73" s="19" t="s">
        <v>47</v>
      </c>
      <c r="AB73" s="19">
        <f t="shared" ca="1" si="126"/>
        <v>-15.995354838709678</v>
      </c>
      <c r="AC73" s="46" t="str">
        <f t="shared" ca="1" si="127"/>
        <v>CD El Corozo</v>
      </c>
      <c r="AD73">
        <f t="shared" ca="1" si="128"/>
        <v>0</v>
      </c>
      <c r="AE73">
        <f t="shared" ca="1" si="129"/>
        <v>0</v>
      </c>
      <c r="AF73">
        <f t="shared" ca="1" si="130"/>
        <v>6</v>
      </c>
      <c r="AG73">
        <f t="shared" ca="1" si="131"/>
        <v>4</v>
      </c>
      <c r="AH73">
        <f t="shared" ca="1" si="132"/>
        <v>20</v>
      </c>
      <c r="AI73">
        <f t="shared" ca="1" si="133"/>
        <v>-16</v>
      </c>
      <c r="AJ73">
        <f t="shared" ca="1" si="134"/>
        <v>0</v>
      </c>
      <c r="AK73">
        <f t="shared" ca="1" si="135"/>
        <v>6</v>
      </c>
      <c r="AL73">
        <f t="shared" ca="1" si="137"/>
        <v>155</v>
      </c>
      <c r="AM73">
        <f t="shared" ca="1" si="138"/>
        <v>12072.310666666666</v>
      </c>
    </row>
    <row r="74" spans="1:52" ht="16.5" thickBot="1" x14ac:dyDescent="0.3">
      <c r="A74" s="214"/>
      <c r="B74" s="60">
        <f>IF(Fixture!C73,Fixture!C73,"")</f>
        <v>45704</v>
      </c>
      <c r="C74" s="58">
        <v>0.67361111111111105</v>
      </c>
      <c r="D74" s="82" t="str">
        <f t="shared" ca="1" si="136"/>
        <v>Finalizado</v>
      </c>
      <c r="E74" s="208"/>
      <c r="F74" s="43">
        <f>+Fixture!B73</f>
        <v>72</v>
      </c>
      <c r="G74" s="42" t="str">
        <f>IF(VLOOKUP(F74,Fixture!$B$2:$F$137,3,FALSE)&lt;&gt;0,VLOOKUP(F74,Fixture!$B$2:$F$137,3,FALSE),"")</f>
        <v>CD El Corozo</v>
      </c>
      <c r="H74" s="48">
        <f ca="1">IF($D74="Finalizado",_xlfn.XLOOKUP(G74,Resumen!$A$6:$A$22,Resumen!AH$6:AH$22,0),"")</f>
        <v>3</v>
      </c>
      <c r="I74" s="48">
        <f ca="1">IF($D74="Finalizado",_xlfn.XLOOKUP(G74,Resumen!$A$6:$A$22,Resumen!AI$6:AI$22,0),"")</f>
        <v>0</v>
      </c>
      <c r="J74" s="48">
        <f ca="1">IF($D74="Finalizado",_xlfn.XLOOKUP(G74,Resumen!$A$6:$A$22,Resumen!AJ$6:AJ$22,0)+_xlfn.XLOOKUP(G74,Resumen!$A$6:$A$22,Resumen!AK$6:AK$22,0),"")</f>
        <v>0</v>
      </c>
      <c r="K74" s="48">
        <f t="shared" ca="1" si="0"/>
        <v>1</v>
      </c>
      <c r="L74" s="48">
        <f t="shared" ca="1" si="74"/>
        <v>0</v>
      </c>
      <c r="M74" s="48">
        <f t="shared" ca="1" si="75"/>
        <v>0</v>
      </c>
      <c r="N74" s="48">
        <f t="shared" ca="1" si="76"/>
        <v>1</v>
      </c>
      <c r="O74" s="49">
        <f t="shared" ca="1" si="77"/>
        <v>0</v>
      </c>
      <c r="P74" s="42" t="str">
        <f>IF(VLOOKUP(F74,Fixture!$B$2:$F$137,5,FALSE)&lt;&gt;0,VLOOKUP(F74,Fixture!$B$2:$F$137,5,FALSE),"")</f>
        <v>Rayos FC</v>
      </c>
      <c r="Q74" s="48">
        <f ca="1">IF($D74="Finalizado",_xlfn.XLOOKUP(P74,Resumen!$A$6:$A$22,Resumen!AH$6:AH$22,0),"")</f>
        <v>0</v>
      </c>
      <c r="R74" s="48">
        <f ca="1">IF($D74="Finalizado",_xlfn.XLOOKUP(P74,Resumen!$A$6:$A$22,Resumen!AI$6:AI$22,0),"")</f>
        <v>0</v>
      </c>
      <c r="S74" s="48">
        <f ca="1">IF($D74="Finalizado",_xlfn.XLOOKUP(P74,Resumen!$A$6:$A$22,Resumen!AJ$6:AJ$22,0)+_xlfn.XLOOKUP(P74,Resumen!$A$6:$A$22,Resumen!AK$6:AK$22,0),"")</f>
        <v>3</v>
      </c>
      <c r="T74" s="48">
        <f t="shared" ca="1" si="26"/>
        <v>0</v>
      </c>
      <c r="U74" s="48">
        <f t="shared" ca="1" si="29"/>
        <v>0</v>
      </c>
      <c r="V74" s="48">
        <f t="shared" ca="1" si="30"/>
        <v>1</v>
      </c>
      <c r="W74" s="48">
        <f t="shared" ca="1" si="27"/>
        <v>1</v>
      </c>
      <c r="X74" s="49">
        <f t="shared" ca="1" si="28"/>
        <v>30</v>
      </c>
      <c r="Y74" s="208"/>
      <c r="AO74" s="1">
        <f ca="1">+AB123</f>
        <v>16117.405833333332</v>
      </c>
      <c r="AP74" s="1" t="str">
        <f ca="1">AC56</f>
        <v>Valentín FC</v>
      </c>
      <c r="AQ74" s="1">
        <f ca="1">AK56</f>
        <v>7</v>
      </c>
      <c r="AR74" s="1">
        <f t="shared" ref="AR74:AW74" ca="1" si="154">+AD56</f>
        <v>6</v>
      </c>
      <c r="AS74" s="1">
        <f t="shared" ca="1" si="154"/>
        <v>0</v>
      </c>
      <c r="AT74" s="1">
        <f t="shared" ca="1" si="154"/>
        <v>1</v>
      </c>
      <c r="AU74" s="1">
        <f t="shared" ca="1" si="154"/>
        <v>29</v>
      </c>
      <c r="AV74" s="1">
        <f t="shared" ca="1" si="154"/>
        <v>7</v>
      </c>
      <c r="AW74" s="1">
        <f t="shared" ca="1" si="154"/>
        <v>22</v>
      </c>
      <c r="AX74" s="1">
        <f ca="1">+AL56</f>
        <v>90</v>
      </c>
      <c r="AY74" s="1">
        <f ca="1">+AJ56</f>
        <v>18</v>
      </c>
      <c r="AZ74" s="1">
        <f ca="1">+AM56</f>
        <v>7034.902714285714</v>
      </c>
    </row>
    <row r="75" spans="1:52" ht="16.5" thickBot="1" x14ac:dyDescent="0.3">
      <c r="A75" s="212" t="s">
        <v>14</v>
      </c>
      <c r="B75" s="60">
        <f>IF(Fixture!C74,Fixture!C74,"")</f>
        <v>45746</v>
      </c>
      <c r="C75" s="58">
        <v>0.33333333333333331</v>
      </c>
      <c r="D75" s="82" t="str">
        <f t="shared" ca="1" si="136"/>
        <v>Finalizado</v>
      </c>
      <c r="E75" s="206" t="s">
        <v>114</v>
      </c>
      <c r="F75" s="43">
        <f>+Fixture!B74</f>
        <v>73</v>
      </c>
      <c r="G75" s="42" t="str">
        <f>IF(VLOOKUP(F75,Fixture!$B$2:$F$137,3,FALSE)&lt;&gt;0,VLOOKUP(F75,Fixture!$B$2:$F$137,3,FALSE),"")</f>
        <v>Amenadim</v>
      </c>
      <c r="H75" s="44">
        <f ca="1">IF($D75="Finalizado",_xlfn.XLOOKUP(G75,Resumen!$A$6:$A$22,Resumen!AL$6:AL$22,0),"")</f>
        <v>4</v>
      </c>
      <c r="I75" s="44">
        <f ca="1">IF($D75="Finalizado",_xlfn.XLOOKUP(G75,Resumen!$A$6:$A$22,Resumen!AM$6:AM$22,0),"")</f>
        <v>2</v>
      </c>
      <c r="J75" s="44">
        <f ca="1">IF($D75="Finalizado",_xlfn.XLOOKUP(G75,Resumen!$A$6:$A$22,Resumen!AN$6:AN$22,0)+_xlfn.XLOOKUP(G75,Resumen!$A$6:$A$22,Resumen!AO$6:AO$22,0),"")</f>
        <v>0</v>
      </c>
      <c r="K75" s="44">
        <f t="shared" ca="1" si="0"/>
        <v>1</v>
      </c>
      <c r="L75" s="44">
        <f t="shared" ref="L75:L106" ca="1" si="155">IF(D75="Finalizado",IF(H75=Q75,1,0),"")</f>
        <v>0</v>
      </c>
      <c r="M75" s="44">
        <f t="shared" ref="M75:M106" ca="1" si="156">IF(D75="Finalizado",IF(H75&lt;Q75,1,0),"")</f>
        <v>0</v>
      </c>
      <c r="N75" s="44">
        <f t="shared" ref="N75:N106" ca="1" si="157">IF(D75="Finalizado",1,"")</f>
        <v>1</v>
      </c>
      <c r="O75" s="45">
        <f t="shared" ref="O75:O106" ca="1" si="158">IF(D75="Finalizado",SUM(I75*5,J75*10),"")</f>
        <v>10</v>
      </c>
      <c r="P75" s="42" t="str">
        <f>IF(VLOOKUP(F75,Fixture!$B$2:$F$137,5,FALSE)&lt;&gt;0,VLOOKUP(F75,Fixture!$B$2:$F$137,5,FALSE),"")</f>
        <v>Villanueva</v>
      </c>
      <c r="Q75" s="44">
        <f ca="1">IF($D75="Finalizado",_xlfn.XLOOKUP(P75,Resumen!$A$6:$A$22,Resumen!AL$6:AL$22,0),"")</f>
        <v>3</v>
      </c>
      <c r="R75" s="44">
        <f ca="1">IF($D75="Finalizado",_xlfn.XLOOKUP(P75,Resumen!$A$6:$A$22,Resumen!AM$6:AM$22,0),"")</f>
        <v>1</v>
      </c>
      <c r="S75" s="44">
        <f ca="1">IF($D75="Finalizado",_xlfn.XLOOKUP(P75,Resumen!$A$6:$A$22,Resumen!AN$6:AN$22,0)+_xlfn.XLOOKUP(P75,Resumen!$A$6:$A$22,Resumen!AO$6:AO$22,0),"")</f>
        <v>0</v>
      </c>
      <c r="T75" s="44">
        <f t="shared" ref="T75:T138" ca="1" si="159">IF(D75="Finalizado",IF(Q75&gt;H75,1,0),"")</f>
        <v>0</v>
      </c>
      <c r="U75" s="44">
        <f t="shared" ca="1" si="29"/>
        <v>0</v>
      </c>
      <c r="V75" s="44">
        <f t="shared" ca="1" si="30"/>
        <v>1</v>
      </c>
      <c r="W75" s="44">
        <f t="shared" ref="W75:W138" ca="1" si="160">IF(D75="Finalizado",1,"")</f>
        <v>1</v>
      </c>
      <c r="X75" s="45">
        <f t="shared" ref="X75:X138" ca="1" si="161">IF(D75="Finalizado",SUM(R75*5,S75*10),"")</f>
        <v>5</v>
      </c>
      <c r="Y75" s="206" t="str">
        <f>+A75</f>
        <v>Fecha 10</v>
      </c>
      <c r="AO75" s="1">
        <f t="shared" ref="AO75:AO81" ca="1" si="162">+AB124</f>
        <v>14095.908000000001</v>
      </c>
      <c r="AP75" s="1" t="str">
        <f ca="1">+AC57</f>
        <v>La Unión FC</v>
      </c>
      <c r="AQ75" s="1">
        <f t="shared" ref="AQ75:AQ81" ca="1" si="163">+AK57</f>
        <v>7</v>
      </c>
      <c r="AR75" s="1">
        <f t="shared" ref="AR75:AW75" ca="1" si="164">+AD57</f>
        <v>5</v>
      </c>
      <c r="AS75" s="1">
        <f t="shared" ca="1" si="164"/>
        <v>1</v>
      </c>
      <c r="AT75" s="1">
        <f t="shared" ca="1" si="164"/>
        <v>1</v>
      </c>
      <c r="AU75" s="1">
        <f t="shared" ca="1" si="164"/>
        <v>35</v>
      </c>
      <c r="AV75" s="1">
        <f t="shared" ca="1" si="164"/>
        <v>11</v>
      </c>
      <c r="AW75" s="1">
        <f t="shared" ca="1" si="164"/>
        <v>24</v>
      </c>
      <c r="AX75" s="1">
        <f t="shared" ref="AX75:AX81" ca="1" si="165">+AL57</f>
        <v>120</v>
      </c>
      <c r="AY75" s="1">
        <f t="shared" ref="AY75:AY81" ca="1" si="166">+AJ57</f>
        <v>16</v>
      </c>
      <c r="AZ75" s="1">
        <f t="shared" ref="AZ75:AZ81" ca="1" si="167">+AM57</f>
        <v>18071.207111111115</v>
      </c>
    </row>
    <row r="76" spans="1:52" ht="16.5" thickBot="1" x14ac:dyDescent="0.3">
      <c r="A76" s="213"/>
      <c r="B76" s="60">
        <f>IF(Fixture!C75,Fixture!C75,"")</f>
        <v>45746</v>
      </c>
      <c r="C76" s="58">
        <v>0.38194444444444442</v>
      </c>
      <c r="D76" s="82" t="str">
        <f t="shared" ca="1" si="136"/>
        <v>Finalizado</v>
      </c>
      <c r="E76" s="207"/>
      <c r="F76" s="43">
        <f>+Fixture!B75</f>
        <v>74</v>
      </c>
      <c r="G76" s="42" t="str">
        <f>IF(VLOOKUP(F76,Fixture!$B$2:$F$137,3,FALSE)&lt;&gt;0,VLOOKUP(F76,Fixture!$B$2:$F$137,3,FALSE),"")</f>
        <v>Hojas Anchas</v>
      </c>
      <c r="H76" s="44">
        <f ca="1">IF($D76="Finalizado",_xlfn.XLOOKUP(G76,Resumen!$A$6:$A$22,Resumen!AL$6:AL$22,0),"")</f>
        <v>2</v>
      </c>
      <c r="I76" s="44">
        <f ca="1">IF($D76="Finalizado",_xlfn.XLOOKUP(G76,Resumen!$A$6:$A$22,Resumen!AM$6:AM$22,0),"")</f>
        <v>2</v>
      </c>
      <c r="J76" s="44">
        <f ca="1">IF($D76="Finalizado",_xlfn.XLOOKUP(G76,Resumen!$A$6:$A$22,Resumen!AN$6:AN$22,0)+_xlfn.XLOOKUP(G76,Resumen!$A$6:$A$22,Resumen!AO$6:AO$22,0),"")</f>
        <v>0</v>
      </c>
      <c r="K76" s="44">
        <f t="shared" ref="K76:K141" ca="1" si="168">IF(D76="Finalizado",IF(H76&gt;Q76,1,0),"")</f>
        <v>1</v>
      </c>
      <c r="L76" s="44">
        <f t="shared" ca="1" si="155"/>
        <v>0</v>
      </c>
      <c r="M76" s="44">
        <f t="shared" ca="1" si="156"/>
        <v>0</v>
      </c>
      <c r="N76" s="44">
        <f t="shared" ca="1" si="157"/>
        <v>1</v>
      </c>
      <c r="O76" s="45">
        <f t="shared" ca="1" si="158"/>
        <v>10</v>
      </c>
      <c r="P76" s="42" t="str">
        <f>IF(VLOOKUP(F76,Fixture!$B$2:$F$137,5,FALSE)&lt;&gt;0,VLOOKUP(F76,Fixture!$B$2:$F$137,5,FALSE),"")</f>
        <v>Konami</v>
      </c>
      <c r="Q76" s="44">
        <f ca="1">IF($D76="Finalizado",_xlfn.XLOOKUP(P76,Resumen!$A$6:$A$22,Resumen!AL$6:AL$22,0),"")</f>
        <v>1</v>
      </c>
      <c r="R76" s="44">
        <f ca="1">IF($D76="Finalizado",_xlfn.XLOOKUP(P76,Resumen!$A$6:$A$22,Resumen!AM$6:AM$22,0),"")</f>
        <v>1</v>
      </c>
      <c r="S76" s="44">
        <f ca="1">IF($D76="Finalizado",_xlfn.XLOOKUP(P76,Resumen!$A$6:$A$22,Resumen!AN$6:AN$22,0)+_xlfn.XLOOKUP(P76,Resumen!$A$6:$A$22,Resumen!AO$6:AO$22,0),"")</f>
        <v>0</v>
      </c>
      <c r="T76" s="44">
        <f t="shared" ca="1" si="159"/>
        <v>0</v>
      </c>
      <c r="U76" s="44">
        <f t="shared" ref="U76:U139" ca="1" si="169">IF(D76="Finalizado",IF(Q76=H76,1,0),"")</f>
        <v>0</v>
      </c>
      <c r="V76" s="44">
        <f t="shared" ref="V76:V139" ca="1" si="170">IF(D76="Finalizado",IF(Q76&lt;H76,1,0),"")</f>
        <v>1</v>
      </c>
      <c r="W76" s="44">
        <f t="shared" ca="1" si="160"/>
        <v>1</v>
      </c>
      <c r="X76" s="45">
        <f t="shared" ca="1" si="161"/>
        <v>5</v>
      </c>
      <c r="Y76" s="207"/>
      <c r="AO76" s="1">
        <f t="shared" ca="1" si="162"/>
        <v>16093.508333333333</v>
      </c>
      <c r="AP76" s="1" t="str">
        <f t="shared" ref="AP76" ca="1" si="171">AC58</f>
        <v>Los Amigos</v>
      </c>
      <c r="AQ76" s="1">
        <f ca="1">+AK58</f>
        <v>7</v>
      </c>
      <c r="AR76" s="1">
        <f t="shared" ref="AR76:AW76" ca="1" si="172">+AD58</f>
        <v>5</v>
      </c>
      <c r="AS76" s="1">
        <f t="shared" ca="1" si="172"/>
        <v>1</v>
      </c>
      <c r="AT76" s="1">
        <f t="shared" ca="1" si="172"/>
        <v>1</v>
      </c>
      <c r="AU76" s="1">
        <f t="shared" ca="1" si="172"/>
        <v>32</v>
      </c>
      <c r="AV76" s="1">
        <f t="shared" ca="1" si="172"/>
        <v>17</v>
      </c>
      <c r="AW76" s="1">
        <f t="shared" ca="1" si="172"/>
        <v>15</v>
      </c>
      <c r="AX76" s="1">
        <f t="shared" ca="1" si="165"/>
        <v>30</v>
      </c>
      <c r="AY76" s="1">
        <f t="shared" ca="1" si="166"/>
        <v>16</v>
      </c>
      <c r="AZ76" s="1">
        <f t="shared" ca="1" si="167"/>
        <v>16093.508333333333</v>
      </c>
    </row>
    <row r="77" spans="1:52" ht="16.5" thickBot="1" x14ac:dyDescent="0.3">
      <c r="A77" s="213"/>
      <c r="B77" s="60">
        <f>IF(Fixture!C76,Fixture!C76,"")</f>
        <v>45746</v>
      </c>
      <c r="C77" s="58">
        <v>0.43055555555555602</v>
      </c>
      <c r="D77" s="82" t="str">
        <f t="shared" ca="1" si="136"/>
        <v>Finalizado</v>
      </c>
      <c r="E77" s="207"/>
      <c r="F77" s="43">
        <f>+Fixture!B76</f>
        <v>75</v>
      </c>
      <c r="G77" s="42" t="str">
        <f>IF(VLOOKUP(F77,Fixture!$B$2:$F$137,3,FALSE)&lt;&gt;0,VLOOKUP(F77,Fixture!$B$2:$F$137,3,FALSE),"")</f>
        <v>Los Aliados</v>
      </c>
      <c r="H77" s="44">
        <f ca="1">IF($D77="Finalizado",_xlfn.XLOOKUP(G77,Resumen!$A$6:$A$22,Resumen!AL$6:AL$22,0),"")</f>
        <v>0</v>
      </c>
      <c r="I77" s="44">
        <f ca="1">IF($D77="Finalizado",_xlfn.XLOOKUP(G77,Resumen!$A$6:$A$22,Resumen!AM$6:AM$22,0),"")</f>
        <v>0</v>
      </c>
      <c r="J77" s="44">
        <f ca="1">IF($D77="Finalizado",_xlfn.XLOOKUP(G77,Resumen!$A$6:$A$22,Resumen!AN$6:AN$22,0)+_xlfn.XLOOKUP(G77,Resumen!$A$6:$A$22,Resumen!AO$6:AO$22,0),"")</f>
        <v>3</v>
      </c>
      <c r="K77" s="44">
        <f t="shared" ca="1" si="168"/>
        <v>0</v>
      </c>
      <c r="L77" s="44">
        <f t="shared" ca="1" si="155"/>
        <v>0</v>
      </c>
      <c r="M77" s="44">
        <f t="shared" ca="1" si="156"/>
        <v>1</v>
      </c>
      <c r="N77" s="44">
        <f t="shared" ca="1" si="157"/>
        <v>1</v>
      </c>
      <c r="O77" s="45">
        <f t="shared" ca="1" si="158"/>
        <v>30</v>
      </c>
      <c r="P77" s="42" t="str">
        <f>IF(VLOOKUP(F77,Fixture!$B$2:$F$137,5,FALSE)&lt;&gt;0,VLOOKUP(F77,Fixture!$B$2:$F$137,5,FALSE),"")</f>
        <v>La Amistad</v>
      </c>
      <c r="Q77" s="44">
        <f ca="1">IF($D77="Finalizado",_xlfn.XLOOKUP(P77,Resumen!$A$6:$A$22,Resumen!AL$6:AL$22,0),"")</f>
        <v>3</v>
      </c>
      <c r="R77" s="44">
        <f ca="1">IF($D77="Finalizado",_xlfn.XLOOKUP(P77,Resumen!$A$6:$A$22,Resumen!AM$6:AM$22,0),"")</f>
        <v>0</v>
      </c>
      <c r="S77" s="44">
        <f ca="1">IF($D77="Finalizado",_xlfn.XLOOKUP(P77,Resumen!$A$6:$A$22,Resumen!AN$6:AN$22,0)+_xlfn.XLOOKUP(P77,Resumen!$A$6:$A$22,Resumen!AO$6:AO$22,0),"")</f>
        <v>0</v>
      </c>
      <c r="T77" s="44">
        <f t="shared" ca="1" si="159"/>
        <v>1</v>
      </c>
      <c r="U77" s="44">
        <f t="shared" ca="1" si="169"/>
        <v>0</v>
      </c>
      <c r="V77" s="44">
        <f t="shared" ca="1" si="170"/>
        <v>0</v>
      </c>
      <c r="W77" s="44">
        <f t="shared" ca="1" si="160"/>
        <v>1</v>
      </c>
      <c r="X77" s="45">
        <f t="shared" ca="1" si="161"/>
        <v>0</v>
      </c>
      <c r="Y77" s="207"/>
      <c r="AA77" s="40" t="s">
        <v>122</v>
      </c>
      <c r="AB77" s="40"/>
      <c r="AC77" s="41" t="s">
        <v>2</v>
      </c>
      <c r="AD77" s="40" t="s">
        <v>115</v>
      </c>
      <c r="AE77" s="40" t="s">
        <v>116</v>
      </c>
      <c r="AF77" s="40" t="s">
        <v>117</v>
      </c>
      <c r="AG77" s="40" t="s">
        <v>123</v>
      </c>
      <c r="AH77" s="40" t="s">
        <v>124</v>
      </c>
      <c r="AI77" s="40" t="s">
        <v>125</v>
      </c>
      <c r="AJ77" s="40" t="s">
        <v>126</v>
      </c>
      <c r="AK77" s="40" t="s">
        <v>127</v>
      </c>
      <c r="AL77" s="40" t="s">
        <v>119</v>
      </c>
      <c r="AM77"/>
      <c r="AO77" s="1">
        <f t="shared" ca="1" si="162"/>
        <v>1059.2018181818182</v>
      </c>
      <c r="AP77" s="1" t="str">
        <f t="shared" ref="AP77" ca="1" si="173">+AC59</f>
        <v>Ron Star</v>
      </c>
      <c r="AQ77" s="1">
        <f t="shared" ca="1" si="163"/>
        <v>7</v>
      </c>
      <c r="AR77" s="1">
        <f t="shared" ref="AR77:AW77" ca="1" si="174">+AD59</f>
        <v>4</v>
      </c>
      <c r="AS77" s="1">
        <f t="shared" ca="1" si="174"/>
        <v>2</v>
      </c>
      <c r="AT77" s="1">
        <f t="shared" ca="1" si="174"/>
        <v>1</v>
      </c>
      <c r="AU77" s="1">
        <f t="shared" ca="1" si="174"/>
        <v>25</v>
      </c>
      <c r="AV77" s="1">
        <f t="shared" ca="1" si="174"/>
        <v>16</v>
      </c>
      <c r="AW77" s="1">
        <f t="shared" ca="1" si="174"/>
        <v>9</v>
      </c>
      <c r="AX77" s="1">
        <f t="shared" ca="1" si="165"/>
        <v>25</v>
      </c>
      <c r="AY77" s="1">
        <f t="shared" ca="1" si="166"/>
        <v>14</v>
      </c>
      <c r="AZ77" s="1">
        <f t="shared" ca="1" si="167"/>
        <v>16117.405833333332</v>
      </c>
    </row>
    <row r="78" spans="1:52" ht="16.5" thickBot="1" x14ac:dyDescent="0.3">
      <c r="A78" s="213"/>
      <c r="B78" s="60">
        <f>IF(Fixture!C77,Fixture!C77,"")</f>
        <v>45746</v>
      </c>
      <c r="C78" s="58">
        <v>0.47916666666666602</v>
      </c>
      <c r="D78" s="82" t="str">
        <f t="shared" ca="1" si="136"/>
        <v>Finalizado</v>
      </c>
      <c r="E78" s="207"/>
      <c r="F78" s="43">
        <f>+Fixture!B77</f>
        <v>76</v>
      </c>
      <c r="G78" s="42" t="str">
        <f>IF(VLOOKUP(F78,Fixture!$B$2:$F$137,3,FALSE)&lt;&gt;0,VLOOKUP(F78,Fixture!$B$2:$F$137,3,FALSE),"")</f>
        <v>Boca Juniors</v>
      </c>
      <c r="H78" s="44">
        <f ca="1">IF($D78="Finalizado",_xlfn.XLOOKUP(G78,Resumen!$A$6:$A$22,Resumen!AL$6:AL$22,0),"")</f>
        <v>7</v>
      </c>
      <c r="I78" s="44">
        <f ca="1">IF($D78="Finalizado",_xlfn.XLOOKUP(G78,Resumen!$A$6:$A$22,Resumen!AM$6:AM$22,0),"")</f>
        <v>2</v>
      </c>
      <c r="J78" s="44">
        <f ca="1">IF($D78="Finalizado",_xlfn.XLOOKUP(G78,Resumen!$A$6:$A$22,Resumen!AN$6:AN$22,0)+_xlfn.XLOOKUP(G78,Resumen!$A$6:$A$22,Resumen!AO$6:AO$22,0),"")</f>
        <v>0</v>
      </c>
      <c r="K78" s="44">
        <f t="shared" ca="1" si="168"/>
        <v>1</v>
      </c>
      <c r="L78" s="44">
        <f t="shared" ca="1" si="155"/>
        <v>0</v>
      </c>
      <c r="M78" s="44">
        <f t="shared" ca="1" si="156"/>
        <v>0</v>
      </c>
      <c r="N78" s="44">
        <f t="shared" ca="1" si="157"/>
        <v>1</v>
      </c>
      <c r="O78" s="45">
        <f t="shared" ca="1" si="158"/>
        <v>10</v>
      </c>
      <c r="P78" s="42" t="str">
        <f>IF(VLOOKUP(F78,Fixture!$B$2:$F$137,5,FALSE)&lt;&gt;0,VLOOKUP(F78,Fixture!$B$2:$F$137,5,FALSE),"")</f>
        <v>La Nueva Era</v>
      </c>
      <c r="Q78" s="44">
        <f ca="1">IF($D78="Finalizado",_xlfn.XLOOKUP(P78,Resumen!$A$6:$A$22,Resumen!AL$6:AL$22,0),"")</f>
        <v>4</v>
      </c>
      <c r="R78" s="44">
        <f ca="1">IF($D78="Finalizado",_xlfn.XLOOKUP(P78,Resumen!$A$6:$A$22,Resumen!AM$6:AM$22,0),"")</f>
        <v>0</v>
      </c>
      <c r="S78" s="44">
        <f ca="1">IF($D78="Finalizado",_xlfn.XLOOKUP(P78,Resumen!$A$6:$A$22,Resumen!AN$6:AN$22,0)+_xlfn.XLOOKUP(P78,Resumen!$A$6:$A$22,Resumen!AO$6:AO$22,0),"")</f>
        <v>0</v>
      </c>
      <c r="T78" s="44">
        <f t="shared" ca="1" si="159"/>
        <v>0</v>
      </c>
      <c r="U78" s="44">
        <f t="shared" ca="1" si="169"/>
        <v>0</v>
      </c>
      <c r="V78" s="44">
        <f t="shared" ca="1" si="170"/>
        <v>1</v>
      </c>
      <c r="W78" s="44">
        <f t="shared" ca="1" si="160"/>
        <v>1</v>
      </c>
      <c r="X78" s="45">
        <f t="shared" ca="1" si="161"/>
        <v>0</v>
      </c>
      <c r="Y78" s="207"/>
      <c r="AA78" s="19">
        <v>1</v>
      </c>
      <c r="AB78" s="19">
        <f ca="1">AJ78*1000+(AI78)+(AD78/10)+(AG78/1000)+IF(AL78&gt;0,(0.1/AL78),0)</f>
        <v>30026.968052631579</v>
      </c>
      <c r="AC78" s="46" t="str">
        <f>+Equipos!B3</f>
        <v>Los Amigos</v>
      </c>
      <c r="AD78">
        <f ca="1">SUMIF($G$3:$G$122,AC78,$K$3:$K$122)+SUMIF($P$3:$P$122,AC78,$T$3:$T$122)</f>
        <v>9</v>
      </c>
      <c r="AE78">
        <f ca="1">SUMIF($G$3:$G$122,AC78,$L$3:$L$122)+SUMIF($P$3:$P$122,AC78,$U$3:$U$122)</f>
        <v>3</v>
      </c>
      <c r="AF78">
        <f ca="1">SUMIF($G$3:$G$122,AC78,$M$3:$M$122)+SUMIF($P$3:$P$122,AC78,$V$3:$V$122)</f>
        <v>3</v>
      </c>
      <c r="AG78">
        <f ca="1">SUMIF($G$3:$G$122,AC78,$H$3:$H$122)+SUMIF($P$3:$P$122,AC78,$Q$3:$Q$122)</f>
        <v>67</v>
      </c>
      <c r="AH78">
        <f ca="1">SUMIF($G$3:$G$122,AC78,$Q$3:$Q$122)+SUMIF($P$3:$P$122,AC78,$H$3:$H$122)</f>
        <v>41</v>
      </c>
      <c r="AI78">
        <f ca="1">+AG78-AH78</f>
        <v>26</v>
      </c>
      <c r="AJ78">
        <f ca="1">AD78*3+AE78*1</f>
        <v>30</v>
      </c>
      <c r="AK78">
        <f ca="1">SUMIF($G$3:$G$122,AC78,$N$3:$N$122)+SUMIF($P$3:$P$122,AC78,$W$3:$W$122)</f>
        <v>15</v>
      </c>
      <c r="AL78">
        <f ca="1">SUMIF($G$3:$G$122,AC78,$O$3:$O$122)+SUMIF($P$3:$P$122,AC78,$X$3:$X$122)</f>
        <v>95</v>
      </c>
      <c r="AM78">
        <f t="shared" ref="AM78" ca="1" si="175">LARGE($AB$78:$AB$93,AA78)</f>
        <v>36038.184176470582</v>
      </c>
      <c r="AO78" s="1">
        <f t="shared" ca="1" si="162"/>
        <v>18071.207111111115</v>
      </c>
      <c r="AP78" s="1" t="str">
        <f t="shared" ref="AP78" ca="1" si="176">AC60</f>
        <v>Atalanta</v>
      </c>
      <c r="AQ78" s="1">
        <f t="shared" ca="1" si="163"/>
        <v>7</v>
      </c>
      <c r="AR78" s="1">
        <f t="shared" ref="AR78:AW78" ca="1" si="177">+AD60</f>
        <v>2</v>
      </c>
      <c r="AS78" s="1">
        <f t="shared" ca="1" si="177"/>
        <v>1</v>
      </c>
      <c r="AT78" s="1">
        <f t="shared" ca="1" si="177"/>
        <v>4</v>
      </c>
      <c r="AU78" s="1">
        <f t="shared" ca="1" si="177"/>
        <v>26</v>
      </c>
      <c r="AV78" s="1">
        <f t="shared" ca="1" si="177"/>
        <v>37</v>
      </c>
      <c r="AW78" s="1">
        <f t="shared" ca="1" si="177"/>
        <v>-11</v>
      </c>
      <c r="AX78" s="1">
        <f t="shared" ca="1" si="165"/>
        <v>140</v>
      </c>
      <c r="AY78" s="1">
        <f t="shared" ca="1" si="166"/>
        <v>7</v>
      </c>
      <c r="AZ78" s="1">
        <f t="shared" ca="1" si="167"/>
        <v>1059.2018181818182</v>
      </c>
    </row>
    <row r="79" spans="1:52" ht="16.5" thickBot="1" x14ac:dyDescent="0.3">
      <c r="A79" s="213"/>
      <c r="B79" s="60">
        <f>IF(Fixture!C78,Fixture!C78,"")</f>
        <v>45746</v>
      </c>
      <c r="C79" s="58">
        <v>0.52777777777777701</v>
      </c>
      <c r="D79" s="82" t="str">
        <f t="shared" ca="1" si="136"/>
        <v>Finalizado</v>
      </c>
      <c r="E79" s="207"/>
      <c r="F79" s="43">
        <f>+Fixture!B78</f>
        <v>77</v>
      </c>
      <c r="G79" s="42" t="str">
        <f>IF(VLOOKUP(F79,Fixture!$B$2:$F$137,3,FALSE)&lt;&gt;0,VLOOKUP(F79,Fixture!$B$2:$F$137,3,FALSE),"")</f>
        <v>Deportivo Fénix</v>
      </c>
      <c r="H79" s="44">
        <f ca="1">IF($D79="Finalizado",_xlfn.XLOOKUP(G79,Resumen!$A$6:$A$22,Resumen!AL$6:AL$22,0),"")</f>
        <v>1</v>
      </c>
      <c r="I79" s="44">
        <f ca="1">IF($D79="Finalizado",_xlfn.XLOOKUP(G79,Resumen!$A$6:$A$22,Resumen!AM$6:AM$22,0),"")</f>
        <v>2</v>
      </c>
      <c r="J79" s="44">
        <f ca="1">IF($D79="Finalizado",_xlfn.XLOOKUP(G79,Resumen!$A$6:$A$22,Resumen!AN$6:AN$22,0)+_xlfn.XLOOKUP(G79,Resumen!$A$6:$A$22,Resumen!AO$6:AO$22,0),"")</f>
        <v>1</v>
      </c>
      <c r="K79" s="44">
        <f t="shared" ca="1" si="168"/>
        <v>0</v>
      </c>
      <c r="L79" s="44">
        <f t="shared" ca="1" si="155"/>
        <v>0</v>
      </c>
      <c r="M79" s="44">
        <f t="shared" ca="1" si="156"/>
        <v>1</v>
      </c>
      <c r="N79" s="44">
        <f t="shared" ca="1" si="157"/>
        <v>1</v>
      </c>
      <c r="O79" s="45">
        <f t="shared" ca="1" si="158"/>
        <v>20</v>
      </c>
      <c r="P79" s="42" t="str">
        <f>IF(VLOOKUP(F79,Fixture!$B$2:$F$137,5,FALSE)&lt;&gt;0,VLOOKUP(F79,Fixture!$B$2:$F$137,5,FALSE),"")</f>
        <v>Los Amigos</v>
      </c>
      <c r="Q79" s="44">
        <f ca="1">IF($D79="Finalizado",_xlfn.XLOOKUP(P79,Resumen!$A$6:$A$22,Resumen!AL$6:AL$22,0),"")</f>
        <v>7</v>
      </c>
      <c r="R79" s="44">
        <f ca="1">IF($D79="Finalizado",_xlfn.XLOOKUP(P79,Resumen!$A$6:$A$22,Resumen!AM$6:AM$22,0),"")</f>
        <v>2</v>
      </c>
      <c r="S79" s="44">
        <f ca="1">IF($D79="Finalizado",_xlfn.XLOOKUP(P79,Resumen!$A$6:$A$22,Resumen!AN$6:AN$22,0)+_xlfn.XLOOKUP(P79,Resumen!$A$6:$A$22,Resumen!AO$6:AO$22,0),"")</f>
        <v>0</v>
      </c>
      <c r="T79" s="44">
        <f t="shared" ca="1" si="159"/>
        <v>1</v>
      </c>
      <c r="U79" s="44">
        <f t="shared" ca="1" si="169"/>
        <v>0</v>
      </c>
      <c r="V79" s="44">
        <f t="shared" ca="1" si="170"/>
        <v>0</v>
      </c>
      <c r="W79" s="44">
        <f t="shared" ca="1" si="160"/>
        <v>1</v>
      </c>
      <c r="X79" s="45">
        <f t="shared" ca="1" si="161"/>
        <v>10</v>
      </c>
      <c r="Y79" s="207"/>
      <c r="AA79" s="19">
        <v>2</v>
      </c>
      <c r="AB79" s="19">
        <f ca="1">AJ79*1000+(AI79)+(AD79/10)+(AG79/1000)+IF(AL79&gt;0,(0.1/AL79),0)</f>
        <v>8928.3352222222202</v>
      </c>
      <c r="AC79" s="46" t="str">
        <f>+Equipos!B4</f>
        <v>La Nueva Era</v>
      </c>
      <c r="AD79">
        <f t="shared" ref="AD79:AD93" ca="1" si="178">SUMIF($G$3:$G$122,AC79,$K$3:$K$122)+SUMIF($P$3:$P$122,AC79,$T$3:$T$122)</f>
        <v>3</v>
      </c>
      <c r="AE79">
        <f t="shared" ref="AE79:AE93" ca="1" si="179">SUMIF($G$3:$G$122,AC79,$L$3:$L$122)+SUMIF($P$3:$P$122,AC79,$U$3:$U$122)</f>
        <v>0</v>
      </c>
      <c r="AF79">
        <f t="shared" ref="AF79:AF93" ca="1" si="180">SUMIF($G$3:$G$122,AC79,$M$3:$M$122)+SUMIF($P$3:$P$122,AC79,$V$3:$V$122)</f>
        <v>12</v>
      </c>
      <c r="AG79">
        <f t="shared" ref="AG79:AG93" ca="1" si="181">SUMIF($G$3:$G$122,AC79,$H$3:$H$122)+SUMIF($P$3:$P$122,AC79,$Q$3:$Q$122)</f>
        <v>33</v>
      </c>
      <c r="AH79">
        <f t="shared" ref="AH79:AH93" ca="1" si="182">SUMIF($G$3:$G$122,AC79,$Q$3:$Q$122)+SUMIF($P$3:$P$122,AC79,$H$3:$H$122)</f>
        <v>105</v>
      </c>
      <c r="AI79">
        <f t="shared" ref="AI79:AI93" ca="1" si="183">+AG79-AH79</f>
        <v>-72</v>
      </c>
      <c r="AJ79">
        <f t="shared" ref="AJ79:AJ93" ca="1" si="184">AD79*3+AE79*1</f>
        <v>9</v>
      </c>
      <c r="AK79">
        <f t="shared" ref="AK79:AK93" ca="1" si="185">SUMIF($G$3:$G$122,AC79,$N$3:$N$122)+SUMIF($P$3:$P$122,AC79,$W$3:$W$122)</f>
        <v>15</v>
      </c>
      <c r="AL79">
        <f t="shared" ref="AL79:AL93" ca="1" si="186">SUMIF($G$3:$G$122,AC79,$O$3:$O$122)+SUMIF($P$3:$P$122,AC79,$X$3:$X$122)</f>
        <v>45</v>
      </c>
      <c r="AM79">
        <f t="shared" ref="AM79:AM93" ca="1" si="187">LARGE($AB$78:$AB$93,AA79)</f>
        <v>32032.06722222222</v>
      </c>
      <c r="AO79" s="1">
        <f t="shared" ca="1" si="162"/>
        <v>6054.2030000000004</v>
      </c>
      <c r="AP79" s="1" t="str">
        <f t="shared" ref="AP79" ca="1" si="188">+AC61</f>
        <v>Hojas Anchas</v>
      </c>
      <c r="AQ79" s="1">
        <f t="shared" ca="1" si="163"/>
        <v>7</v>
      </c>
      <c r="AR79" s="1">
        <f t="shared" ref="AR79:AW79" ca="1" si="189">+AD61</f>
        <v>2</v>
      </c>
      <c r="AS79" s="1">
        <f t="shared" ca="1" si="189"/>
        <v>0</v>
      </c>
      <c r="AT79" s="1">
        <f t="shared" ca="1" si="189"/>
        <v>5</v>
      </c>
      <c r="AU79" s="1">
        <f t="shared" ca="1" si="189"/>
        <v>25</v>
      </c>
      <c r="AV79" s="1">
        <f t="shared" ca="1" si="189"/>
        <v>33</v>
      </c>
      <c r="AW79" s="1">
        <f t="shared" ca="1" si="189"/>
        <v>-8</v>
      </c>
      <c r="AX79" s="1">
        <f t="shared" ca="1" si="165"/>
        <v>100</v>
      </c>
      <c r="AY79" s="1">
        <f t="shared" ca="1" si="166"/>
        <v>6</v>
      </c>
      <c r="AZ79" s="1">
        <f t="shared" ca="1" si="167"/>
        <v>6054.2030000000004</v>
      </c>
    </row>
    <row r="80" spans="1:52" ht="16.5" thickBot="1" x14ac:dyDescent="0.3">
      <c r="A80" s="213"/>
      <c r="B80" s="60">
        <f>IF(Fixture!C79,Fixture!C79,"")</f>
        <v>45746</v>
      </c>
      <c r="C80" s="58">
        <v>0.57638888888888895</v>
      </c>
      <c r="D80" s="82" t="str">
        <f t="shared" ca="1" si="136"/>
        <v>Finalizado</v>
      </c>
      <c r="E80" s="207"/>
      <c r="F80" s="43">
        <f>+Fixture!B79</f>
        <v>78</v>
      </c>
      <c r="G80" s="42" t="str">
        <f>IF(VLOOKUP(F80,Fixture!$B$2:$F$137,3,FALSE)&lt;&gt;0,VLOOKUP(F80,Fixture!$B$2:$F$137,3,FALSE),"")</f>
        <v>Valentín FC</v>
      </c>
      <c r="H80" s="44">
        <f ca="1">IF($D80="Finalizado",_xlfn.XLOOKUP(G80,Resumen!$A$6:$A$22,Resumen!AL$6:AL$22,0),"")</f>
        <v>4</v>
      </c>
      <c r="I80" s="44">
        <f ca="1">IF($D80="Finalizado",_xlfn.XLOOKUP(G80,Resumen!$A$6:$A$22,Resumen!AM$6:AM$22,0),"")</f>
        <v>2</v>
      </c>
      <c r="J80" s="44">
        <f ca="1">IF($D80="Finalizado",_xlfn.XLOOKUP(G80,Resumen!$A$6:$A$22,Resumen!AN$6:AN$22,0)+_xlfn.XLOOKUP(G80,Resumen!$A$6:$A$22,Resumen!AO$6:AO$22,0),"")</f>
        <v>0</v>
      </c>
      <c r="K80" s="44">
        <f t="shared" ca="1" si="168"/>
        <v>0</v>
      </c>
      <c r="L80" s="44">
        <f t="shared" ca="1" si="155"/>
        <v>0</v>
      </c>
      <c r="M80" s="44">
        <f t="shared" ca="1" si="156"/>
        <v>1</v>
      </c>
      <c r="N80" s="44">
        <f t="shared" ca="1" si="157"/>
        <v>1</v>
      </c>
      <c r="O80" s="45">
        <f t="shared" ca="1" si="158"/>
        <v>10</v>
      </c>
      <c r="P80" s="42" t="str">
        <f>IF(VLOOKUP(F80,Fixture!$B$2:$F$137,5,FALSE)&lt;&gt;0,VLOOKUP(F80,Fixture!$B$2:$F$137,5,FALSE),"")</f>
        <v>Ron Star</v>
      </c>
      <c r="Q80" s="44">
        <f ca="1">IF($D80="Finalizado",_xlfn.XLOOKUP(P80,Resumen!$A$6:$A$22,Resumen!AL$6:AL$22,0),"")</f>
        <v>7</v>
      </c>
      <c r="R80" s="44">
        <f ca="1">IF($D80="Finalizado",_xlfn.XLOOKUP(P80,Resumen!$A$6:$A$22,Resumen!AM$6:AM$22,0),"")</f>
        <v>2</v>
      </c>
      <c r="S80" s="44">
        <f ca="1">IF($D80="Finalizado",_xlfn.XLOOKUP(P80,Resumen!$A$6:$A$22,Resumen!AN$6:AN$22,0)+_xlfn.XLOOKUP(P80,Resumen!$A$6:$A$22,Resumen!AO$6:AO$22,0),"")</f>
        <v>0</v>
      </c>
      <c r="T80" s="44">
        <f t="shared" ca="1" si="159"/>
        <v>1</v>
      </c>
      <c r="U80" s="44">
        <f t="shared" ca="1" si="169"/>
        <v>0</v>
      </c>
      <c r="V80" s="44">
        <f t="shared" ca="1" si="170"/>
        <v>0</v>
      </c>
      <c r="W80" s="44">
        <f t="shared" ca="1" si="160"/>
        <v>1</v>
      </c>
      <c r="X80" s="45">
        <f t="shared" ca="1" si="161"/>
        <v>10</v>
      </c>
      <c r="Y80" s="207"/>
      <c r="AA80" s="19">
        <v>3</v>
      </c>
      <c r="AB80" s="19">
        <f t="shared" ref="AB80:AB92" ca="1" si="190">AJ80*1000+(AI80)+(AD80/10)+(AG80/1000)+IF(AL80&gt;0,(0.1/AL80),0)</f>
        <v>32032.06722222222</v>
      </c>
      <c r="AC80" s="46" t="str">
        <f>+Equipos!B5</f>
        <v>La Amistad</v>
      </c>
      <c r="AD80">
        <f t="shared" ca="1" si="178"/>
        <v>10</v>
      </c>
      <c r="AE80">
        <f t="shared" ca="1" si="179"/>
        <v>2</v>
      </c>
      <c r="AF80">
        <f t="shared" ca="1" si="180"/>
        <v>3</v>
      </c>
      <c r="AG80">
        <f t="shared" ca="1" si="181"/>
        <v>65</v>
      </c>
      <c r="AH80">
        <f t="shared" ca="1" si="182"/>
        <v>34</v>
      </c>
      <c r="AI80">
        <f t="shared" ca="1" si="183"/>
        <v>31</v>
      </c>
      <c r="AJ80">
        <f t="shared" ca="1" si="184"/>
        <v>32</v>
      </c>
      <c r="AK80">
        <f t="shared" ca="1" si="185"/>
        <v>15</v>
      </c>
      <c r="AL80">
        <f t="shared" ca="1" si="186"/>
        <v>45</v>
      </c>
      <c r="AM80">
        <f t="shared" ca="1" si="187"/>
        <v>31035.071</v>
      </c>
      <c r="AO80" s="1">
        <f t="shared" ca="1" si="162"/>
        <v>3026.7024285714288</v>
      </c>
      <c r="AP80" s="1" t="str">
        <f t="shared" ref="AP80" ca="1" si="191">AC62</f>
        <v>Los Aliados</v>
      </c>
      <c r="AQ80" s="1">
        <f t="shared" ca="1" si="163"/>
        <v>7</v>
      </c>
      <c r="AR80" s="1">
        <f t="shared" ref="AR80:AW80" ca="1" si="192">+AD62</f>
        <v>1</v>
      </c>
      <c r="AS80" s="1">
        <f t="shared" ca="1" si="192"/>
        <v>0</v>
      </c>
      <c r="AT80" s="1">
        <f t="shared" ca="1" si="192"/>
        <v>6</v>
      </c>
      <c r="AU80" s="1">
        <f t="shared" ca="1" si="192"/>
        <v>10</v>
      </c>
      <c r="AV80" s="1">
        <f t="shared" ca="1" si="192"/>
        <v>43</v>
      </c>
      <c r="AW80" s="1">
        <f t="shared" ca="1" si="192"/>
        <v>-33</v>
      </c>
      <c r="AX80" s="1">
        <f t="shared" ca="1" si="165"/>
        <v>70</v>
      </c>
      <c r="AY80" s="1">
        <f t="shared" ca="1" si="166"/>
        <v>3</v>
      </c>
      <c r="AZ80" s="1">
        <f t="shared" ca="1" si="167"/>
        <v>3026.7024285714288</v>
      </c>
    </row>
    <row r="81" spans="1:52" ht="16.5" thickBot="1" x14ac:dyDescent="0.3">
      <c r="A81" s="213"/>
      <c r="B81" s="60">
        <f>IF(Fixture!C80,Fixture!C80,"")</f>
        <v>45746</v>
      </c>
      <c r="C81" s="58">
        <v>0.625</v>
      </c>
      <c r="D81" s="82" t="str">
        <f t="shared" ca="1" si="136"/>
        <v>Finalizado</v>
      </c>
      <c r="E81" s="207"/>
      <c r="F81" s="43">
        <f>+Fixture!B80</f>
        <v>79</v>
      </c>
      <c r="G81" s="42" t="str">
        <f>IF(VLOOKUP(F81,Fixture!$B$2:$F$137,3,FALSE)&lt;&gt;0,VLOOKUP(F81,Fixture!$B$2:$F$137,3,FALSE),"")</f>
        <v>CD El Corozo</v>
      </c>
      <c r="H81" s="44">
        <f ca="1">IF($D81="Finalizado",_xlfn.XLOOKUP(G81,Resumen!$A$6:$A$22,Resumen!AL$6:AL$22,0),"")</f>
        <v>6</v>
      </c>
      <c r="I81" s="44">
        <f ca="1">IF($D81="Finalizado",_xlfn.XLOOKUP(G81,Resumen!$A$6:$A$22,Resumen!AM$6:AM$22,0),"")</f>
        <v>0</v>
      </c>
      <c r="J81" s="44">
        <f ca="1">IF($D81="Finalizado",_xlfn.XLOOKUP(G81,Resumen!$A$6:$A$22,Resumen!AN$6:AN$22,0)+_xlfn.XLOOKUP(G81,Resumen!$A$6:$A$22,Resumen!AO$6:AO$22,0),"")</f>
        <v>0</v>
      </c>
      <c r="K81" s="44">
        <f t="shared" ref="K81" ca="1" si="193">IF(D81="Finalizado",IF(H81&gt;Q81,1,0),"")</f>
        <v>1</v>
      </c>
      <c r="L81" s="44">
        <f t="shared" ref="L81" ca="1" si="194">IF(D81="Finalizado",IF(H81=Q81,1,0),"")</f>
        <v>0</v>
      </c>
      <c r="M81" s="44">
        <f t="shared" ref="M81" ca="1" si="195">IF(D81="Finalizado",IF(H81&lt;Q81,1,0),"")</f>
        <v>0</v>
      </c>
      <c r="N81" s="44">
        <f t="shared" ref="N81" ca="1" si="196">IF(D81="Finalizado",1,"")</f>
        <v>1</v>
      </c>
      <c r="O81" s="45">
        <f t="shared" ref="O81" ca="1" si="197">IF(D81="Finalizado",SUM(I81*5,J81*10),"")</f>
        <v>0</v>
      </c>
      <c r="P81" s="42" t="str">
        <f>IF(VLOOKUP(F81,Fixture!$B$2:$F$137,5,FALSE)&lt;&gt;0,VLOOKUP(F81,Fixture!$B$2:$F$137,5,FALSE),"")</f>
        <v>La Unión FC</v>
      </c>
      <c r="Q81" s="44">
        <f ca="1">IF($D81="Finalizado",_xlfn.XLOOKUP(P81,Resumen!$A$6:$A$22,Resumen!AL$6:AL$22,0),"")</f>
        <v>4</v>
      </c>
      <c r="R81" s="44">
        <f ca="1">IF($D81="Finalizado",_xlfn.XLOOKUP(P81,Resumen!$A$6:$A$22,Resumen!AM$6:AM$22,0),"")</f>
        <v>1</v>
      </c>
      <c r="S81" s="44">
        <f ca="1">IF($D81="Finalizado",_xlfn.XLOOKUP(P81,Resumen!$A$6:$A$22,Resumen!AN$6:AN$22,0)+_xlfn.XLOOKUP(P81,Resumen!$A$6:$A$22,Resumen!AO$6:AO$22,0),"")</f>
        <v>0</v>
      </c>
      <c r="T81" s="44">
        <f t="shared" ca="1" si="159"/>
        <v>0</v>
      </c>
      <c r="U81" s="44">
        <f t="shared" ca="1" si="169"/>
        <v>0</v>
      </c>
      <c r="V81" s="44">
        <f t="shared" ca="1" si="170"/>
        <v>1</v>
      </c>
      <c r="W81" s="44">
        <f t="shared" ca="1" si="160"/>
        <v>1</v>
      </c>
      <c r="X81" s="45">
        <f t="shared" ca="1" si="161"/>
        <v>5</v>
      </c>
      <c r="Y81" s="207"/>
      <c r="AA81" s="19">
        <v>4</v>
      </c>
      <c r="AB81" s="19">
        <f t="shared" ca="1" si="190"/>
        <v>31033.060333333335</v>
      </c>
      <c r="AC81" s="46" t="str">
        <f>+Equipos!B6</f>
        <v>Konami</v>
      </c>
      <c r="AD81">
        <f t="shared" ca="1" si="178"/>
        <v>10</v>
      </c>
      <c r="AE81">
        <f t="shared" ca="1" si="179"/>
        <v>1</v>
      </c>
      <c r="AF81">
        <f t="shared" ca="1" si="180"/>
        <v>4</v>
      </c>
      <c r="AG81">
        <f t="shared" ca="1" si="181"/>
        <v>57</v>
      </c>
      <c r="AH81">
        <f t="shared" ca="1" si="182"/>
        <v>25</v>
      </c>
      <c r="AI81">
        <f t="shared" ca="1" si="183"/>
        <v>32</v>
      </c>
      <c r="AJ81">
        <f t="shared" ca="1" si="184"/>
        <v>31</v>
      </c>
      <c r="AK81">
        <f t="shared" ca="1" si="185"/>
        <v>15</v>
      </c>
      <c r="AL81">
        <f t="shared" ca="1" si="186"/>
        <v>30</v>
      </c>
      <c r="AM81">
        <f t="shared" ca="1" si="187"/>
        <v>31033.060333333335</v>
      </c>
      <c r="AO81" s="1">
        <f t="shared" ca="1" si="162"/>
        <v>7034.902714285714</v>
      </c>
      <c r="AP81" s="1" t="str">
        <f t="shared" ref="AP81" ca="1" si="198">+AC63</f>
        <v>Boca Juniors</v>
      </c>
      <c r="AQ81" s="1">
        <f t="shared" ca="1" si="163"/>
        <v>7</v>
      </c>
      <c r="AR81" s="1">
        <f t="shared" ref="AR81:AW81" ca="1" si="199">+AD63</f>
        <v>0</v>
      </c>
      <c r="AS81" s="1">
        <f t="shared" ca="1" si="199"/>
        <v>1</v>
      </c>
      <c r="AT81" s="1">
        <f t="shared" ca="1" si="199"/>
        <v>6</v>
      </c>
      <c r="AU81" s="1">
        <f t="shared" ca="1" si="199"/>
        <v>11</v>
      </c>
      <c r="AV81" s="1">
        <f t="shared" ca="1" si="199"/>
        <v>29</v>
      </c>
      <c r="AW81" s="1">
        <f t="shared" ca="1" si="199"/>
        <v>-18</v>
      </c>
      <c r="AX81" s="1">
        <f t="shared" ca="1" si="165"/>
        <v>55</v>
      </c>
      <c r="AY81" s="1">
        <f t="shared" ca="1" si="166"/>
        <v>1</v>
      </c>
      <c r="AZ81" s="1">
        <f t="shared" ca="1" si="167"/>
        <v>14095.908000000001</v>
      </c>
    </row>
    <row r="82" spans="1:52" ht="16.5" thickBot="1" x14ac:dyDescent="0.3">
      <c r="A82" s="214"/>
      <c r="B82" s="60">
        <f>IF(Fixture!C81,Fixture!C81,"")</f>
        <v>45746</v>
      </c>
      <c r="C82" s="58">
        <v>0.67361111111111105</v>
      </c>
      <c r="D82" s="82" t="str">
        <f t="shared" ca="1" si="136"/>
        <v>Finalizado</v>
      </c>
      <c r="E82" s="208"/>
      <c r="F82" s="43">
        <f>+Fixture!B81</f>
        <v>80</v>
      </c>
      <c r="G82" s="42" t="str">
        <f>IF(VLOOKUP(F82,Fixture!$B$2:$F$137,3,FALSE)&lt;&gt;0,VLOOKUP(F82,Fixture!$B$2:$F$137,3,FALSE),"")</f>
        <v>Atalanta</v>
      </c>
      <c r="H82" s="48">
        <f ca="1">IF($D82="Finalizado",_xlfn.XLOOKUP(G82,Resumen!$A$6:$A$22,Resumen!AL$6:AL$22,0),"")</f>
        <v>3</v>
      </c>
      <c r="I82" s="48">
        <f ca="1">IF($D82="Finalizado",_xlfn.XLOOKUP(G82,Resumen!$A$6:$A$22,Resumen!AM$6:AM$22,0),"")</f>
        <v>0</v>
      </c>
      <c r="J82" s="48">
        <f ca="1">IF($D82="Finalizado",_xlfn.XLOOKUP(G82,Resumen!$A$6:$A$22,Resumen!AN$6:AN$22,0)+_xlfn.XLOOKUP(G82,Resumen!$A$6:$A$22,Resumen!AO$6:AO$22,0),"")</f>
        <v>0</v>
      </c>
      <c r="K82" s="48">
        <f t="shared" ca="1" si="168"/>
        <v>1</v>
      </c>
      <c r="L82" s="48">
        <f t="shared" ca="1" si="155"/>
        <v>0</v>
      </c>
      <c r="M82" s="48">
        <f t="shared" ca="1" si="156"/>
        <v>0</v>
      </c>
      <c r="N82" s="48">
        <f t="shared" ca="1" si="157"/>
        <v>1</v>
      </c>
      <c r="O82" s="49">
        <f t="shared" ca="1" si="158"/>
        <v>0</v>
      </c>
      <c r="P82" s="42" t="str">
        <f>IF(VLOOKUP(F82,Fixture!$B$2:$F$137,5,FALSE)&lt;&gt;0,VLOOKUP(F82,Fixture!$B$2:$F$137,5,FALSE),"")</f>
        <v>Rayos FC</v>
      </c>
      <c r="Q82" s="48">
        <f ca="1">IF($D82="Finalizado",_xlfn.XLOOKUP(P82,Resumen!$A$6:$A$22,Resumen!AL$6:AL$22,0),"")</f>
        <v>0</v>
      </c>
      <c r="R82" s="48">
        <f ca="1">IF($D82="Finalizado",_xlfn.XLOOKUP(P82,Resumen!$A$6:$A$22,Resumen!AM$6:AM$22,0),"")</f>
        <v>0</v>
      </c>
      <c r="S82" s="48">
        <f ca="1">IF($D82="Finalizado",_xlfn.XLOOKUP(P82,Resumen!$A$6:$A$22,Resumen!AN$6:AN$22,0)+_xlfn.XLOOKUP(P82,Resumen!$A$6:$A$22,Resumen!AO$6:AO$22,0),"")</f>
        <v>3</v>
      </c>
      <c r="T82" s="48">
        <f t="shared" ca="1" si="159"/>
        <v>0</v>
      </c>
      <c r="U82" s="48">
        <f t="shared" ca="1" si="169"/>
        <v>0</v>
      </c>
      <c r="V82" s="48">
        <f t="shared" ca="1" si="170"/>
        <v>1</v>
      </c>
      <c r="W82" s="48">
        <f t="shared" ca="1" si="160"/>
        <v>1</v>
      </c>
      <c r="X82" s="49">
        <f t="shared" ca="1" si="161"/>
        <v>30</v>
      </c>
      <c r="Y82" s="208"/>
      <c r="AA82" s="19">
        <v>5</v>
      </c>
      <c r="AB82" s="19">
        <f t="shared" ca="1" si="190"/>
        <v>25014.849645161288</v>
      </c>
      <c r="AC82" s="46" t="str">
        <f>+Equipos!B7</f>
        <v>Villanueva</v>
      </c>
      <c r="AD82">
        <f t="shared" ca="1" si="178"/>
        <v>8</v>
      </c>
      <c r="AE82">
        <f t="shared" ca="1" si="179"/>
        <v>1</v>
      </c>
      <c r="AF82">
        <f t="shared" ca="1" si="180"/>
        <v>6</v>
      </c>
      <c r="AG82">
        <f t="shared" ca="1" si="181"/>
        <v>49</v>
      </c>
      <c r="AH82">
        <f t="shared" ca="1" si="182"/>
        <v>35</v>
      </c>
      <c r="AI82">
        <f t="shared" ca="1" si="183"/>
        <v>14</v>
      </c>
      <c r="AJ82">
        <f t="shared" ca="1" si="184"/>
        <v>25</v>
      </c>
      <c r="AK82">
        <f t="shared" ca="1" si="185"/>
        <v>15</v>
      </c>
      <c r="AL82">
        <f t="shared" ca="1" si="186"/>
        <v>155</v>
      </c>
      <c r="AM82">
        <f t="shared" ca="1" si="187"/>
        <v>30026.968052631579</v>
      </c>
      <c r="AO82" s="1">
        <f ca="1">AB134</f>
        <v>18107.607333333333</v>
      </c>
      <c r="AP82" s="1" t="str">
        <f ca="1">+AC67</f>
        <v>La Amistad</v>
      </c>
      <c r="AQ82" s="1">
        <f ca="1">AK67</f>
        <v>6</v>
      </c>
      <c r="AR82" s="1">
        <f t="shared" ref="AR82:AW82" ca="1" si="200">+AD67</f>
        <v>6</v>
      </c>
      <c r="AS82" s="1">
        <f t="shared" ca="1" si="200"/>
        <v>0</v>
      </c>
      <c r="AT82" s="1">
        <f t="shared" ca="1" si="200"/>
        <v>0</v>
      </c>
      <c r="AU82" s="1">
        <f t="shared" ca="1" si="200"/>
        <v>35</v>
      </c>
      <c r="AV82" s="1">
        <f t="shared" ca="1" si="200"/>
        <v>9</v>
      </c>
      <c r="AW82" s="1">
        <f t="shared" ca="1" si="200"/>
        <v>26</v>
      </c>
      <c r="AX82" s="1">
        <f ca="1">+AL67</f>
        <v>75</v>
      </c>
      <c r="AY82" s="1">
        <f ca="1">+AJ67</f>
        <v>18</v>
      </c>
      <c r="AZ82" s="1">
        <f ca="1">+AM67</f>
        <v>18107.607333333333</v>
      </c>
    </row>
    <row r="83" spans="1:52" ht="16.5" thickBot="1" x14ac:dyDescent="0.3">
      <c r="A83" s="212" t="s">
        <v>15</v>
      </c>
      <c r="B83" s="60">
        <f>IF(Fixture!C82,Fixture!C82,"")</f>
        <v>45753</v>
      </c>
      <c r="C83" s="58">
        <v>0.33333333333333331</v>
      </c>
      <c r="D83" s="82" t="str">
        <f t="shared" ca="1" si="136"/>
        <v>Finalizado</v>
      </c>
      <c r="E83" s="206" t="s">
        <v>114</v>
      </c>
      <c r="F83" s="43">
        <f>+Fixture!B82</f>
        <v>81</v>
      </c>
      <c r="G83" s="42" t="str">
        <f>IF(VLOOKUP(F83,Fixture!$B$2:$F$137,3,FALSE)&lt;&gt;0,VLOOKUP(F83,Fixture!$B$2:$F$137,3,FALSE),"")</f>
        <v>Amenadim</v>
      </c>
      <c r="H83" s="44">
        <f ca="1">IF($D83="Finalizado",_xlfn.XLOOKUP(G83,Resumen!$A$6:$A$22,Resumen!AP$6:AP$22,0),"")</f>
        <v>0</v>
      </c>
      <c r="I83" s="44">
        <f ca="1">IF($D83="Finalizado",_xlfn.XLOOKUP(G83,Resumen!$A$6:$A$22,Resumen!AQ$6:AQ$22,0),"")</f>
        <v>0</v>
      </c>
      <c r="J83" s="44">
        <f ca="1">IF($D83="Finalizado",_xlfn.XLOOKUP(G83,Resumen!$A$6:$A$22,Resumen!AR$6:AR$22,0)+_xlfn.XLOOKUP(G83,Resumen!$A$6:$A$22,Resumen!AS$6:AS$22,0),"")</f>
        <v>0</v>
      </c>
      <c r="K83" s="44">
        <f t="shared" ref="K83" ca="1" si="201">IF(D83="Finalizado",IF(H83&gt;Q83,1,0),"")</f>
        <v>0</v>
      </c>
      <c r="L83" s="44">
        <f t="shared" ca="1" si="155"/>
        <v>0</v>
      </c>
      <c r="M83" s="44">
        <f t="shared" ca="1" si="156"/>
        <v>1</v>
      </c>
      <c r="N83" s="44">
        <f t="shared" ca="1" si="157"/>
        <v>1</v>
      </c>
      <c r="O83" s="45">
        <f t="shared" ca="1" si="158"/>
        <v>0</v>
      </c>
      <c r="P83" s="42" t="str">
        <f>IF(VLOOKUP(F83,Fixture!$B$2:$F$137,5,FALSE)&lt;&gt;0,VLOOKUP(F83,Fixture!$B$2:$F$137,5,FALSE),"")</f>
        <v>Ron Star</v>
      </c>
      <c r="Q83" s="44">
        <f ca="1">IF($D83="Finalizado",_xlfn.XLOOKUP(P83,Resumen!$A$6:$A$22,Resumen!AP$6:AP$22,0),"")</f>
        <v>3</v>
      </c>
      <c r="R83" s="44">
        <f ca="1">IF($D83="Finalizado",_xlfn.XLOOKUP(P83,Resumen!$A$6:$A$22,Resumen!AQ$6:AQ$22,0),"")</f>
        <v>1</v>
      </c>
      <c r="S83" s="44">
        <f ca="1">IF($D83="Finalizado",_xlfn.XLOOKUP(P83,Resumen!$A$6:$A$22,Resumen!AR$6:AR$22,0)+_xlfn.XLOOKUP(P83,Resumen!$A$6:$A$22,Resumen!AS$6:AS$22,0),"")</f>
        <v>0</v>
      </c>
      <c r="T83" s="44">
        <f t="shared" ca="1" si="159"/>
        <v>1</v>
      </c>
      <c r="U83" s="44">
        <f t="shared" ca="1" si="169"/>
        <v>0</v>
      </c>
      <c r="V83" s="44">
        <f t="shared" ca="1" si="170"/>
        <v>0</v>
      </c>
      <c r="W83" s="44">
        <f t="shared" ca="1" si="160"/>
        <v>1</v>
      </c>
      <c r="X83" s="45">
        <f t="shared" ca="1" si="161"/>
        <v>5</v>
      </c>
      <c r="Y83" s="206" t="str">
        <f>+A83</f>
        <v>Fecha 11</v>
      </c>
      <c r="AA83" s="19">
        <v>6</v>
      </c>
      <c r="AB83" s="19">
        <f t="shared" ca="1" si="190"/>
        <v>31035.071</v>
      </c>
      <c r="AC83" s="46" t="str">
        <f>+Equipos!B8</f>
        <v>Ron Star</v>
      </c>
      <c r="AD83">
        <f t="shared" ca="1" si="178"/>
        <v>10</v>
      </c>
      <c r="AE83">
        <f t="shared" ca="1" si="179"/>
        <v>1</v>
      </c>
      <c r="AF83">
        <f t="shared" ca="1" si="180"/>
        <v>4</v>
      </c>
      <c r="AG83">
        <f t="shared" ca="1" si="181"/>
        <v>69</v>
      </c>
      <c r="AH83">
        <f t="shared" ca="1" si="182"/>
        <v>35</v>
      </c>
      <c r="AI83">
        <f t="shared" ca="1" si="183"/>
        <v>34</v>
      </c>
      <c r="AJ83">
        <f t="shared" ca="1" si="184"/>
        <v>31</v>
      </c>
      <c r="AK83">
        <f t="shared" ca="1" si="185"/>
        <v>15</v>
      </c>
      <c r="AL83">
        <f t="shared" ca="1" si="186"/>
        <v>50</v>
      </c>
      <c r="AM83">
        <f t="shared" ca="1" si="187"/>
        <v>27029.864176470586</v>
      </c>
      <c r="AO83" s="1">
        <f t="shared" ref="AO83:AO89" ca="1" si="202">AB135</f>
        <v>12072.310666666666</v>
      </c>
      <c r="AP83" s="1" t="str">
        <f t="shared" ref="AP83:AP88" ca="1" si="203">+AC68</f>
        <v>Villanueva</v>
      </c>
      <c r="AQ83" s="1">
        <f t="shared" ref="AQ83:AQ89" ca="1" si="204">AK68</f>
        <v>6</v>
      </c>
      <c r="AR83" s="1">
        <f t="shared" ref="AR83:AW83" ca="1" si="205">+AD68</f>
        <v>5</v>
      </c>
      <c r="AS83" s="1">
        <f t="shared" ca="1" si="205"/>
        <v>0</v>
      </c>
      <c r="AT83" s="1">
        <f t="shared" ca="1" si="205"/>
        <v>1</v>
      </c>
      <c r="AU83" s="1">
        <f t="shared" ca="1" si="205"/>
        <v>22</v>
      </c>
      <c r="AV83" s="1">
        <f t="shared" ca="1" si="205"/>
        <v>8</v>
      </c>
      <c r="AW83" s="1">
        <f t="shared" ca="1" si="205"/>
        <v>14</v>
      </c>
      <c r="AX83" s="1">
        <f t="shared" ref="AX83:AX89" ca="1" si="206">+AL68</f>
        <v>15</v>
      </c>
      <c r="AY83" s="1">
        <f t="shared" ref="AY83:AY89" ca="1" si="207">+AJ68</f>
        <v>15</v>
      </c>
      <c r="AZ83" s="1">
        <f t="shared" ref="AZ83:AZ89" ca="1" si="208">+AM68</f>
        <v>9049.3070000000007</v>
      </c>
    </row>
    <row r="84" spans="1:52" ht="16.5" thickBot="1" x14ac:dyDescent="0.3">
      <c r="A84" s="213"/>
      <c r="B84" s="60">
        <f>IF(Fixture!C83,Fixture!C83,"")</f>
        <v>45753</v>
      </c>
      <c r="C84" s="58">
        <v>0.38194444444444442</v>
      </c>
      <c r="D84" s="82" t="str">
        <f t="shared" ca="1" si="136"/>
        <v>Finalizado</v>
      </c>
      <c r="E84" s="207"/>
      <c r="F84" s="43">
        <f>+Fixture!B83</f>
        <v>82</v>
      </c>
      <c r="G84" s="42" t="str">
        <f>IF(VLOOKUP(F84,Fixture!$B$2:$F$137,3,FALSE)&lt;&gt;0,VLOOKUP(F84,Fixture!$B$2:$F$137,3,FALSE),"")</f>
        <v>Hojas Anchas</v>
      </c>
      <c r="H84" s="44">
        <f ca="1">IF($D84="Finalizado",_xlfn.XLOOKUP(G84,Resumen!$A$6:$A$22,Resumen!AP$6:AP$22,0),"")</f>
        <v>2</v>
      </c>
      <c r="I84" s="44">
        <f ca="1">IF($D84="Finalizado",_xlfn.XLOOKUP(G84,Resumen!$A$6:$A$22,Resumen!AQ$6:AQ$22,0),"")</f>
        <v>2</v>
      </c>
      <c r="J84" s="44">
        <f ca="1">IF($D84="Finalizado",_xlfn.XLOOKUP(G84,Resumen!$A$6:$A$22,Resumen!AR$6:AR$22,0)+_xlfn.XLOOKUP(G84,Resumen!$A$6:$A$22,Resumen!AS$6:AS$22,0),"")</f>
        <v>0</v>
      </c>
      <c r="K84" s="44">
        <f t="shared" ca="1" si="168"/>
        <v>0</v>
      </c>
      <c r="L84" s="44">
        <f t="shared" ca="1" si="155"/>
        <v>0</v>
      </c>
      <c r="M84" s="44">
        <f t="shared" ca="1" si="156"/>
        <v>1</v>
      </c>
      <c r="N84" s="44">
        <f t="shared" ca="1" si="157"/>
        <v>1</v>
      </c>
      <c r="O84" s="45">
        <f t="shared" ca="1" si="158"/>
        <v>10</v>
      </c>
      <c r="P84" s="42" t="str">
        <f>IF(VLOOKUP(F84,Fixture!$B$2:$F$137,5,FALSE)&lt;&gt;0,VLOOKUP(F84,Fixture!$B$2:$F$137,5,FALSE),"")</f>
        <v>Villanueva</v>
      </c>
      <c r="Q84" s="44">
        <f ca="1">IF($D84="Finalizado",_xlfn.XLOOKUP(P84,Resumen!$A$6:$A$22,Resumen!AP$6:AP$22,0),"")</f>
        <v>5</v>
      </c>
      <c r="R84" s="44">
        <f ca="1">IF($D84="Finalizado",_xlfn.XLOOKUP(P84,Resumen!$A$6:$A$22,Resumen!AQ$6:AQ$22,0),"")</f>
        <v>2</v>
      </c>
      <c r="S84" s="44">
        <f ca="1">IF($D84="Finalizado",_xlfn.XLOOKUP(P84,Resumen!$A$6:$A$22,Resumen!AR$6:AR$22,0)+_xlfn.XLOOKUP(P84,Resumen!$A$6:$A$22,Resumen!AS$6:AS$22,0),"")</f>
        <v>0</v>
      </c>
      <c r="T84" s="44">
        <f t="shared" ca="1" si="159"/>
        <v>1</v>
      </c>
      <c r="U84" s="44">
        <f t="shared" ca="1" si="169"/>
        <v>0</v>
      </c>
      <c r="V84" s="44">
        <f t="shared" ca="1" si="170"/>
        <v>0</v>
      </c>
      <c r="W84" s="44">
        <f t="shared" ca="1" si="160"/>
        <v>1</v>
      </c>
      <c r="X84" s="45">
        <f t="shared" ca="1" si="161"/>
        <v>10</v>
      </c>
      <c r="Y84" s="207"/>
      <c r="AA84" s="19">
        <v>7</v>
      </c>
      <c r="AB84" s="19">
        <f t="shared" ca="1" si="190"/>
        <v>22008.752428571428</v>
      </c>
      <c r="AC84" s="46" t="str">
        <f>+Equipos!B9</f>
        <v>Amenadim</v>
      </c>
      <c r="AD84">
        <f t="shared" ca="1" si="178"/>
        <v>7</v>
      </c>
      <c r="AE84">
        <f t="shared" ca="1" si="179"/>
        <v>1</v>
      </c>
      <c r="AF84">
        <f t="shared" ca="1" si="180"/>
        <v>7</v>
      </c>
      <c r="AG84">
        <f t="shared" ca="1" si="181"/>
        <v>51</v>
      </c>
      <c r="AH84">
        <f t="shared" ca="1" si="182"/>
        <v>43</v>
      </c>
      <c r="AI84">
        <f t="shared" ca="1" si="183"/>
        <v>8</v>
      </c>
      <c r="AJ84">
        <f t="shared" ca="1" si="184"/>
        <v>22</v>
      </c>
      <c r="AK84">
        <f t="shared" ca="1" si="185"/>
        <v>15</v>
      </c>
      <c r="AL84">
        <f t="shared" ca="1" si="186"/>
        <v>70</v>
      </c>
      <c r="AM84">
        <f t="shared" ca="1" si="187"/>
        <v>27012.94876923077</v>
      </c>
      <c r="AO84" s="1">
        <f t="shared" ca="1" si="202"/>
        <v>52.400645161290321</v>
      </c>
      <c r="AP84" s="1" t="str">
        <f t="shared" ca="1" si="203"/>
        <v>Konami</v>
      </c>
      <c r="AQ84" s="1">
        <f t="shared" ca="1" si="204"/>
        <v>6</v>
      </c>
      <c r="AR84" s="1">
        <f t="shared" ref="AR84:AW84" ca="1" si="209">+AD69</f>
        <v>4</v>
      </c>
      <c r="AS84" s="1">
        <f t="shared" ca="1" si="209"/>
        <v>0</v>
      </c>
      <c r="AT84" s="1">
        <f t="shared" ca="1" si="209"/>
        <v>2</v>
      </c>
      <c r="AU84" s="1">
        <f t="shared" ca="1" si="209"/>
        <v>12</v>
      </c>
      <c r="AV84" s="1">
        <f t="shared" ca="1" si="209"/>
        <v>9</v>
      </c>
      <c r="AW84" s="1">
        <f t="shared" ca="1" si="209"/>
        <v>3</v>
      </c>
      <c r="AX84" s="1">
        <f t="shared" ca="1" si="206"/>
        <v>15</v>
      </c>
      <c r="AY84" s="1">
        <f t="shared" ca="1" si="207"/>
        <v>12</v>
      </c>
      <c r="AZ84" s="1">
        <f t="shared" ca="1" si="208"/>
        <v>15063.411666666665</v>
      </c>
    </row>
    <row r="85" spans="1:52" ht="16.5" thickBot="1" x14ac:dyDescent="0.3">
      <c r="A85" s="213"/>
      <c r="B85" s="60">
        <f>IF(Fixture!C84,Fixture!C84,"")</f>
        <v>45753</v>
      </c>
      <c r="C85" s="58">
        <v>0.43055555555555602</v>
      </c>
      <c r="D85" s="82" t="str">
        <f t="shared" ca="1" si="136"/>
        <v>Finalizado</v>
      </c>
      <c r="E85" s="207"/>
      <c r="F85" s="43">
        <f>+Fixture!B84</f>
        <v>83</v>
      </c>
      <c r="G85" s="42" t="str">
        <f>IF(VLOOKUP(F85,Fixture!$B$2:$F$137,3,FALSE)&lt;&gt;0,VLOOKUP(F85,Fixture!$B$2:$F$137,3,FALSE),"")</f>
        <v>Los Aliados</v>
      </c>
      <c r="H85" s="44">
        <f ca="1">IF($D85="Finalizado",_xlfn.XLOOKUP(G85,Resumen!$A$6:$A$22,Resumen!AP$6:AP$22,0),"")</f>
        <v>1</v>
      </c>
      <c r="I85" s="44">
        <f ca="1">IF($D85="Finalizado",_xlfn.XLOOKUP(G85,Resumen!$A$6:$A$22,Resumen!AQ$6:AQ$22,0),"")</f>
        <v>0</v>
      </c>
      <c r="J85" s="44">
        <f ca="1">IF($D85="Finalizado",_xlfn.XLOOKUP(G85,Resumen!$A$6:$A$22,Resumen!AR$6:AR$22,0)+_xlfn.XLOOKUP(G85,Resumen!$A$6:$A$22,Resumen!AS$6:AS$22,0),"")</f>
        <v>0</v>
      </c>
      <c r="K85" s="44">
        <f t="shared" ca="1" si="168"/>
        <v>0</v>
      </c>
      <c r="L85" s="44">
        <f t="shared" ca="1" si="155"/>
        <v>0</v>
      </c>
      <c r="M85" s="44">
        <f t="shared" ca="1" si="156"/>
        <v>1</v>
      </c>
      <c r="N85" s="44">
        <f t="shared" ca="1" si="157"/>
        <v>1</v>
      </c>
      <c r="O85" s="45">
        <f t="shared" ca="1" si="158"/>
        <v>0</v>
      </c>
      <c r="P85" s="42" t="str">
        <f>IF(VLOOKUP(F85,Fixture!$B$2:$F$137,5,FALSE)&lt;&gt;0,VLOOKUP(F85,Fixture!$B$2:$F$137,5,FALSE),"")</f>
        <v>Konami</v>
      </c>
      <c r="Q85" s="44">
        <f ca="1">IF($D85="Finalizado",_xlfn.XLOOKUP(P85,Resumen!$A$6:$A$22,Resumen!AP$6:AP$22,0),"")</f>
        <v>6</v>
      </c>
      <c r="R85" s="44">
        <f ca="1">IF($D85="Finalizado",_xlfn.XLOOKUP(P85,Resumen!$A$6:$A$22,Resumen!AQ$6:AQ$22,0),"")</f>
        <v>0</v>
      </c>
      <c r="S85" s="44">
        <f ca="1">IF($D85="Finalizado",_xlfn.XLOOKUP(P85,Resumen!$A$6:$A$22,Resumen!AR$6:AR$22,0)+_xlfn.XLOOKUP(P85,Resumen!$A$6:$A$22,Resumen!AS$6:AS$22,0),"")</f>
        <v>0</v>
      </c>
      <c r="T85" s="44">
        <f t="shared" ca="1" si="159"/>
        <v>1</v>
      </c>
      <c r="U85" s="44">
        <f t="shared" ca="1" si="169"/>
        <v>0</v>
      </c>
      <c r="V85" s="44">
        <f t="shared" ca="1" si="170"/>
        <v>0</v>
      </c>
      <c r="W85" s="44">
        <f t="shared" ca="1" si="160"/>
        <v>1</v>
      </c>
      <c r="X85" s="45">
        <f t="shared" ca="1" si="161"/>
        <v>0</v>
      </c>
      <c r="Y85" s="207"/>
      <c r="AA85" s="19">
        <v>8</v>
      </c>
      <c r="AB85" s="19">
        <f t="shared" ca="1" si="190"/>
        <v>16989.441800000004</v>
      </c>
      <c r="AC85" s="46" t="str">
        <f>+Equipos!B10</f>
        <v>Hojas Anchas</v>
      </c>
      <c r="AD85">
        <f t="shared" ca="1" si="178"/>
        <v>4</v>
      </c>
      <c r="AE85">
        <f t="shared" ca="1" si="179"/>
        <v>5</v>
      </c>
      <c r="AF85">
        <f t="shared" ca="1" si="180"/>
        <v>6</v>
      </c>
      <c r="AG85">
        <f t="shared" ca="1" si="181"/>
        <v>41</v>
      </c>
      <c r="AH85">
        <f t="shared" ca="1" si="182"/>
        <v>52</v>
      </c>
      <c r="AI85">
        <f t="shared" ca="1" si="183"/>
        <v>-11</v>
      </c>
      <c r="AJ85">
        <f t="shared" ca="1" si="184"/>
        <v>17</v>
      </c>
      <c r="AK85">
        <f t="shared" ca="1" si="185"/>
        <v>15</v>
      </c>
      <c r="AL85">
        <f t="shared" ca="1" si="186"/>
        <v>125</v>
      </c>
      <c r="AM85">
        <f t="shared" ca="1" si="187"/>
        <v>25014.849645161288</v>
      </c>
      <c r="AO85" s="1">
        <f t="shared" ca="1" si="202"/>
        <v>15063.411666666665</v>
      </c>
      <c r="AP85" s="1" t="str">
        <f t="shared" ca="1" si="203"/>
        <v>Amenadim</v>
      </c>
      <c r="AQ85" s="1">
        <f t="shared" ca="1" si="204"/>
        <v>6</v>
      </c>
      <c r="AR85" s="1">
        <f t="shared" ref="AR85:AW85" ca="1" si="210">+AD70</f>
        <v>3</v>
      </c>
      <c r="AS85" s="1">
        <f t="shared" ca="1" si="210"/>
        <v>0</v>
      </c>
      <c r="AT85" s="1">
        <f t="shared" ca="1" si="210"/>
        <v>3</v>
      </c>
      <c r="AU85" s="1">
        <f t="shared" ca="1" si="210"/>
        <v>19</v>
      </c>
      <c r="AV85" s="1">
        <f t="shared" ca="1" si="210"/>
        <v>16</v>
      </c>
      <c r="AW85" s="1">
        <f t="shared" ca="1" si="210"/>
        <v>3</v>
      </c>
      <c r="AX85" s="1">
        <f t="shared" ca="1" si="206"/>
        <v>25</v>
      </c>
      <c r="AY85" s="1">
        <f t="shared" ca="1" si="207"/>
        <v>9</v>
      </c>
      <c r="AZ85" s="1">
        <f t="shared" ca="1" si="208"/>
        <v>6034.3086666666677</v>
      </c>
    </row>
    <row r="86" spans="1:52" ht="16.5" thickBot="1" x14ac:dyDescent="0.3">
      <c r="A86" s="213"/>
      <c r="B86" s="60">
        <f>IF(Fixture!C85,Fixture!C85,"")</f>
        <v>45753</v>
      </c>
      <c r="C86" s="58">
        <v>0.47916666666666602</v>
      </c>
      <c r="D86" s="82" t="str">
        <f t="shared" ca="1" si="136"/>
        <v>Finalizado</v>
      </c>
      <c r="E86" s="207"/>
      <c r="F86" s="43">
        <f>+Fixture!B85</f>
        <v>84</v>
      </c>
      <c r="G86" s="42" t="str">
        <f>IF(VLOOKUP(F86,Fixture!$B$2:$F$137,3,FALSE)&lt;&gt;0,VLOOKUP(F86,Fixture!$B$2:$F$137,3,FALSE),"")</f>
        <v>Boca Juniors</v>
      </c>
      <c r="H86" s="44">
        <f ca="1">IF($D86="Finalizado",_xlfn.XLOOKUP(G86,Resumen!$A$6:$A$22,Resumen!AP$6:AP$22,0),"")</f>
        <v>1</v>
      </c>
      <c r="I86" s="44">
        <f ca="1">IF($D86="Finalizado",_xlfn.XLOOKUP(G86,Resumen!$A$6:$A$22,Resumen!AQ$6:AQ$22,0),"")</f>
        <v>0</v>
      </c>
      <c r="J86" s="44">
        <f ca="1">IF($D86="Finalizado",_xlfn.XLOOKUP(G86,Resumen!$A$6:$A$22,Resumen!AR$6:AR$22,0)+_xlfn.XLOOKUP(G86,Resumen!$A$6:$A$22,Resumen!AS$6:AS$22,0),"")</f>
        <v>1</v>
      </c>
      <c r="K86" s="44">
        <f t="shared" ca="1" si="168"/>
        <v>0</v>
      </c>
      <c r="L86" s="44">
        <f t="shared" ca="1" si="155"/>
        <v>0</v>
      </c>
      <c r="M86" s="44">
        <f t="shared" ca="1" si="156"/>
        <v>1</v>
      </c>
      <c r="N86" s="44">
        <f t="shared" ca="1" si="157"/>
        <v>1</v>
      </c>
      <c r="O86" s="45">
        <f t="shared" ca="1" si="158"/>
        <v>10</v>
      </c>
      <c r="P86" s="42" t="str">
        <f>IF(VLOOKUP(F86,Fixture!$B$2:$F$137,5,FALSE)&lt;&gt;0,VLOOKUP(F86,Fixture!$B$2:$F$137,5,FALSE),"")</f>
        <v>La Amistad</v>
      </c>
      <c r="Q86" s="44">
        <f ca="1">IF($D86="Finalizado",_xlfn.XLOOKUP(P86,Resumen!$A$6:$A$22,Resumen!AP$6:AP$22,0),"")</f>
        <v>7</v>
      </c>
      <c r="R86" s="44">
        <f ca="1">IF($D86="Finalizado",_xlfn.XLOOKUP(P86,Resumen!$A$6:$A$22,Resumen!AQ$6:AQ$22,0),"")</f>
        <v>0</v>
      </c>
      <c r="S86" s="44">
        <f ca="1">IF($D86="Finalizado",_xlfn.XLOOKUP(P86,Resumen!$A$6:$A$22,Resumen!AR$6:AR$22,0)+_xlfn.XLOOKUP(P86,Resumen!$A$6:$A$22,Resumen!AS$6:AS$22,0),"")</f>
        <v>0</v>
      </c>
      <c r="T86" s="44">
        <f t="shared" ca="1" si="159"/>
        <v>1</v>
      </c>
      <c r="U86" s="44">
        <f t="shared" ca="1" si="169"/>
        <v>0</v>
      </c>
      <c r="V86" s="44">
        <f t="shared" ca="1" si="170"/>
        <v>0</v>
      </c>
      <c r="W86" s="44">
        <f t="shared" ca="1" si="160"/>
        <v>1</v>
      </c>
      <c r="X86" s="45">
        <f t="shared" ca="1" si="161"/>
        <v>0</v>
      </c>
      <c r="Y86" s="207"/>
      <c r="AA86" s="19">
        <v>9</v>
      </c>
      <c r="AB86" s="19">
        <f t="shared" ca="1" si="190"/>
        <v>22018.655869565217</v>
      </c>
      <c r="AC86" s="46" t="str">
        <f>+Equipos!B11</f>
        <v>Valentín FC</v>
      </c>
      <c r="AD86">
        <f t="shared" ca="1" si="178"/>
        <v>6</v>
      </c>
      <c r="AE86">
        <f t="shared" ca="1" si="179"/>
        <v>4</v>
      </c>
      <c r="AF86">
        <f t="shared" ca="1" si="180"/>
        <v>5</v>
      </c>
      <c r="AG86">
        <f t="shared" ca="1" si="181"/>
        <v>55</v>
      </c>
      <c r="AH86">
        <f t="shared" ca="1" si="182"/>
        <v>37</v>
      </c>
      <c r="AI86">
        <f t="shared" ca="1" si="183"/>
        <v>18</v>
      </c>
      <c r="AJ86">
        <f t="shared" ca="1" si="184"/>
        <v>22</v>
      </c>
      <c r="AK86">
        <f t="shared" ca="1" si="185"/>
        <v>15</v>
      </c>
      <c r="AL86">
        <f t="shared" ca="1" si="186"/>
        <v>115</v>
      </c>
      <c r="AM86">
        <f t="shared" ca="1" si="187"/>
        <v>22018.655869565217</v>
      </c>
      <c r="AO86" s="1">
        <f t="shared" ca="1" si="202"/>
        <v>9049.3070000000007</v>
      </c>
      <c r="AP86" s="1" t="str">
        <f t="shared" ca="1" si="203"/>
        <v>Deportivo Fénix</v>
      </c>
      <c r="AQ86" s="1">
        <f t="shared" ca="1" si="204"/>
        <v>6</v>
      </c>
      <c r="AR86" s="1">
        <f t="shared" ref="AR86:AW86" ca="1" si="211">+AD71</f>
        <v>2</v>
      </c>
      <c r="AS86" s="1">
        <f t="shared" ca="1" si="211"/>
        <v>0</v>
      </c>
      <c r="AT86" s="1">
        <f t="shared" ca="1" si="211"/>
        <v>4</v>
      </c>
      <c r="AU86" s="1">
        <f t="shared" ca="1" si="211"/>
        <v>15</v>
      </c>
      <c r="AV86" s="1">
        <f t="shared" ca="1" si="211"/>
        <v>22</v>
      </c>
      <c r="AW86" s="1">
        <f t="shared" ca="1" si="211"/>
        <v>-7</v>
      </c>
      <c r="AX86" s="1">
        <f t="shared" ca="1" si="206"/>
        <v>15</v>
      </c>
      <c r="AY86" s="1">
        <f t="shared" ca="1" si="207"/>
        <v>6</v>
      </c>
      <c r="AZ86" s="1">
        <f t="shared" ca="1" si="208"/>
        <v>3012.721</v>
      </c>
    </row>
    <row r="87" spans="1:52" ht="16.5" thickBot="1" x14ac:dyDescent="0.3">
      <c r="A87" s="213"/>
      <c r="B87" s="60">
        <f>IF(Fixture!C86,Fixture!C86,"")</f>
        <v>45753</v>
      </c>
      <c r="C87" s="58">
        <v>0.52777777777777701</v>
      </c>
      <c r="D87" s="82" t="str">
        <f t="shared" ca="1" si="136"/>
        <v>Finalizado</v>
      </c>
      <c r="E87" s="207"/>
      <c r="F87" s="43">
        <f>+Fixture!B86</f>
        <v>85</v>
      </c>
      <c r="G87" s="42" t="str">
        <f>IF(VLOOKUP(F87,Fixture!$B$2:$F$137,3,FALSE)&lt;&gt;0,VLOOKUP(F87,Fixture!$B$2:$F$137,3,FALSE),"")</f>
        <v>Deportivo Fénix</v>
      </c>
      <c r="H87" s="44">
        <f ca="1">IF($D87="Finalizado",_xlfn.XLOOKUP(G87,Resumen!$A$6:$A$22,Resumen!AP$6:AP$22,0),"")</f>
        <v>6</v>
      </c>
      <c r="I87" s="44">
        <f ca="1">IF($D87="Finalizado",_xlfn.XLOOKUP(G87,Resumen!$A$6:$A$22,Resumen!AQ$6:AQ$22,0),"")</f>
        <v>1</v>
      </c>
      <c r="J87" s="44">
        <f ca="1">IF($D87="Finalizado",_xlfn.XLOOKUP(G87,Resumen!$A$6:$A$22,Resumen!AR$6:AR$22,0)+_xlfn.XLOOKUP(G87,Resumen!$A$6:$A$22,Resumen!AS$6:AS$22,0),"")</f>
        <v>0</v>
      </c>
      <c r="K87" s="44">
        <f t="shared" ca="1" si="168"/>
        <v>1</v>
      </c>
      <c r="L87" s="44">
        <f t="shared" ca="1" si="155"/>
        <v>0</v>
      </c>
      <c r="M87" s="44">
        <f t="shared" ca="1" si="156"/>
        <v>0</v>
      </c>
      <c r="N87" s="44">
        <f t="shared" ca="1" si="157"/>
        <v>1</v>
      </c>
      <c r="O87" s="45">
        <f t="shared" ca="1" si="158"/>
        <v>5</v>
      </c>
      <c r="P87" s="42" t="str">
        <f>IF(VLOOKUP(F87,Fixture!$B$2:$F$137,5,FALSE)&lt;&gt;0,VLOOKUP(F87,Fixture!$B$2:$F$137,5,FALSE),"")</f>
        <v>La Nueva Era</v>
      </c>
      <c r="Q87" s="44">
        <f ca="1">IF($D87="Finalizado",_xlfn.XLOOKUP(P87,Resumen!$A$6:$A$22,Resumen!AP$6:AP$22,0),"")</f>
        <v>3</v>
      </c>
      <c r="R87" s="44">
        <f ca="1">IF($D87="Finalizado",_xlfn.XLOOKUP(P87,Resumen!$A$6:$A$22,Resumen!AQ$6:AQ$22,0),"")</f>
        <v>0</v>
      </c>
      <c r="S87" s="44">
        <f ca="1">IF($D87="Finalizado",_xlfn.XLOOKUP(P87,Resumen!$A$6:$A$22,Resumen!AR$6:AR$22,0)+_xlfn.XLOOKUP(P87,Resumen!$A$6:$A$22,Resumen!AS$6:AS$22,0),"")</f>
        <v>0</v>
      </c>
      <c r="T87" s="44">
        <f t="shared" ca="1" si="159"/>
        <v>0</v>
      </c>
      <c r="U87" s="44">
        <f t="shared" ca="1" si="169"/>
        <v>0</v>
      </c>
      <c r="V87" s="44">
        <f t="shared" ca="1" si="170"/>
        <v>1</v>
      </c>
      <c r="W87" s="44">
        <f t="shared" ca="1" si="160"/>
        <v>1</v>
      </c>
      <c r="X87" s="45">
        <f t="shared" ca="1" si="161"/>
        <v>0</v>
      </c>
      <c r="Y87" s="207"/>
      <c r="AA87" s="19">
        <v>10</v>
      </c>
      <c r="AB87" s="19">
        <f t="shared" ca="1" si="190"/>
        <v>27012.94876923077</v>
      </c>
      <c r="AC87" s="46" t="str">
        <f>+Equipos!B12</f>
        <v>Boca Juniors</v>
      </c>
      <c r="AD87">
        <f t="shared" ca="1" si="178"/>
        <v>9</v>
      </c>
      <c r="AE87">
        <f t="shared" ca="1" si="179"/>
        <v>0</v>
      </c>
      <c r="AF87">
        <f t="shared" ca="1" si="180"/>
        <v>6</v>
      </c>
      <c r="AG87">
        <f t="shared" ca="1" si="181"/>
        <v>48</v>
      </c>
      <c r="AH87">
        <f t="shared" ca="1" si="182"/>
        <v>36</v>
      </c>
      <c r="AI87">
        <f t="shared" ca="1" si="183"/>
        <v>12</v>
      </c>
      <c r="AJ87">
        <f t="shared" ca="1" si="184"/>
        <v>27</v>
      </c>
      <c r="AK87">
        <f t="shared" ca="1" si="185"/>
        <v>15</v>
      </c>
      <c r="AL87">
        <f t="shared" ca="1" si="186"/>
        <v>130</v>
      </c>
      <c r="AM87">
        <f t="shared" ca="1" si="187"/>
        <v>22008.752428571428</v>
      </c>
      <c r="AO87" s="1">
        <f t="shared" ca="1" si="202"/>
        <v>6034.3086666666677</v>
      </c>
      <c r="AP87" s="1" t="str">
        <f t="shared" ca="1" si="203"/>
        <v>La Nueva Era</v>
      </c>
      <c r="AQ87" s="1">
        <f t="shared" ca="1" si="204"/>
        <v>6</v>
      </c>
      <c r="AR87" s="1">
        <f t="shared" ref="AR87:AW87" ca="1" si="212">+AD72</f>
        <v>1</v>
      </c>
      <c r="AS87" s="1">
        <f t="shared" ca="1" si="212"/>
        <v>0</v>
      </c>
      <c r="AT87" s="1">
        <f t="shared" ca="1" si="212"/>
        <v>5</v>
      </c>
      <c r="AU87" s="1">
        <f t="shared" ca="1" si="212"/>
        <v>5</v>
      </c>
      <c r="AV87" s="1">
        <f t="shared" ca="1" si="212"/>
        <v>28</v>
      </c>
      <c r="AW87" s="1">
        <f t="shared" ca="1" si="212"/>
        <v>-23</v>
      </c>
      <c r="AX87" s="1">
        <f t="shared" ca="1" si="206"/>
        <v>5</v>
      </c>
      <c r="AY87" s="1">
        <f t="shared" ca="1" si="207"/>
        <v>3</v>
      </c>
      <c r="AZ87" s="1">
        <f t="shared" ca="1" si="208"/>
        <v>52.400645161290321</v>
      </c>
    </row>
    <row r="88" spans="1:52" ht="16.5" thickBot="1" x14ac:dyDescent="0.3">
      <c r="A88" s="213"/>
      <c r="B88" s="60">
        <f>IF(Fixture!C87,Fixture!C87,"")</f>
        <v>45753</v>
      </c>
      <c r="C88" s="58">
        <v>0.57638888888888895</v>
      </c>
      <c r="D88" s="82" t="str">
        <f t="shared" ca="1" si="136"/>
        <v>Finalizado</v>
      </c>
      <c r="E88" s="207"/>
      <c r="F88" s="43">
        <f>+Fixture!B87</f>
        <v>86</v>
      </c>
      <c r="G88" s="42" t="str">
        <f>IF(VLOOKUP(F88,Fixture!$B$2:$F$137,3,FALSE)&lt;&gt;0,VLOOKUP(F88,Fixture!$B$2:$F$137,3,FALSE),"")</f>
        <v>Atalanta</v>
      </c>
      <c r="H88" s="44">
        <f ca="1">IF($D88="Finalizado",_xlfn.XLOOKUP(G88,Resumen!$A$6:$A$22,Resumen!AP$6:AP$22,0),"")</f>
        <v>5</v>
      </c>
      <c r="I88" s="44">
        <f ca="1">IF($D88="Finalizado",_xlfn.XLOOKUP(G88,Resumen!$A$6:$A$22,Resumen!AQ$6:AQ$22,0),"")</f>
        <v>0</v>
      </c>
      <c r="J88" s="44">
        <f ca="1">IF($D88="Finalizado",_xlfn.XLOOKUP(G88,Resumen!$A$6:$A$22,Resumen!AR$6:AR$22,0)+_xlfn.XLOOKUP(G88,Resumen!$A$6:$A$22,Resumen!AS$6:AS$22,0),"")</f>
        <v>0</v>
      </c>
      <c r="K88" s="44">
        <f t="shared" ca="1" si="168"/>
        <v>0</v>
      </c>
      <c r="L88" s="44">
        <f t="shared" ca="1" si="155"/>
        <v>0</v>
      </c>
      <c r="M88" s="44">
        <f t="shared" ca="1" si="156"/>
        <v>1</v>
      </c>
      <c r="N88" s="44">
        <f t="shared" ca="1" si="157"/>
        <v>1</v>
      </c>
      <c r="O88" s="45">
        <f t="shared" ca="1" si="158"/>
        <v>0</v>
      </c>
      <c r="P88" s="42" t="str">
        <f>IF(VLOOKUP(F88,Fixture!$B$2:$F$137,5,FALSE)&lt;&gt;0,VLOOKUP(F88,Fixture!$B$2:$F$137,5,FALSE),"")</f>
        <v>La Unión FC</v>
      </c>
      <c r="Q88" s="44">
        <f ca="1">IF($D88="Finalizado",_xlfn.XLOOKUP(P88,Resumen!$A$6:$A$22,Resumen!AP$6:AP$22,0),"")</f>
        <v>6</v>
      </c>
      <c r="R88" s="44">
        <f ca="1">IF($D88="Finalizado",_xlfn.XLOOKUP(P88,Resumen!$A$6:$A$22,Resumen!AQ$6:AQ$22,0),"")</f>
        <v>0</v>
      </c>
      <c r="S88" s="44">
        <f ca="1">IF($D88="Finalizado",_xlfn.XLOOKUP(P88,Resumen!$A$6:$A$22,Resumen!AR$6:AR$22,0)+_xlfn.XLOOKUP(P88,Resumen!$A$6:$A$22,Resumen!AS$6:AS$22,0),"")</f>
        <v>0</v>
      </c>
      <c r="T88" s="44">
        <f t="shared" ca="1" si="159"/>
        <v>1</v>
      </c>
      <c r="U88" s="44">
        <f t="shared" ca="1" si="169"/>
        <v>0</v>
      </c>
      <c r="V88" s="44">
        <f t="shared" ca="1" si="170"/>
        <v>0</v>
      </c>
      <c r="W88" s="44">
        <f t="shared" ca="1" si="160"/>
        <v>1</v>
      </c>
      <c r="X88" s="45">
        <f t="shared" ca="1" si="161"/>
        <v>0</v>
      </c>
      <c r="Y88" s="207"/>
      <c r="AA88" s="19">
        <v>11</v>
      </c>
      <c r="AB88" s="19">
        <f t="shared" ca="1" si="190"/>
        <v>15958.540333333334</v>
      </c>
      <c r="AC88" s="46" t="str">
        <f>+Equipos!B13</f>
        <v>Deportivo Fénix</v>
      </c>
      <c r="AD88">
        <f t="shared" ca="1" si="178"/>
        <v>5</v>
      </c>
      <c r="AE88">
        <f t="shared" ca="1" si="179"/>
        <v>1</v>
      </c>
      <c r="AF88">
        <f t="shared" ca="1" si="180"/>
        <v>9</v>
      </c>
      <c r="AG88">
        <f t="shared" ca="1" si="181"/>
        <v>39</v>
      </c>
      <c r="AH88">
        <f t="shared" ca="1" si="182"/>
        <v>81</v>
      </c>
      <c r="AI88">
        <f t="shared" ca="1" si="183"/>
        <v>-42</v>
      </c>
      <c r="AJ88">
        <f t="shared" ca="1" si="184"/>
        <v>16</v>
      </c>
      <c r="AK88">
        <f t="shared" ca="1" si="185"/>
        <v>15</v>
      </c>
      <c r="AL88">
        <f t="shared" ca="1" si="186"/>
        <v>75</v>
      </c>
      <c r="AM88">
        <f t="shared" ca="1" si="187"/>
        <v>16989.441800000004</v>
      </c>
      <c r="AO88" s="1">
        <f t="shared" ca="1" si="202"/>
        <v>3012.721</v>
      </c>
      <c r="AP88" s="1" t="str">
        <f t="shared" ca="1" si="203"/>
        <v>CD El Corozo</v>
      </c>
      <c r="AQ88" s="1">
        <f t="shared" ca="1" si="204"/>
        <v>6</v>
      </c>
      <c r="AR88" s="1">
        <f t="shared" ref="AR88:AW88" ca="1" si="213">+AD73</f>
        <v>0</v>
      </c>
      <c r="AS88" s="1">
        <f t="shared" ca="1" si="213"/>
        <v>0</v>
      </c>
      <c r="AT88" s="1">
        <f t="shared" ca="1" si="213"/>
        <v>6</v>
      </c>
      <c r="AU88" s="1">
        <f t="shared" ca="1" si="213"/>
        <v>4</v>
      </c>
      <c r="AV88" s="1">
        <f t="shared" ca="1" si="213"/>
        <v>20</v>
      </c>
      <c r="AW88" s="1">
        <f t="shared" ca="1" si="213"/>
        <v>-16</v>
      </c>
      <c r="AX88" s="1">
        <f t="shared" ca="1" si="206"/>
        <v>155</v>
      </c>
      <c r="AY88" s="1">
        <f t="shared" ca="1" si="207"/>
        <v>0</v>
      </c>
      <c r="AZ88" s="1">
        <f t="shared" ca="1" si="208"/>
        <v>12072.310666666666</v>
      </c>
    </row>
    <row r="89" spans="1:52" ht="16.5" thickBot="1" x14ac:dyDescent="0.3">
      <c r="A89" s="213"/>
      <c r="B89" s="60">
        <f>IF(Fixture!C88,Fixture!C88,"")</f>
        <v>45781</v>
      </c>
      <c r="C89" s="58">
        <v>0.625</v>
      </c>
      <c r="D89" s="82" t="str">
        <f t="shared" ca="1" si="136"/>
        <v>Finalizado</v>
      </c>
      <c r="E89" s="207"/>
      <c r="F89" s="43">
        <f>+Fixture!B88</f>
        <v>87</v>
      </c>
      <c r="G89" s="42" t="str">
        <f>IF(VLOOKUP(F89,Fixture!$B$2:$F$137,3,FALSE)&lt;&gt;0,VLOOKUP(F89,Fixture!$B$2:$F$137,3,FALSE),"")</f>
        <v>Valentín FC</v>
      </c>
      <c r="H89" s="44">
        <f ca="1">IF($D89="Finalizado",_xlfn.XLOOKUP(G89,Resumen!$A$6:$A$22,Resumen!AP$6:AP$22,0),"")</f>
        <v>3</v>
      </c>
      <c r="I89" s="44">
        <f ca="1">IF($D89="Finalizado",_xlfn.XLOOKUP(G89,Resumen!$A$6:$A$22,Resumen!AQ$6:AQ$22,0),"")</f>
        <v>5</v>
      </c>
      <c r="J89" s="44">
        <f ca="1">IF($D89="Finalizado",_xlfn.XLOOKUP(G89,Resumen!$A$6:$A$22,Resumen!AR$6:AR$22,0)+_xlfn.XLOOKUP(G89,Resumen!$A$6:$A$22,Resumen!AS$6:AS$22,0),"")</f>
        <v>0</v>
      </c>
      <c r="K89" s="44">
        <f t="shared" ref="K89" ca="1" si="214">IF(D89="Finalizado",IF(H89&gt;Q89,1,0),"")</f>
        <v>0</v>
      </c>
      <c r="L89" s="44">
        <f t="shared" ref="L89" ca="1" si="215">IF(D89="Finalizado",IF(H89=Q89,1,0),"")</f>
        <v>0</v>
      </c>
      <c r="M89" s="44">
        <f t="shared" ref="M89" ca="1" si="216">IF(D89="Finalizado",IF(H89&lt;Q89,1,0),"")</f>
        <v>1</v>
      </c>
      <c r="N89" s="44">
        <f t="shared" ref="N89" ca="1" si="217">IF(D89="Finalizado",1,"")</f>
        <v>1</v>
      </c>
      <c r="O89" s="45">
        <f t="shared" ref="O89" ca="1" si="218">IF(D89="Finalizado",SUM(I89*5,J89*10),"")</f>
        <v>25</v>
      </c>
      <c r="P89" s="42" t="str">
        <f>IF(VLOOKUP(F89,Fixture!$B$2:$F$137,5,FALSE)&lt;&gt;0,VLOOKUP(F89,Fixture!$B$2:$F$137,5,FALSE),"")</f>
        <v>CD El Corozo</v>
      </c>
      <c r="Q89" s="44">
        <f ca="1">IF($D89="Finalizado",_xlfn.XLOOKUP(P89,Resumen!$A$6:$A$22,Resumen!AP$6:AP$22,0),"")</f>
        <v>6</v>
      </c>
      <c r="R89" s="44">
        <f ca="1">IF($D89="Finalizado",_xlfn.XLOOKUP(P89,Resumen!$A$6:$A$22,Resumen!AQ$6:AQ$22,0),"")</f>
        <v>3</v>
      </c>
      <c r="S89" s="44">
        <f ca="1">IF($D89="Finalizado",_xlfn.XLOOKUP(P89,Resumen!$A$6:$A$22,Resumen!AR$6:AR$22,0)+_xlfn.XLOOKUP(P89,Resumen!$A$6:$A$22,Resumen!AS$6:AS$22,0),"")</f>
        <v>0</v>
      </c>
      <c r="T89" s="44">
        <f t="shared" ca="1" si="159"/>
        <v>1</v>
      </c>
      <c r="U89" s="44">
        <f t="shared" ca="1" si="169"/>
        <v>0</v>
      </c>
      <c r="V89" s="44">
        <f t="shared" ca="1" si="170"/>
        <v>0</v>
      </c>
      <c r="W89" s="44">
        <f t="shared" ca="1" si="160"/>
        <v>1</v>
      </c>
      <c r="X89" s="45">
        <f t="shared" ca="1" si="161"/>
        <v>15</v>
      </c>
      <c r="Y89" s="207"/>
      <c r="AA89" s="19">
        <v>12</v>
      </c>
      <c r="AB89" s="19">
        <f t="shared" ca="1" si="190"/>
        <v>2956.1062702702702</v>
      </c>
      <c r="AC89" s="46" t="str">
        <f>+Equipos!B14</f>
        <v>Rayos FC</v>
      </c>
      <c r="AD89">
        <f t="shared" ca="1" si="178"/>
        <v>1</v>
      </c>
      <c r="AE89">
        <f t="shared" ca="1" si="179"/>
        <v>0</v>
      </c>
      <c r="AF89">
        <f t="shared" ca="1" si="180"/>
        <v>14</v>
      </c>
      <c r="AG89">
        <f t="shared" ca="1" si="181"/>
        <v>6</v>
      </c>
      <c r="AH89">
        <f t="shared" ca="1" si="182"/>
        <v>50</v>
      </c>
      <c r="AI89">
        <f t="shared" ca="1" si="183"/>
        <v>-44</v>
      </c>
      <c r="AJ89">
        <f t="shared" ca="1" si="184"/>
        <v>3</v>
      </c>
      <c r="AK89">
        <f t="shared" ca="1" si="185"/>
        <v>15</v>
      </c>
      <c r="AL89">
        <f t="shared" ca="1" si="186"/>
        <v>370</v>
      </c>
      <c r="AM89">
        <f t="shared" ca="1" si="187"/>
        <v>15958.540333333334</v>
      </c>
      <c r="AO89" s="1">
        <f t="shared" si="202"/>
        <v>0</v>
      </c>
      <c r="AP89" s="1">
        <f>+AC74</f>
        <v>0</v>
      </c>
      <c r="AQ89" s="1">
        <f t="shared" si="204"/>
        <v>0</v>
      </c>
      <c r="AR89" s="1">
        <f t="shared" ref="AR89:AW89" si="219">+AD74</f>
        <v>0</v>
      </c>
      <c r="AS89" s="1">
        <f t="shared" si="219"/>
        <v>0</v>
      </c>
      <c r="AT89" s="1">
        <f t="shared" si="219"/>
        <v>0</v>
      </c>
      <c r="AU89" s="1">
        <f t="shared" si="219"/>
        <v>0</v>
      </c>
      <c r="AV89" s="1">
        <f t="shared" si="219"/>
        <v>0</v>
      </c>
      <c r="AW89" s="1">
        <f t="shared" si="219"/>
        <v>0</v>
      </c>
      <c r="AX89" s="1">
        <f t="shared" si="206"/>
        <v>0</v>
      </c>
      <c r="AY89" s="1">
        <f t="shared" si="207"/>
        <v>0</v>
      </c>
      <c r="AZ89" s="1">
        <f t="shared" si="208"/>
        <v>0</v>
      </c>
    </row>
    <row r="90" spans="1:52" ht="16.5" thickBot="1" x14ac:dyDescent="0.3">
      <c r="A90" s="214"/>
      <c r="B90" s="60">
        <f>IF(Fixture!C89,Fixture!C89,"")</f>
        <v>45753</v>
      </c>
      <c r="C90" s="58">
        <v>0.67361111111111105</v>
      </c>
      <c r="D90" s="82" t="str">
        <f t="shared" ca="1" si="136"/>
        <v>Finalizado</v>
      </c>
      <c r="E90" s="208"/>
      <c r="F90" s="43">
        <f>+Fixture!B89</f>
        <v>88</v>
      </c>
      <c r="G90" s="42" t="str">
        <f>IF(VLOOKUP(F90,Fixture!$B$2:$F$137,3,FALSE)&lt;&gt;0,VLOOKUP(F90,Fixture!$B$2:$F$137,3,FALSE),"")</f>
        <v>Rayos FC</v>
      </c>
      <c r="H90" s="48">
        <f ca="1">IF($D90="Finalizado",_xlfn.XLOOKUP(G90,Resumen!$A$6:$A$22,Resumen!AP$6:AP$22,0),"")</f>
        <v>0</v>
      </c>
      <c r="I90" s="48">
        <f ca="1">IF($D90="Finalizado",_xlfn.XLOOKUP(G90,Resumen!$A$6:$A$22,Resumen!AQ$6:AQ$22,0),"")</f>
        <v>0</v>
      </c>
      <c r="J90" s="48">
        <f ca="1">IF($D90="Finalizado",_xlfn.XLOOKUP(G90,Resumen!$A$6:$A$22,Resumen!AR$6:AR$22,0)+_xlfn.XLOOKUP(G90,Resumen!$A$6:$A$22,Resumen!AS$6:AS$22,0),"")</f>
        <v>3</v>
      </c>
      <c r="K90" s="48">
        <f t="shared" ca="1" si="168"/>
        <v>0</v>
      </c>
      <c r="L90" s="48">
        <f t="shared" ca="1" si="155"/>
        <v>0</v>
      </c>
      <c r="M90" s="48">
        <f t="shared" ca="1" si="156"/>
        <v>1</v>
      </c>
      <c r="N90" s="48">
        <f t="shared" ca="1" si="157"/>
        <v>1</v>
      </c>
      <c r="O90" s="49">
        <f t="shared" ca="1" si="158"/>
        <v>30</v>
      </c>
      <c r="P90" s="42" t="str">
        <f>IF(VLOOKUP(F90,Fixture!$B$2:$F$137,5,FALSE)&lt;&gt;0,VLOOKUP(F90,Fixture!$B$2:$F$137,5,FALSE),"")</f>
        <v>Los Amigos</v>
      </c>
      <c r="Q90" s="48">
        <f ca="1">IF($D90="Finalizado",_xlfn.XLOOKUP(P90,Resumen!$A$6:$A$22,Resumen!AP$6:AP$22,0),"")</f>
        <v>3</v>
      </c>
      <c r="R90" s="48">
        <f ca="1">IF($D90="Finalizado",_xlfn.XLOOKUP(P90,Resumen!$A$6:$A$22,Resumen!AQ$6:AQ$22,0),"")</f>
        <v>0</v>
      </c>
      <c r="S90" s="48">
        <f ca="1">IF($D90="Finalizado",_xlfn.XLOOKUP(P90,Resumen!$A$6:$A$22,Resumen!AR$6:AR$22,0)+_xlfn.XLOOKUP(P90,Resumen!$A$6:$A$22,Resumen!AS$6:AS$22,0),"")</f>
        <v>0</v>
      </c>
      <c r="T90" s="44">
        <f t="shared" ca="1" si="159"/>
        <v>1</v>
      </c>
      <c r="U90" s="44">
        <f t="shared" ca="1" si="169"/>
        <v>0</v>
      </c>
      <c r="V90" s="44">
        <f t="shared" ca="1" si="170"/>
        <v>0</v>
      </c>
      <c r="W90" s="48">
        <f t="shared" ca="1" si="160"/>
        <v>1</v>
      </c>
      <c r="X90" s="49">
        <f t="shared" ca="1" si="161"/>
        <v>0</v>
      </c>
      <c r="Y90" s="208"/>
      <c r="AA90" s="19">
        <v>13</v>
      </c>
      <c r="AB90" s="19">
        <f t="shared" ca="1" si="190"/>
        <v>36038.184176470582</v>
      </c>
      <c r="AC90" s="46" t="str">
        <f>+Equipos!B15</f>
        <v>La Unión FC</v>
      </c>
      <c r="AD90">
        <f t="shared" ca="1" si="178"/>
        <v>11</v>
      </c>
      <c r="AE90">
        <f t="shared" ca="1" si="179"/>
        <v>3</v>
      </c>
      <c r="AF90">
        <f t="shared" ca="1" si="180"/>
        <v>1</v>
      </c>
      <c r="AG90">
        <f t="shared" ca="1" si="181"/>
        <v>83</v>
      </c>
      <c r="AH90">
        <f t="shared" ca="1" si="182"/>
        <v>46</v>
      </c>
      <c r="AI90">
        <f t="shared" ca="1" si="183"/>
        <v>37</v>
      </c>
      <c r="AJ90">
        <f t="shared" ca="1" si="184"/>
        <v>36</v>
      </c>
      <c r="AK90">
        <f t="shared" ca="1" si="185"/>
        <v>15</v>
      </c>
      <c r="AL90">
        <f t="shared" ca="1" si="186"/>
        <v>85</v>
      </c>
      <c r="AM90">
        <f t="shared" ca="1" si="187"/>
        <v>10961.3298</v>
      </c>
    </row>
    <row r="91" spans="1:52" ht="16.5" thickBot="1" x14ac:dyDescent="0.3">
      <c r="A91" s="212" t="s">
        <v>16</v>
      </c>
      <c r="B91" s="60">
        <f>IF(Fixture!C90,Fixture!C90,"")</f>
        <v>45774</v>
      </c>
      <c r="C91" s="58">
        <v>0.33333333333333331</v>
      </c>
      <c r="D91" s="82" t="str">
        <f t="shared" ca="1" si="136"/>
        <v>Finalizado</v>
      </c>
      <c r="E91" s="206" t="s">
        <v>114</v>
      </c>
      <c r="F91" s="43">
        <f>+Fixture!B90</f>
        <v>89</v>
      </c>
      <c r="G91" s="42" t="str">
        <f>IF(VLOOKUP(F91,Fixture!$B$2:$F$137,3,FALSE)&lt;&gt;0,VLOOKUP(F91,Fixture!$B$2:$F$137,3,FALSE),"")</f>
        <v>Hojas Anchas</v>
      </c>
      <c r="H91" s="44">
        <f ca="1">IF($D91="Finalizado",_xlfn.XLOOKUP(G91,Resumen!$A$6:$A$22,Resumen!AT$6:AT$22,0),"")</f>
        <v>0</v>
      </c>
      <c r="I91" s="44">
        <f ca="1">IF($D91="Finalizado",_xlfn.XLOOKUP(G91,Resumen!$A$6:$A$22,Resumen!AU$6:AU$22,0),"")</f>
        <v>1</v>
      </c>
      <c r="J91" s="44">
        <f ca="1">IF($D91="Finalizado",_xlfn.XLOOKUP(G91,Resumen!$A$6:$A$22,Resumen!AV$6:AV$22,0)+_xlfn.XLOOKUP(G91,Resumen!$A$6:$A$22,Resumen!AW$6:AW$22,0),"")</f>
        <v>0</v>
      </c>
      <c r="K91" s="44">
        <f t="shared" ref="K91" ca="1" si="220">IF(D91="Finalizado",IF(H91&gt;Q91,1,0),"")</f>
        <v>0</v>
      </c>
      <c r="L91" s="44">
        <f t="shared" ca="1" si="155"/>
        <v>0</v>
      </c>
      <c r="M91" s="44">
        <f t="shared" ca="1" si="156"/>
        <v>1</v>
      </c>
      <c r="N91" s="44">
        <f t="shared" ca="1" si="157"/>
        <v>1</v>
      </c>
      <c r="O91" s="45">
        <f t="shared" ca="1" si="158"/>
        <v>5</v>
      </c>
      <c r="P91" s="42" t="str">
        <f>IF(VLOOKUP(F91,Fixture!$B$2:$F$137,5,FALSE)&lt;&gt;0,VLOOKUP(F91,Fixture!$B$2:$F$137,5,FALSE),"")</f>
        <v>Ron Star</v>
      </c>
      <c r="Q91" s="44">
        <f ca="1">IF($D91="Finalizado",_xlfn.XLOOKUP(P91,Resumen!$A$6:$A$22,Resumen!AT$6:AT$22,0),"")</f>
        <v>5</v>
      </c>
      <c r="R91" s="44">
        <f ca="1">IF($D91="Finalizado",_xlfn.XLOOKUP(P91,Resumen!$A$6:$A$22,Resumen!AU$6:AU$22,0),"")</f>
        <v>0</v>
      </c>
      <c r="S91" s="44">
        <f ca="1">IF($D91="Finalizado",_xlfn.XLOOKUP(P91,Resumen!$A$6:$A$22,Resumen!AV$6:AV$22,0)+_xlfn.XLOOKUP(P91,Resumen!$A$6:$A$22,Resumen!AW$6:AW$22,0),"")</f>
        <v>0</v>
      </c>
      <c r="T91" s="44">
        <f t="shared" ca="1" si="159"/>
        <v>1</v>
      </c>
      <c r="U91" s="44">
        <f t="shared" ca="1" si="169"/>
        <v>0</v>
      </c>
      <c r="V91" s="44">
        <f t="shared" ca="1" si="170"/>
        <v>0</v>
      </c>
      <c r="W91" s="44">
        <f t="shared" ca="1" si="160"/>
        <v>1</v>
      </c>
      <c r="X91" s="45">
        <f t="shared" ca="1" si="161"/>
        <v>0</v>
      </c>
      <c r="Y91" s="206" t="str">
        <f>+A91</f>
        <v>Fecha 12</v>
      </c>
      <c r="AA91" s="19">
        <v>14</v>
      </c>
      <c r="AB91" s="19">
        <f t="shared" ca="1" si="190"/>
        <v>10961.3298</v>
      </c>
      <c r="AC91" s="46" t="str">
        <f>+Equipos!B16</f>
        <v>Los Aliados</v>
      </c>
      <c r="AD91">
        <f t="shared" ca="1" si="178"/>
        <v>3</v>
      </c>
      <c r="AE91">
        <f t="shared" ca="1" si="179"/>
        <v>2</v>
      </c>
      <c r="AF91">
        <f t="shared" ca="1" si="180"/>
        <v>10</v>
      </c>
      <c r="AG91">
        <f t="shared" ca="1" si="181"/>
        <v>29</v>
      </c>
      <c r="AH91">
        <f t="shared" ca="1" si="182"/>
        <v>68</v>
      </c>
      <c r="AI91">
        <f t="shared" ca="1" si="183"/>
        <v>-39</v>
      </c>
      <c r="AJ91">
        <f t="shared" ca="1" si="184"/>
        <v>11</v>
      </c>
      <c r="AK91">
        <f t="shared" ca="1" si="185"/>
        <v>15</v>
      </c>
      <c r="AL91">
        <f t="shared" ca="1" si="186"/>
        <v>125</v>
      </c>
      <c r="AM91">
        <f t="shared" ca="1" si="187"/>
        <v>8928.3352222222202</v>
      </c>
    </row>
    <row r="92" spans="1:52" ht="16.5" thickBot="1" x14ac:dyDescent="0.3">
      <c r="A92" s="213"/>
      <c r="B92" s="60">
        <f>IF(Fixture!C91,Fixture!C91,"")</f>
        <v>45774</v>
      </c>
      <c r="C92" s="58">
        <v>0.38194444444444442</v>
      </c>
      <c r="D92" s="82" t="str">
        <f t="shared" ca="1" si="136"/>
        <v>Finalizado</v>
      </c>
      <c r="E92" s="207"/>
      <c r="F92" s="43">
        <f>+Fixture!B91</f>
        <v>90</v>
      </c>
      <c r="G92" s="42" t="str">
        <f>IF(VLOOKUP(F92,Fixture!$B$2:$F$137,3,FALSE)&lt;&gt;0,VLOOKUP(F92,Fixture!$B$2:$F$137,3,FALSE),"")</f>
        <v>Los Aliados</v>
      </c>
      <c r="H92" s="44">
        <f ca="1">IF($D92="Finalizado",_xlfn.XLOOKUP(G92,Resumen!$A$6:$A$22,Resumen!AT$6:AT$22,0),"")</f>
        <v>3</v>
      </c>
      <c r="I92" s="44">
        <f ca="1">IF($D92="Finalizado",_xlfn.XLOOKUP(G92,Resumen!$A$6:$A$22,Resumen!AU$6:AU$22,0),"")</f>
        <v>0</v>
      </c>
      <c r="J92" s="44">
        <f ca="1">IF($D92="Finalizado",_xlfn.XLOOKUP(G92,Resumen!$A$6:$A$22,Resumen!AV$6:AV$22,0)+_xlfn.XLOOKUP(G92,Resumen!$A$6:$A$22,Resumen!AW$6:AW$22,0),"")</f>
        <v>0</v>
      </c>
      <c r="K92" s="44">
        <f t="shared" ca="1" si="168"/>
        <v>1</v>
      </c>
      <c r="L92" s="44">
        <f t="shared" ca="1" si="155"/>
        <v>0</v>
      </c>
      <c r="M92" s="44">
        <f t="shared" ca="1" si="156"/>
        <v>0</v>
      </c>
      <c r="N92" s="44">
        <f t="shared" ca="1" si="157"/>
        <v>1</v>
      </c>
      <c r="O92" s="45">
        <f t="shared" ca="1" si="158"/>
        <v>0</v>
      </c>
      <c r="P92" s="42" t="str">
        <f>IF(VLOOKUP(F92,Fixture!$B$2:$F$137,5,FALSE)&lt;&gt;0,VLOOKUP(F92,Fixture!$B$2:$F$137,5,FALSE),"")</f>
        <v>Villanueva</v>
      </c>
      <c r="Q92" s="44">
        <f ca="1">IF($D92="Finalizado",_xlfn.XLOOKUP(P92,Resumen!$A$6:$A$22,Resumen!AT$6:AT$22,0),"")</f>
        <v>0</v>
      </c>
      <c r="R92" s="44">
        <f ca="1">IF($D92="Finalizado",_xlfn.XLOOKUP(P92,Resumen!$A$6:$A$22,Resumen!AU$6:AU$22,0),"")</f>
        <v>0</v>
      </c>
      <c r="S92" s="44">
        <f ca="1">IF($D92="Finalizado",_xlfn.XLOOKUP(P92,Resumen!$A$6:$A$22,Resumen!AV$6:AV$22,0)+_xlfn.XLOOKUP(P92,Resumen!$A$6:$A$22,Resumen!AW$6:AW$22,0),"")</f>
        <v>3</v>
      </c>
      <c r="T92" s="44">
        <f t="shared" ca="1" si="159"/>
        <v>0</v>
      </c>
      <c r="U92" s="44">
        <f t="shared" ca="1" si="169"/>
        <v>0</v>
      </c>
      <c r="V92" s="44">
        <f t="shared" ca="1" si="170"/>
        <v>1</v>
      </c>
      <c r="W92" s="44">
        <f t="shared" ca="1" si="160"/>
        <v>1</v>
      </c>
      <c r="X92" s="45">
        <f t="shared" ca="1" si="161"/>
        <v>30</v>
      </c>
      <c r="Y92" s="207"/>
      <c r="AA92" s="19">
        <v>15</v>
      </c>
      <c r="AB92" s="19">
        <f t="shared" ca="1" si="190"/>
        <v>5967.1254285714294</v>
      </c>
      <c r="AC92" s="46" t="str">
        <f>+Equipos!B17</f>
        <v>Atalanta</v>
      </c>
      <c r="AD92">
        <f t="shared" ca="1" si="178"/>
        <v>1</v>
      </c>
      <c r="AE92">
        <f t="shared" ca="1" si="179"/>
        <v>3</v>
      </c>
      <c r="AF92">
        <f t="shared" ca="1" si="180"/>
        <v>11</v>
      </c>
      <c r="AG92">
        <f t="shared" ca="1" si="181"/>
        <v>24</v>
      </c>
      <c r="AH92">
        <f t="shared" ca="1" si="182"/>
        <v>57</v>
      </c>
      <c r="AI92">
        <f t="shared" ca="1" si="183"/>
        <v>-33</v>
      </c>
      <c r="AJ92">
        <f t="shared" ca="1" si="184"/>
        <v>6</v>
      </c>
      <c r="AK92">
        <f t="shared" ca="1" si="185"/>
        <v>15</v>
      </c>
      <c r="AL92">
        <f t="shared" ca="1" si="186"/>
        <v>70</v>
      </c>
      <c r="AM92">
        <f t="shared" ca="1" si="187"/>
        <v>5967.1254285714294</v>
      </c>
      <c r="AO92" s="1">
        <f ca="1">+AB145</f>
        <v>4004.2049999999999</v>
      </c>
      <c r="AP92" s="1" t="str">
        <f ca="1">AC97</f>
        <v>Ron Star</v>
      </c>
      <c r="AQ92" s="1">
        <f ca="1">AK97</f>
        <v>2</v>
      </c>
      <c r="AR92" s="1">
        <f t="shared" ref="AR92:AW92" ca="1" si="221">AD97</f>
        <v>2</v>
      </c>
      <c r="AS92" s="1">
        <f t="shared" ca="1" si="221"/>
        <v>0</v>
      </c>
      <c r="AT92" s="1">
        <f t="shared" ca="1" si="221"/>
        <v>0</v>
      </c>
      <c r="AU92" s="1">
        <f t="shared" ca="1" si="221"/>
        <v>7</v>
      </c>
      <c r="AV92" s="1">
        <f t="shared" ca="1" si="221"/>
        <v>2</v>
      </c>
      <c r="AW92" s="1">
        <f t="shared" ca="1" si="221"/>
        <v>5</v>
      </c>
      <c r="AX92" s="1">
        <f ca="1">AL97</f>
        <v>15</v>
      </c>
      <c r="AY92" s="1">
        <f ca="1">AJ97</f>
        <v>6</v>
      </c>
      <c r="AZ92" s="1">
        <f ca="1">AM97</f>
        <v>4036.4110000000005</v>
      </c>
    </row>
    <row r="93" spans="1:52" ht="16.5" thickBot="1" x14ac:dyDescent="0.3">
      <c r="A93" s="213"/>
      <c r="B93" s="60">
        <f>IF(Fixture!C92,Fixture!C92,"")</f>
        <v>45774</v>
      </c>
      <c r="C93" s="58">
        <v>0.43055555555555602</v>
      </c>
      <c r="D93" s="82" t="str">
        <f t="shared" ca="1" si="136"/>
        <v>Finalizado</v>
      </c>
      <c r="E93" s="207"/>
      <c r="F93" s="43">
        <f>+Fixture!B92</f>
        <v>91</v>
      </c>
      <c r="G93" s="42" t="str">
        <f>IF(VLOOKUP(F93,Fixture!$B$2:$F$137,3,FALSE)&lt;&gt;0,VLOOKUP(F93,Fixture!$B$2:$F$137,3,FALSE),"")</f>
        <v>Boca Juniors</v>
      </c>
      <c r="H93" s="44">
        <f ca="1">IF($D93="Finalizado",_xlfn.XLOOKUP(G93,Resumen!$A$6:$A$22,Resumen!AT$6:AT$22,0),"")</f>
        <v>1</v>
      </c>
      <c r="I93" s="44">
        <f ca="1">IF($D93="Finalizado",_xlfn.XLOOKUP(G93,Resumen!$A$6:$A$22,Resumen!AU$6:AU$22,0),"")</f>
        <v>3</v>
      </c>
      <c r="J93" s="44">
        <f ca="1">IF($D93="Finalizado",_xlfn.XLOOKUP(G93,Resumen!$A$6:$A$22,Resumen!AV$6:AV$22,0)+_xlfn.XLOOKUP(G93,Resumen!$A$6:$A$22,Resumen!AW$6:AW$22,0),"")</f>
        <v>0</v>
      </c>
      <c r="K93" s="44">
        <f t="shared" ca="1" si="168"/>
        <v>0</v>
      </c>
      <c r="L93" s="44">
        <f t="shared" ca="1" si="155"/>
        <v>0</v>
      </c>
      <c r="M93" s="44">
        <f t="shared" ca="1" si="156"/>
        <v>1</v>
      </c>
      <c r="N93" s="44">
        <f t="shared" ca="1" si="157"/>
        <v>1</v>
      </c>
      <c r="O93" s="45">
        <f t="shared" ca="1" si="158"/>
        <v>15</v>
      </c>
      <c r="P93" s="42" t="str">
        <f>IF(VLOOKUP(F93,Fixture!$B$2:$F$137,5,FALSE)&lt;&gt;0,VLOOKUP(F93,Fixture!$B$2:$F$137,5,FALSE),"")</f>
        <v>Konami</v>
      </c>
      <c r="Q93" s="44">
        <f ca="1">IF($D93="Finalizado",_xlfn.XLOOKUP(P93,Resumen!$A$6:$A$22,Resumen!AT$6:AT$22,0),"")</f>
        <v>3</v>
      </c>
      <c r="R93" s="44">
        <f ca="1">IF($D93="Finalizado",_xlfn.XLOOKUP(P93,Resumen!$A$6:$A$22,Resumen!AU$6:AU$22,0),"")</f>
        <v>0</v>
      </c>
      <c r="S93" s="44">
        <f ca="1">IF($D93="Finalizado",_xlfn.XLOOKUP(P93,Resumen!$A$6:$A$22,Resumen!AV$6:AV$22,0)+_xlfn.XLOOKUP(P93,Resumen!$A$6:$A$22,Resumen!AW$6:AW$22,0),"")</f>
        <v>0</v>
      </c>
      <c r="T93" s="44">
        <f t="shared" ca="1" si="159"/>
        <v>1</v>
      </c>
      <c r="U93" s="44">
        <f t="shared" ca="1" si="169"/>
        <v>0</v>
      </c>
      <c r="V93" s="44">
        <f t="shared" ca="1" si="170"/>
        <v>0</v>
      </c>
      <c r="W93" s="44">
        <f t="shared" ca="1" si="160"/>
        <v>1</v>
      </c>
      <c r="X93" s="45">
        <f t="shared" ca="1" si="161"/>
        <v>0</v>
      </c>
      <c r="Y93" s="207"/>
      <c r="AA93" s="19">
        <v>16</v>
      </c>
      <c r="AB93" s="19">
        <f t="shared" ref="AB93" ca="1" si="222">AJ93*1000+(AI93)+(AD93/10)+(AG93/1000)+IF(AL93&gt;0,(0.1/AL93),0)</f>
        <v>27029.864176470586</v>
      </c>
      <c r="AC93" s="46" t="str">
        <f>+Equipos!B18</f>
        <v>CD El Corozo</v>
      </c>
      <c r="AD93">
        <f t="shared" ca="1" si="178"/>
        <v>8</v>
      </c>
      <c r="AE93">
        <f t="shared" ca="1" si="179"/>
        <v>3</v>
      </c>
      <c r="AF93">
        <f t="shared" ca="1" si="180"/>
        <v>4</v>
      </c>
      <c r="AG93">
        <f t="shared" ca="1" si="181"/>
        <v>63</v>
      </c>
      <c r="AH93">
        <f t="shared" ca="1" si="182"/>
        <v>34</v>
      </c>
      <c r="AI93">
        <f t="shared" ca="1" si="183"/>
        <v>29</v>
      </c>
      <c r="AJ93">
        <f t="shared" ca="1" si="184"/>
        <v>27</v>
      </c>
      <c r="AK93">
        <f t="shared" ca="1" si="185"/>
        <v>15</v>
      </c>
      <c r="AL93">
        <f t="shared" ca="1" si="186"/>
        <v>85</v>
      </c>
      <c r="AM93">
        <f t="shared" ca="1" si="187"/>
        <v>2956.1062702702702</v>
      </c>
      <c r="AO93" s="1">
        <f t="shared" ref="AO93:AO95" ca="1" si="223">+AB146</f>
        <v>6007.5086666666675</v>
      </c>
      <c r="AP93" s="1" t="str">
        <f t="shared" ref="AP93:AP95" ca="1" si="224">AC98</f>
        <v>Los Amigos</v>
      </c>
      <c r="AQ93" s="1">
        <f ca="1">AK98</f>
        <v>2</v>
      </c>
      <c r="AR93" s="1">
        <f t="shared" ref="AR93:AW93" ca="1" si="225">AD98</f>
        <v>1</v>
      </c>
      <c r="AS93" s="1">
        <f t="shared" ca="1" si="225"/>
        <v>1</v>
      </c>
      <c r="AT93" s="1">
        <f t="shared" ca="1" si="225"/>
        <v>0</v>
      </c>
      <c r="AU93" s="1">
        <f t="shared" ca="1" si="225"/>
        <v>6</v>
      </c>
      <c r="AV93" s="1">
        <f t="shared" ca="1" si="225"/>
        <v>2</v>
      </c>
      <c r="AW93" s="1">
        <f t="shared" ca="1" si="225"/>
        <v>4</v>
      </c>
      <c r="AX93" s="1">
        <f t="shared" ref="AX93:AX94" ca="1" si="226">AL98</f>
        <v>10</v>
      </c>
      <c r="AY93" s="1">
        <f t="shared" ref="AY93:AY95" ca="1" si="227">AJ98</f>
        <v>4</v>
      </c>
      <c r="AZ93" s="1">
        <f t="shared" ref="AZ93:AZ95" ca="1" si="228">AM98</f>
        <v>3045.9010000000003</v>
      </c>
    </row>
    <row r="94" spans="1:52" ht="16.5" thickBot="1" x14ac:dyDescent="0.3">
      <c r="A94" s="213"/>
      <c r="B94" s="60">
        <f>IF(Fixture!C93,Fixture!C93,"")</f>
        <v>45774</v>
      </c>
      <c r="C94" s="58">
        <v>0.47916666666666602</v>
      </c>
      <c r="D94" s="82" t="str">
        <f t="shared" ca="1" si="136"/>
        <v>Finalizado</v>
      </c>
      <c r="E94" s="207"/>
      <c r="F94" s="43">
        <f>+Fixture!B93</f>
        <v>92</v>
      </c>
      <c r="G94" s="42" t="str">
        <f>IF(VLOOKUP(F94,Fixture!$B$2:$F$137,3,FALSE)&lt;&gt;0,VLOOKUP(F94,Fixture!$B$2:$F$137,3,FALSE),"")</f>
        <v>Deportivo Fénix</v>
      </c>
      <c r="H94" s="44">
        <f ca="1">IF($D94="Finalizado",_xlfn.XLOOKUP(G94,Resumen!$A$6:$A$22,Resumen!AT$6:AT$22,0),"")</f>
        <v>2</v>
      </c>
      <c r="I94" s="44">
        <f ca="1">IF($D94="Finalizado",_xlfn.XLOOKUP(G94,Resumen!$A$6:$A$22,Resumen!AU$6:AU$22,0),"")</f>
        <v>0</v>
      </c>
      <c r="J94" s="44">
        <f ca="1">IF($D94="Finalizado",_xlfn.XLOOKUP(G94,Resumen!$A$6:$A$22,Resumen!AV$6:AV$22,0)+_xlfn.XLOOKUP(G94,Resumen!$A$6:$A$22,Resumen!AW$6:AW$22,0),"")</f>
        <v>0</v>
      </c>
      <c r="K94" s="44">
        <f t="shared" ca="1" si="168"/>
        <v>0</v>
      </c>
      <c r="L94" s="44">
        <f t="shared" ca="1" si="155"/>
        <v>0</v>
      </c>
      <c r="M94" s="44">
        <f t="shared" ca="1" si="156"/>
        <v>1</v>
      </c>
      <c r="N94" s="44">
        <f t="shared" ca="1" si="157"/>
        <v>1</v>
      </c>
      <c r="O94" s="45">
        <f t="shared" ca="1" si="158"/>
        <v>0</v>
      </c>
      <c r="P94" s="42" t="str">
        <f>IF(VLOOKUP(F94,Fixture!$B$2:$F$137,5,FALSE)&lt;&gt;0,VLOOKUP(F94,Fixture!$B$2:$F$137,5,FALSE),"")</f>
        <v>La Amistad</v>
      </c>
      <c r="Q94" s="44">
        <f ca="1">IF($D94="Finalizado",_xlfn.XLOOKUP(P94,Resumen!$A$6:$A$22,Resumen!AT$6:AT$22,0),"")</f>
        <v>7</v>
      </c>
      <c r="R94" s="44">
        <f ca="1">IF($D94="Finalizado",_xlfn.XLOOKUP(P94,Resumen!$A$6:$A$22,Resumen!AU$6:AU$22,0),"")</f>
        <v>0</v>
      </c>
      <c r="S94" s="44">
        <f ca="1">IF($D94="Finalizado",_xlfn.XLOOKUP(P94,Resumen!$A$6:$A$22,Resumen!AV$6:AV$22,0)+_xlfn.XLOOKUP(P94,Resumen!$A$6:$A$22,Resumen!AW$6:AW$22,0),"")</f>
        <v>0</v>
      </c>
      <c r="T94" s="44">
        <f t="shared" ca="1" si="159"/>
        <v>1</v>
      </c>
      <c r="U94" s="44">
        <f t="shared" ca="1" si="169"/>
        <v>0</v>
      </c>
      <c r="V94" s="44">
        <f t="shared" ca="1" si="170"/>
        <v>0</v>
      </c>
      <c r="W94" s="44">
        <f t="shared" ca="1" si="160"/>
        <v>1</v>
      </c>
      <c r="X94" s="45">
        <f t="shared" ca="1" si="161"/>
        <v>0</v>
      </c>
      <c r="Y94" s="207"/>
      <c r="AA94" s="19"/>
      <c r="AB94" s="19"/>
      <c r="AC94" s="46"/>
      <c r="AD94"/>
      <c r="AE94"/>
      <c r="AF94"/>
      <c r="AG94"/>
      <c r="AH94"/>
      <c r="AI94"/>
      <c r="AJ94"/>
      <c r="AK94"/>
      <c r="AL94"/>
      <c r="AM94"/>
      <c r="AO94" s="1">
        <f t="shared" ca="1" si="223"/>
        <v>3045.9010000000003</v>
      </c>
      <c r="AP94" s="1" t="str">
        <f t="shared" ca="1" si="224"/>
        <v>Valentín FC</v>
      </c>
      <c r="AQ94" s="1">
        <f t="shared" ref="AQ94:AQ95" ca="1" si="229">AK99</f>
        <v>2</v>
      </c>
      <c r="AR94" s="1">
        <f t="shared" ref="AR94:AW94" ca="1" si="230">AD99</f>
        <v>1</v>
      </c>
      <c r="AS94" s="1">
        <f t="shared" ca="1" si="230"/>
        <v>1</v>
      </c>
      <c r="AT94" s="1">
        <f t="shared" ca="1" si="230"/>
        <v>0</v>
      </c>
      <c r="AU94" s="1">
        <f t="shared" ca="1" si="230"/>
        <v>4</v>
      </c>
      <c r="AV94" s="1">
        <f t="shared" ca="1" si="230"/>
        <v>2</v>
      </c>
      <c r="AW94" s="1">
        <f t="shared" ca="1" si="230"/>
        <v>2</v>
      </c>
      <c r="AX94" s="1">
        <f t="shared" ca="1" si="226"/>
        <v>25</v>
      </c>
      <c r="AY94" s="1">
        <f t="shared" ca="1" si="227"/>
        <v>4</v>
      </c>
      <c r="AZ94" s="1">
        <f t="shared" ca="1" si="228"/>
        <v>6007.5086666666675</v>
      </c>
    </row>
    <row r="95" spans="1:52" ht="16.5" thickBot="1" x14ac:dyDescent="0.3">
      <c r="A95" s="213"/>
      <c r="B95" s="60">
        <f>IF(Fixture!C94,Fixture!C94,"")</f>
        <v>45774</v>
      </c>
      <c r="C95" s="58">
        <v>0.52777777777777701</v>
      </c>
      <c r="D95" s="82" t="str">
        <f t="shared" ca="1" si="136"/>
        <v>Finalizado</v>
      </c>
      <c r="E95" s="207"/>
      <c r="F95" s="43">
        <f>+Fixture!B94</f>
        <v>93</v>
      </c>
      <c r="G95" s="42" t="str">
        <f>IF(VLOOKUP(F95,Fixture!$B$2:$F$137,3,FALSE)&lt;&gt;0,VLOOKUP(F95,Fixture!$B$2:$F$137,3,FALSE),"")</f>
        <v>La Unión FC</v>
      </c>
      <c r="H95" s="44">
        <f ca="1">IF($D95="Finalizado",_xlfn.XLOOKUP(G95,Resumen!$A$6:$A$22,Resumen!AT$6:AT$22,0),"")</f>
        <v>5</v>
      </c>
      <c r="I95" s="44">
        <f ca="1">IF($D95="Finalizado",_xlfn.XLOOKUP(G95,Resumen!$A$6:$A$22,Resumen!AU$6:AU$22,0),"")</f>
        <v>1</v>
      </c>
      <c r="J95" s="44">
        <f ca="1">IF($D95="Finalizado",_xlfn.XLOOKUP(G95,Resumen!$A$6:$A$22,Resumen!AV$6:AV$22,0)+_xlfn.XLOOKUP(G95,Resumen!$A$6:$A$22,Resumen!AW$6:AW$22,0),"")</f>
        <v>0</v>
      </c>
      <c r="K95" s="44">
        <f t="shared" ca="1" si="168"/>
        <v>0</v>
      </c>
      <c r="L95" s="44">
        <f t="shared" ca="1" si="155"/>
        <v>1</v>
      </c>
      <c r="M95" s="44">
        <f t="shared" ca="1" si="156"/>
        <v>0</v>
      </c>
      <c r="N95" s="44">
        <f t="shared" ca="1" si="157"/>
        <v>1</v>
      </c>
      <c r="O95" s="45">
        <f t="shared" ca="1" si="158"/>
        <v>5</v>
      </c>
      <c r="P95" s="42" t="str">
        <f>IF(VLOOKUP(F95,Fixture!$B$2:$F$137,5,FALSE)&lt;&gt;0,VLOOKUP(F95,Fixture!$B$2:$F$137,5,FALSE),"")</f>
        <v>Los Amigos</v>
      </c>
      <c r="Q95" s="44">
        <f ca="1">IF($D95="Finalizado",_xlfn.XLOOKUP(P95,Resumen!$A$6:$A$22,Resumen!AT$6:AT$22,0),"")</f>
        <v>5</v>
      </c>
      <c r="R95" s="44">
        <f ca="1">IF($D95="Finalizado",_xlfn.XLOOKUP(P95,Resumen!$A$6:$A$22,Resumen!AU$6:AU$22,0),"")</f>
        <v>1</v>
      </c>
      <c r="S95" s="44">
        <f ca="1">IF($D95="Finalizado",_xlfn.XLOOKUP(P95,Resumen!$A$6:$A$22,Resumen!AV$6:AV$22,0)+_xlfn.XLOOKUP(P95,Resumen!$A$6:$A$22,Resumen!AW$6:AW$22,0),"")</f>
        <v>0</v>
      </c>
      <c r="T95" s="44">
        <f t="shared" ca="1" si="159"/>
        <v>0</v>
      </c>
      <c r="U95" s="44">
        <f t="shared" ca="1" si="169"/>
        <v>1</v>
      </c>
      <c r="V95" s="44">
        <f t="shared" ca="1" si="170"/>
        <v>0</v>
      </c>
      <c r="W95" s="44">
        <f t="shared" ca="1" si="160"/>
        <v>1</v>
      </c>
      <c r="X95" s="45">
        <f t="shared" ca="1" si="161"/>
        <v>5</v>
      </c>
      <c r="Y95" s="207"/>
      <c r="AO95" s="1">
        <f t="shared" ca="1" si="223"/>
        <v>4036.4110000000005</v>
      </c>
      <c r="AP95" s="1" t="str">
        <f t="shared" ca="1" si="224"/>
        <v>Konami</v>
      </c>
      <c r="AQ95" s="1">
        <f t="shared" ca="1" si="229"/>
        <v>2</v>
      </c>
      <c r="AR95" s="1">
        <f t="shared" ref="AR95:AW95" ca="1" si="231">AD100</f>
        <v>1</v>
      </c>
      <c r="AS95" s="1">
        <f t="shared" ca="1" si="231"/>
        <v>0</v>
      </c>
      <c r="AT95" s="1">
        <f t="shared" ca="1" si="231"/>
        <v>1</v>
      </c>
      <c r="AU95" s="1">
        <f t="shared" ca="1" si="231"/>
        <v>6</v>
      </c>
      <c r="AV95" s="1">
        <f t="shared" ca="1" si="231"/>
        <v>7</v>
      </c>
      <c r="AW95" s="1">
        <f t="shared" ca="1" si="231"/>
        <v>-1</v>
      </c>
      <c r="AX95" s="1">
        <f ca="1">AL100</f>
        <v>0</v>
      </c>
      <c r="AY95" s="1">
        <f t="shared" ca="1" si="227"/>
        <v>3</v>
      </c>
      <c r="AZ95" s="1">
        <f t="shared" ca="1" si="228"/>
        <v>4004.2049999999999</v>
      </c>
    </row>
    <row r="96" spans="1:52" ht="16.5" thickBot="1" x14ac:dyDescent="0.3">
      <c r="A96" s="213"/>
      <c r="B96" s="60">
        <f>IF(Fixture!C95,Fixture!C95,"")</f>
        <v>45774</v>
      </c>
      <c r="C96" s="58">
        <v>0.57638888888888895</v>
      </c>
      <c r="D96" s="82" t="str">
        <f t="shared" ca="1" si="136"/>
        <v>Finalizado</v>
      </c>
      <c r="E96" s="207"/>
      <c r="F96" s="43">
        <f>+Fixture!B95</f>
        <v>94</v>
      </c>
      <c r="G96" s="42" t="str">
        <f>IF(VLOOKUP(F96,Fixture!$B$2:$F$137,3,FALSE)&lt;&gt;0,VLOOKUP(F96,Fixture!$B$2:$F$137,3,FALSE),"")</f>
        <v>Valentín FC</v>
      </c>
      <c r="H96" s="44">
        <f ca="1">IF($D96="Finalizado",_xlfn.XLOOKUP(G96,Resumen!$A$6:$A$22,Resumen!AT$6:AT$22,0),"")</f>
        <v>3</v>
      </c>
      <c r="I96" s="44">
        <f ca="1">IF($D96="Finalizado",_xlfn.XLOOKUP(G96,Resumen!$A$6:$A$22,Resumen!AU$6:AU$22,0),"")</f>
        <v>0</v>
      </c>
      <c r="J96" s="44">
        <f ca="1">IF($D96="Finalizado",_xlfn.XLOOKUP(G96,Resumen!$A$6:$A$22,Resumen!AV$6:AV$22,0)+_xlfn.XLOOKUP(G96,Resumen!$A$6:$A$22,Resumen!AW$6:AW$22,0),"")</f>
        <v>0</v>
      </c>
      <c r="K96" s="44">
        <f t="shared" ca="1" si="168"/>
        <v>0</v>
      </c>
      <c r="L96" s="44">
        <f t="shared" ca="1" si="155"/>
        <v>0</v>
      </c>
      <c r="M96" s="44">
        <f t="shared" ca="1" si="156"/>
        <v>1</v>
      </c>
      <c r="N96" s="44">
        <f t="shared" ca="1" si="157"/>
        <v>1</v>
      </c>
      <c r="O96" s="45">
        <f t="shared" ca="1" si="158"/>
        <v>0</v>
      </c>
      <c r="P96" s="42" t="str">
        <f>IF(VLOOKUP(F96,Fixture!$B$2:$F$137,5,FALSE)&lt;&gt;0,VLOOKUP(F96,Fixture!$B$2:$F$137,5,FALSE),"")</f>
        <v>Amenadim</v>
      </c>
      <c r="Q96" s="44">
        <f ca="1">IF($D96="Finalizado",_xlfn.XLOOKUP(P96,Resumen!$A$6:$A$22,Resumen!AT$6:AT$22,0),"")</f>
        <v>8</v>
      </c>
      <c r="R96" s="44">
        <f ca="1">IF($D96="Finalizado",_xlfn.XLOOKUP(P96,Resumen!$A$6:$A$22,Resumen!AU$6:AU$22,0),"")</f>
        <v>1</v>
      </c>
      <c r="S96" s="44">
        <f ca="1">IF($D96="Finalizado",_xlfn.XLOOKUP(P96,Resumen!$A$6:$A$22,Resumen!AV$6:AV$22,0)+_xlfn.XLOOKUP(P96,Resumen!$A$6:$A$22,Resumen!AW$6:AW$22,0),"")</f>
        <v>1</v>
      </c>
      <c r="T96" s="44">
        <f t="shared" ca="1" si="159"/>
        <v>1</v>
      </c>
      <c r="U96" s="44">
        <f t="shared" ca="1" si="169"/>
        <v>0</v>
      </c>
      <c r="V96" s="44">
        <f t="shared" ca="1" si="170"/>
        <v>0</v>
      </c>
      <c r="W96" s="44">
        <f t="shared" ca="1" si="160"/>
        <v>1</v>
      </c>
      <c r="X96" s="45">
        <f t="shared" ca="1" si="161"/>
        <v>15</v>
      </c>
      <c r="Y96" s="207"/>
      <c r="AA96" s="40" t="s">
        <v>122</v>
      </c>
      <c r="AB96" s="40"/>
      <c r="AC96" s="41" t="s">
        <v>2</v>
      </c>
      <c r="AD96" s="40" t="s">
        <v>115</v>
      </c>
      <c r="AE96" s="40" t="s">
        <v>116</v>
      </c>
      <c r="AF96" s="40" t="s">
        <v>117</v>
      </c>
      <c r="AG96" s="40" t="s">
        <v>123</v>
      </c>
      <c r="AH96" s="40" t="s">
        <v>124</v>
      </c>
      <c r="AI96" s="40" t="s">
        <v>125</v>
      </c>
      <c r="AJ96" s="40" t="s">
        <v>126</v>
      </c>
      <c r="AK96" s="40" t="s">
        <v>127</v>
      </c>
      <c r="AL96" s="40" t="s">
        <v>119</v>
      </c>
      <c r="AM96"/>
    </row>
    <row r="97" spans="1:39" ht="16.5" thickBot="1" x14ac:dyDescent="0.3">
      <c r="A97" s="213"/>
      <c r="B97" s="60">
        <f>IF(Fixture!C96,Fixture!C96,"")</f>
        <v>45774</v>
      </c>
      <c r="C97" s="58">
        <v>0.625</v>
      </c>
      <c r="D97" s="82" t="str">
        <f t="shared" ca="1" si="136"/>
        <v>Finalizado</v>
      </c>
      <c r="E97" s="207"/>
      <c r="F97" s="43">
        <f>+Fixture!B96</f>
        <v>95</v>
      </c>
      <c r="G97" s="42" t="str">
        <f>IF(VLOOKUP(F97,Fixture!$B$2:$F$137,3,FALSE)&lt;&gt;0,VLOOKUP(F97,Fixture!$B$2:$F$137,3,FALSE),"")</f>
        <v>Atalanta</v>
      </c>
      <c r="H97" s="44">
        <f ca="1">IF($D97="Finalizado",_xlfn.XLOOKUP(G97,Resumen!$A$6:$A$22,Resumen!AT$6:AT$22,0),"")</f>
        <v>0</v>
      </c>
      <c r="I97" s="44">
        <f ca="1">IF($D97="Finalizado",_xlfn.XLOOKUP(G97,Resumen!$A$6:$A$22,Resumen!AU$6:AU$22,0),"")</f>
        <v>1</v>
      </c>
      <c r="J97" s="44">
        <f ca="1">IF($D97="Finalizado",_xlfn.XLOOKUP(G97,Resumen!$A$6:$A$22,Resumen!AV$6:AV$22,0)+_xlfn.XLOOKUP(G97,Resumen!$A$6:$A$22,Resumen!AW$6:AW$22,0),"")</f>
        <v>0</v>
      </c>
      <c r="K97" s="44">
        <f t="shared" ref="K97" ca="1" si="232">IF(D97="Finalizado",IF(H97&gt;Q97,1,0),"")</f>
        <v>0</v>
      </c>
      <c r="L97" s="44">
        <f t="shared" ref="L97" ca="1" si="233">IF(D97="Finalizado",IF(H97=Q97,1,0),"")</f>
        <v>0</v>
      </c>
      <c r="M97" s="44">
        <f t="shared" ref="M97" ca="1" si="234">IF(D97="Finalizado",IF(H97&lt;Q97,1,0),"")</f>
        <v>1</v>
      </c>
      <c r="N97" s="44">
        <f t="shared" ref="N97" ca="1" si="235">IF(D97="Finalizado",1,"")</f>
        <v>1</v>
      </c>
      <c r="O97" s="45">
        <f t="shared" ref="O97" ca="1" si="236">IF(D97="Finalizado",SUM(I97*5,J97*10),"")</f>
        <v>5</v>
      </c>
      <c r="P97" s="42" t="str">
        <f>IF(VLOOKUP(F97,Fixture!$B$2:$F$137,5,FALSE)&lt;&gt;0,VLOOKUP(F97,Fixture!$B$2:$F$137,5,FALSE),"")</f>
        <v>CD El Corozo</v>
      </c>
      <c r="Q97" s="44">
        <f ca="1">IF($D97="Finalizado",_xlfn.XLOOKUP(P97,Resumen!$A$6:$A$22,Resumen!AT$6:AT$22,0),"")</f>
        <v>5</v>
      </c>
      <c r="R97" s="44">
        <f ca="1">IF($D97="Finalizado",_xlfn.XLOOKUP(P97,Resumen!$A$6:$A$22,Resumen!AU$6:AU$22,0),"")</f>
        <v>1</v>
      </c>
      <c r="S97" s="44">
        <f ca="1">IF($D97="Finalizado",_xlfn.XLOOKUP(P97,Resumen!$A$6:$A$22,Resumen!AV$6:AV$22,0)+_xlfn.XLOOKUP(P97,Resumen!$A$6:$A$22,Resumen!AW$6:AW$22,0),"")</f>
        <v>0</v>
      </c>
      <c r="T97" s="44">
        <f t="shared" ca="1" si="159"/>
        <v>1</v>
      </c>
      <c r="U97" s="44">
        <f t="shared" ca="1" si="169"/>
        <v>0</v>
      </c>
      <c r="V97" s="44">
        <f t="shared" ca="1" si="170"/>
        <v>0</v>
      </c>
      <c r="W97" s="44">
        <f t="shared" ca="1" si="160"/>
        <v>1</v>
      </c>
      <c r="X97" s="45">
        <f t="shared" ca="1" si="161"/>
        <v>5</v>
      </c>
      <c r="Y97" s="207"/>
      <c r="AA97" s="19" t="s">
        <v>41</v>
      </c>
      <c r="AB97" s="19">
        <f ca="1">AJ97*1000+(AI97)+(AD97/10)+(AG97/1000)+IF(AL97&gt;0,(0.1/AL97),0)</f>
        <v>6005.2136666666665</v>
      </c>
      <c r="AC97" s="46" t="str">
        <f ca="1">VLOOKUP(AM145,$AB$145:$AC$148,2,FALSE)</f>
        <v>Ron Star</v>
      </c>
      <c r="AD97">
        <f ca="1">VLOOKUP($AC97,$AC$145:$AK$148,2,FALSE)</f>
        <v>2</v>
      </c>
      <c r="AE97">
        <f ca="1">VLOOKUP($AC97,$AC$145:$AK$148,3,FALSE)</f>
        <v>0</v>
      </c>
      <c r="AF97">
        <f ca="1">VLOOKUP($AC97,$AC$145:$AK$148,4,FALSE)</f>
        <v>0</v>
      </c>
      <c r="AG97">
        <f ca="1">VLOOKUP($AC97,$AC$145:$AK$148,5,FALSE)</f>
        <v>7</v>
      </c>
      <c r="AH97">
        <f ca="1">VLOOKUP($AC97,$AC$145:$AK$148,6,FALSE)</f>
        <v>2</v>
      </c>
      <c r="AI97">
        <f ca="1">VLOOKUP($AC97,$AC$145:$AK$148,7,FALSE)</f>
        <v>5</v>
      </c>
      <c r="AJ97">
        <f ca="1">VLOOKUP($AC97,$AC$145:$AK$148,8,FALSE)</f>
        <v>6</v>
      </c>
      <c r="AK97">
        <f ca="1">VLOOKUP($AC97,$AC$145:$AL$148,9,FALSE)</f>
        <v>2</v>
      </c>
      <c r="AL97">
        <f ca="1">VLOOKUP($AC97,$AC$145:$AL$148,10,FALSE)</f>
        <v>15</v>
      </c>
      <c r="AM97">
        <f ca="1">VLOOKUP($AC97,$AC$145:$AM$148,11,FALSE)</f>
        <v>4036.4110000000005</v>
      </c>
    </row>
    <row r="98" spans="1:39" ht="16.5" thickBot="1" x14ac:dyDescent="0.3">
      <c r="A98" s="214"/>
      <c r="B98" s="60">
        <f>IF(Fixture!C97,Fixture!C97,"")</f>
        <v>45774</v>
      </c>
      <c r="C98" s="58">
        <v>0.67361111111111105</v>
      </c>
      <c r="D98" s="82" t="str">
        <f t="shared" ca="1" si="136"/>
        <v>Finalizado</v>
      </c>
      <c r="E98" s="208"/>
      <c r="F98" s="43">
        <f>+Fixture!B97</f>
        <v>96</v>
      </c>
      <c r="G98" s="42" t="str">
        <f>IF(VLOOKUP(F98,Fixture!$B$2:$F$137,3,FALSE)&lt;&gt;0,VLOOKUP(F98,Fixture!$B$2:$F$137,3,FALSE),"")</f>
        <v>Rayos FC</v>
      </c>
      <c r="H98" s="48">
        <f ca="1">IF($D98="Finalizado",_xlfn.XLOOKUP(G98,Resumen!$A$6:$A$22,Resumen!AT$6:AT$22,0),"")</f>
        <v>0</v>
      </c>
      <c r="I98" s="48">
        <f ca="1">IF($D98="Finalizado",_xlfn.XLOOKUP(G98,Resumen!$A$6:$A$22,Resumen!AU$6:AU$22,0),"")</f>
        <v>0</v>
      </c>
      <c r="J98" s="48">
        <f ca="1">IF($D98="Finalizado",_xlfn.XLOOKUP(G98,Resumen!$A$6:$A$22,Resumen!AV$6:AV$22,0)+_xlfn.XLOOKUP(G98,Resumen!$A$6:$A$22,Resumen!AW$6:AW$22,0),"")</f>
        <v>3</v>
      </c>
      <c r="K98" s="48">
        <f t="shared" ca="1" si="168"/>
        <v>0</v>
      </c>
      <c r="L98" s="48">
        <f t="shared" ca="1" si="155"/>
        <v>0</v>
      </c>
      <c r="M98" s="48">
        <f ca="1">IF(D98="Finalizado",IF(H98&lt;Q98,1,0),"")</f>
        <v>1</v>
      </c>
      <c r="N98" s="48">
        <f t="shared" ca="1" si="157"/>
        <v>1</v>
      </c>
      <c r="O98" s="49">
        <f t="shared" ca="1" si="158"/>
        <v>30</v>
      </c>
      <c r="P98" s="42" t="str">
        <f>IF(VLOOKUP(F98,Fixture!$B$2:$F$137,5,FALSE)&lt;&gt;0,VLOOKUP(F98,Fixture!$B$2:$F$137,5,FALSE),"")</f>
        <v>La Nueva Era</v>
      </c>
      <c r="Q98" s="48">
        <f ca="1">IF($D98="Finalizado",_xlfn.XLOOKUP(P98,Resumen!$A$6:$A$22,Resumen!AT$6:AT$22,0),"")</f>
        <v>3</v>
      </c>
      <c r="R98" s="48">
        <f ca="1">IF($D98="Finalizado",_xlfn.XLOOKUP(P98,Resumen!$A$6:$A$22,Resumen!AU$6:AU$22,0),"")</f>
        <v>0</v>
      </c>
      <c r="S98" s="48">
        <f ca="1">IF($D98="Finalizado",_xlfn.XLOOKUP(P98,Resumen!$A$6:$A$22,Resumen!AV$6:AV$22,0)+_xlfn.XLOOKUP(P98,Resumen!$A$6:$A$22,Resumen!AW$6:AW$22,0),"")</f>
        <v>0</v>
      </c>
      <c r="T98" s="48">
        <f t="shared" ca="1" si="159"/>
        <v>1</v>
      </c>
      <c r="U98" s="48">
        <f t="shared" ca="1" si="169"/>
        <v>0</v>
      </c>
      <c r="V98" s="48">
        <f t="shared" ca="1" si="170"/>
        <v>0</v>
      </c>
      <c r="W98" s="48">
        <f t="shared" ca="1" si="160"/>
        <v>1</v>
      </c>
      <c r="X98" s="49">
        <f t="shared" ca="1" si="161"/>
        <v>0</v>
      </c>
      <c r="Y98" s="208"/>
      <c r="AA98" s="19" t="s">
        <v>42</v>
      </c>
      <c r="AB98" s="19">
        <f t="shared" ref="AB98:AB100" ca="1" si="237">AJ98*1000+(AI98)+(AD98/10)+(AG98/1000)+IF(AL98&gt;0,(0.1/AL98),0)</f>
        <v>4004.116</v>
      </c>
      <c r="AC98" s="46" t="str">
        <f t="shared" ref="AC98:AC100" ca="1" si="238">VLOOKUP(AM146,$AB$145:$AC$148,2,FALSE)</f>
        <v>Los Amigos</v>
      </c>
      <c r="AD98">
        <f t="shared" ref="AD98:AD100" ca="1" si="239">VLOOKUP($AC98,$AC$145:$AK$148,2,FALSE)</f>
        <v>1</v>
      </c>
      <c r="AE98">
        <f t="shared" ref="AE98:AE100" ca="1" si="240">VLOOKUP($AC98,$AC$145:$AK$148,3,FALSE)</f>
        <v>1</v>
      </c>
      <c r="AF98">
        <f t="shared" ref="AF98:AF100" ca="1" si="241">VLOOKUP($AC98,$AC$145:$AK$148,4,FALSE)</f>
        <v>0</v>
      </c>
      <c r="AG98">
        <f t="shared" ref="AG98:AG100" ca="1" si="242">VLOOKUP($AC98,$AC$145:$AK$148,5,FALSE)</f>
        <v>6</v>
      </c>
      <c r="AH98">
        <f t="shared" ref="AH98:AH100" ca="1" si="243">VLOOKUP($AC98,$AC$145:$AK$148,6,FALSE)</f>
        <v>2</v>
      </c>
      <c r="AI98">
        <f t="shared" ref="AI98:AI100" ca="1" si="244">VLOOKUP($AC98,$AC$145:$AK$148,7,FALSE)</f>
        <v>4</v>
      </c>
      <c r="AJ98">
        <f t="shared" ref="AJ98:AJ100" ca="1" si="245">VLOOKUP($AC98,$AC$145:$AK$148,8,FALSE)</f>
        <v>4</v>
      </c>
      <c r="AK98">
        <f t="shared" ref="AK98:AK100" ca="1" si="246">VLOOKUP($AC98,$AC$145:$AL$148,9,FALSE)</f>
        <v>2</v>
      </c>
      <c r="AL98">
        <f t="shared" ref="AL98:AL100" ca="1" si="247">VLOOKUP($AC98,$AC$145:$AL$148,10,FALSE)</f>
        <v>10</v>
      </c>
      <c r="AM98">
        <f t="shared" ref="AM98:AM100" ca="1" si="248">VLOOKUP($AC98,$AC$145:$AM$148,11,FALSE)</f>
        <v>3045.9010000000003</v>
      </c>
    </row>
    <row r="99" spans="1:39" ht="16.5" thickBot="1" x14ac:dyDescent="0.3">
      <c r="A99" s="212" t="s">
        <v>17</v>
      </c>
      <c r="B99" s="60">
        <f>IF(Fixture!C98,Fixture!C98,"")</f>
        <v>45781</v>
      </c>
      <c r="C99" s="58">
        <v>0.33333333333333331</v>
      </c>
      <c r="D99" s="82" t="str">
        <f t="shared" ca="1" si="136"/>
        <v>Finalizado</v>
      </c>
      <c r="E99" s="206" t="s">
        <v>114</v>
      </c>
      <c r="F99" s="43">
        <f>+Fixture!B98</f>
        <v>97</v>
      </c>
      <c r="G99" s="42" t="str">
        <f>IF(VLOOKUP(F99,Fixture!$B$2:$F$137,3,FALSE)&lt;&gt;0,VLOOKUP(F99,Fixture!$B$2:$F$137,3,FALSE),"")</f>
        <v>Hojas Anchas</v>
      </c>
      <c r="H99" s="44">
        <f ca="1">IF($D99="Finalizado",_xlfn.XLOOKUP(G99,Resumen!$A$6:$A$22,Resumen!AX$6:AX$22,0),"")</f>
        <v>1</v>
      </c>
      <c r="I99" s="44">
        <f ca="1">IF($D99="Finalizado",_xlfn.XLOOKUP(G99,Resumen!$A$6:$A$22,Resumen!AY$6:AY$22,0),"")</f>
        <v>3</v>
      </c>
      <c r="J99" s="44">
        <f ca="1">IF($D99="Finalizado",_xlfn.XLOOKUP(G99,Resumen!$A$6:$A$22,Resumen!AZ$6:AZ$22,0)+_xlfn.XLOOKUP(G99,Resumen!$A$6:$A$22,Resumen!BA$6:BA$22,0),"")</f>
        <v>0</v>
      </c>
      <c r="K99" s="44">
        <f t="shared" ref="K99" ca="1" si="249">IF(D99="Finalizado",IF(H99&gt;Q99,1,0),"")</f>
        <v>0</v>
      </c>
      <c r="L99" s="44">
        <f t="shared" ca="1" si="155"/>
        <v>0</v>
      </c>
      <c r="M99" s="44">
        <f t="shared" ca="1" si="156"/>
        <v>1</v>
      </c>
      <c r="N99" s="44">
        <f t="shared" ca="1" si="157"/>
        <v>1</v>
      </c>
      <c r="O99" s="45">
        <f t="shared" ca="1" si="158"/>
        <v>15</v>
      </c>
      <c r="P99" s="42" t="str">
        <f>IF(VLOOKUP(F99,Fixture!$B$2:$F$137,5,FALSE)&lt;&gt;0,VLOOKUP(F99,Fixture!$B$2:$F$137,5,FALSE),"")</f>
        <v>Amenadim</v>
      </c>
      <c r="Q99" s="44">
        <f ca="1">IF($D99="Finalizado",_xlfn.XLOOKUP(P99,Resumen!$A$6:$A$22,Resumen!AX$6:AX$22,0),"")</f>
        <v>3</v>
      </c>
      <c r="R99" s="44">
        <f ca="1">IF($D99="Finalizado",_xlfn.XLOOKUP(P99,Resumen!$A$6:$A$22,Resumen!AY$6:AY$22,0),"")</f>
        <v>0</v>
      </c>
      <c r="S99" s="44">
        <f ca="1">IF($D99="Finalizado",_xlfn.XLOOKUP(P99,Resumen!$A$6:$A$22,Resumen!AZ$6:AZ$22,0)+_xlfn.XLOOKUP(P99,Resumen!$A$6:$A$22,Resumen!BA$6:BA$22,0),"")</f>
        <v>0</v>
      </c>
      <c r="T99" s="44">
        <f t="shared" ca="1" si="159"/>
        <v>1</v>
      </c>
      <c r="U99" s="44">
        <f t="shared" ca="1" si="169"/>
        <v>0</v>
      </c>
      <c r="V99" s="44">
        <f t="shared" ca="1" si="170"/>
        <v>0</v>
      </c>
      <c r="W99" s="44">
        <f t="shared" ca="1" si="160"/>
        <v>1</v>
      </c>
      <c r="X99" s="45">
        <f t="shared" ca="1" si="161"/>
        <v>0</v>
      </c>
      <c r="Y99" s="206" t="str">
        <f>+A99</f>
        <v>Fecha 13</v>
      </c>
      <c r="AA99" s="19" t="s">
        <v>43</v>
      </c>
      <c r="AB99" s="19">
        <f t="shared" ca="1" si="237"/>
        <v>4002.1079999999997</v>
      </c>
      <c r="AC99" s="46" t="str">
        <f t="shared" ca="1" si="238"/>
        <v>Valentín FC</v>
      </c>
      <c r="AD99">
        <f t="shared" ca="1" si="239"/>
        <v>1</v>
      </c>
      <c r="AE99">
        <f t="shared" ca="1" si="240"/>
        <v>1</v>
      </c>
      <c r="AF99">
        <f t="shared" ca="1" si="241"/>
        <v>0</v>
      </c>
      <c r="AG99">
        <f t="shared" ca="1" si="242"/>
        <v>4</v>
      </c>
      <c r="AH99">
        <f t="shared" ca="1" si="243"/>
        <v>2</v>
      </c>
      <c r="AI99">
        <f t="shared" ca="1" si="244"/>
        <v>2</v>
      </c>
      <c r="AJ99">
        <f t="shared" ca="1" si="245"/>
        <v>4</v>
      </c>
      <c r="AK99">
        <f t="shared" ca="1" si="246"/>
        <v>2</v>
      </c>
      <c r="AL99">
        <f t="shared" ca="1" si="247"/>
        <v>25</v>
      </c>
      <c r="AM99">
        <f t="shared" ca="1" si="248"/>
        <v>6007.5086666666675</v>
      </c>
    </row>
    <row r="100" spans="1:39" ht="16.5" thickBot="1" x14ac:dyDescent="0.3">
      <c r="A100" s="213"/>
      <c r="B100" s="60">
        <f>IF(Fixture!C99,Fixture!C99,"")</f>
        <v>45781</v>
      </c>
      <c r="C100" s="58">
        <v>0.38194444444444442</v>
      </c>
      <c r="D100" s="82" t="str">
        <f t="shared" ca="1" si="136"/>
        <v>Finalizado</v>
      </c>
      <c r="E100" s="207"/>
      <c r="F100" s="43">
        <f>+Fixture!B99</f>
        <v>98</v>
      </c>
      <c r="G100" s="42" t="str">
        <f>IF(VLOOKUP(F100,Fixture!$B$2:$F$137,3,FALSE)&lt;&gt;0,VLOOKUP(F100,Fixture!$B$2:$F$137,3,FALSE),"")</f>
        <v>Los Aliados</v>
      </c>
      <c r="H100" s="44">
        <f ca="1">IF($D100="Finalizado",_xlfn.XLOOKUP(G100,Resumen!$A$6:$A$22,Resumen!AX$6:AX$22,0),"")</f>
        <v>3</v>
      </c>
      <c r="I100" s="44">
        <f ca="1">IF($D100="Finalizado",_xlfn.XLOOKUP(G100,Resumen!$A$6:$A$22,Resumen!AY$6:AY$22,0),"")</f>
        <v>4</v>
      </c>
      <c r="J100" s="44">
        <f ca="1">IF($D100="Finalizado",_xlfn.XLOOKUP(G100,Resumen!$A$6:$A$22,Resumen!AZ$6:AZ$22,0)+_xlfn.XLOOKUP(G100,Resumen!$A$6:$A$22,Resumen!BA$6:BA$22,0),"")</f>
        <v>1</v>
      </c>
      <c r="K100" s="44">
        <f t="shared" ca="1" si="168"/>
        <v>0</v>
      </c>
      <c r="L100" s="44">
        <f t="shared" ca="1" si="155"/>
        <v>0</v>
      </c>
      <c r="M100" s="44">
        <f t="shared" ca="1" si="156"/>
        <v>1</v>
      </c>
      <c r="N100" s="44">
        <f t="shared" ca="1" si="157"/>
        <v>1</v>
      </c>
      <c r="O100" s="45">
        <f t="shared" ca="1" si="158"/>
        <v>30</v>
      </c>
      <c r="P100" s="42" t="str">
        <f>IF(VLOOKUP(F100,Fixture!$B$2:$F$137,5,FALSE)&lt;&gt;0,VLOOKUP(F100,Fixture!$B$2:$F$137,5,FALSE),"")</f>
        <v>Ron Star</v>
      </c>
      <c r="Q100" s="44">
        <f ca="1">IF($D100="Finalizado",_xlfn.XLOOKUP(P100,Resumen!$A$6:$A$22,Resumen!AX$6:AX$22,0),"")</f>
        <v>8</v>
      </c>
      <c r="R100" s="44">
        <f ca="1">IF($D100="Finalizado",_xlfn.XLOOKUP(P100,Resumen!$A$6:$A$22,Resumen!AY$6:AY$22,0),"")</f>
        <v>1</v>
      </c>
      <c r="S100" s="44">
        <f ca="1">IF($D100="Finalizado",_xlfn.XLOOKUP(P100,Resumen!$A$6:$A$22,Resumen!AZ$6:AZ$22,0)+_xlfn.XLOOKUP(P100,Resumen!$A$6:$A$22,Resumen!BA$6:BA$22,0),"")</f>
        <v>0</v>
      </c>
      <c r="T100" s="44">
        <f t="shared" ca="1" si="159"/>
        <v>1</v>
      </c>
      <c r="U100" s="44">
        <f t="shared" ca="1" si="169"/>
        <v>0</v>
      </c>
      <c r="V100" s="44">
        <f t="shared" ca="1" si="170"/>
        <v>0</v>
      </c>
      <c r="W100" s="44">
        <f t="shared" ca="1" si="160"/>
        <v>1</v>
      </c>
      <c r="X100" s="45">
        <f t="shared" ca="1" si="161"/>
        <v>5</v>
      </c>
      <c r="Y100" s="207"/>
      <c r="AA100" s="19" t="s">
        <v>44</v>
      </c>
      <c r="AB100" s="19">
        <f t="shared" ca="1" si="237"/>
        <v>2999.1059999999998</v>
      </c>
      <c r="AC100" s="46" t="str">
        <f t="shared" ca="1" si="238"/>
        <v>Konami</v>
      </c>
      <c r="AD100">
        <f t="shared" ca="1" si="239"/>
        <v>1</v>
      </c>
      <c r="AE100">
        <f t="shared" ca="1" si="240"/>
        <v>0</v>
      </c>
      <c r="AF100">
        <f t="shared" ca="1" si="241"/>
        <v>1</v>
      </c>
      <c r="AG100">
        <f t="shared" ca="1" si="242"/>
        <v>6</v>
      </c>
      <c r="AH100">
        <f t="shared" ca="1" si="243"/>
        <v>7</v>
      </c>
      <c r="AI100">
        <f t="shared" ca="1" si="244"/>
        <v>-1</v>
      </c>
      <c r="AJ100">
        <f t="shared" ca="1" si="245"/>
        <v>3</v>
      </c>
      <c r="AK100">
        <f t="shared" ca="1" si="246"/>
        <v>2</v>
      </c>
      <c r="AL100">
        <f t="shared" ca="1" si="247"/>
        <v>0</v>
      </c>
      <c r="AM100">
        <f t="shared" ca="1" si="248"/>
        <v>4004.2049999999999</v>
      </c>
    </row>
    <row r="101" spans="1:39" ht="16.5" thickBot="1" x14ac:dyDescent="0.3">
      <c r="A101" s="213"/>
      <c r="B101" s="60">
        <f>IF(Fixture!C100,Fixture!C100,"")</f>
        <v>45781</v>
      </c>
      <c r="C101" s="58">
        <v>0.43055555555555602</v>
      </c>
      <c r="D101" s="82" t="str">
        <f t="shared" ca="1" si="136"/>
        <v>Finalizado</v>
      </c>
      <c r="E101" s="207"/>
      <c r="F101" s="43">
        <f>+Fixture!B100</f>
        <v>99</v>
      </c>
      <c r="G101" s="42" t="str">
        <f>IF(VLOOKUP(F101,Fixture!$B$2:$F$137,3,FALSE)&lt;&gt;0,VLOOKUP(F101,Fixture!$B$2:$F$137,3,FALSE),"")</f>
        <v>Boca Juniors</v>
      </c>
      <c r="H101" s="44">
        <f ca="1">IF($D101="Finalizado",_xlfn.XLOOKUP(G101,Resumen!$A$6:$A$22,Resumen!AX$6:AX$22,0),"")</f>
        <v>2</v>
      </c>
      <c r="I101" s="44">
        <f ca="1">IF($D101="Finalizado",_xlfn.XLOOKUP(G101,Resumen!$A$6:$A$22,Resumen!AY$6:AY$22,0),"")</f>
        <v>3</v>
      </c>
      <c r="J101" s="44">
        <f ca="1">IF($D101="Finalizado",_xlfn.XLOOKUP(G101,Resumen!$A$6:$A$22,Resumen!AZ$6:AZ$22,0)+_xlfn.XLOOKUP(G101,Resumen!$A$6:$A$22,Resumen!BA$6:BA$22,0),"")</f>
        <v>0</v>
      </c>
      <c r="K101" s="44">
        <f t="shared" ca="1" si="168"/>
        <v>0</v>
      </c>
      <c r="L101" s="44">
        <f t="shared" ca="1" si="155"/>
        <v>0</v>
      </c>
      <c r="M101" s="44">
        <f t="shared" ca="1" si="156"/>
        <v>1</v>
      </c>
      <c r="N101" s="44">
        <f t="shared" ca="1" si="157"/>
        <v>1</v>
      </c>
      <c r="O101" s="45">
        <f t="shared" ca="1" si="158"/>
        <v>15</v>
      </c>
      <c r="P101" s="42" t="str">
        <f>IF(VLOOKUP(F101,Fixture!$B$2:$F$137,5,FALSE)&lt;&gt;0,VLOOKUP(F101,Fixture!$B$2:$F$137,5,FALSE),"")</f>
        <v>Villanueva</v>
      </c>
      <c r="Q101" s="44">
        <f ca="1">IF($D101="Finalizado",_xlfn.XLOOKUP(P101,Resumen!$A$6:$A$22,Resumen!AX$6:AX$22,0),"")</f>
        <v>5</v>
      </c>
      <c r="R101" s="44">
        <f ca="1">IF($D101="Finalizado",_xlfn.XLOOKUP(P101,Resumen!$A$6:$A$22,Resumen!AY$6:AY$22,0),"")</f>
        <v>1</v>
      </c>
      <c r="S101" s="44">
        <f ca="1">IF($D101="Finalizado",_xlfn.XLOOKUP(P101,Resumen!$A$6:$A$22,Resumen!AZ$6:AZ$22,0)+_xlfn.XLOOKUP(P101,Resumen!$A$6:$A$22,Resumen!BA$6:BA$22,0),"")</f>
        <v>0</v>
      </c>
      <c r="T101" s="44">
        <f t="shared" ca="1" si="159"/>
        <v>1</v>
      </c>
      <c r="U101" s="44">
        <f t="shared" ca="1" si="169"/>
        <v>0</v>
      </c>
      <c r="V101" s="44">
        <f t="shared" ca="1" si="170"/>
        <v>0</v>
      </c>
      <c r="W101" s="44">
        <f t="shared" ca="1" si="160"/>
        <v>1</v>
      </c>
      <c r="X101" s="45">
        <f t="shared" ca="1" si="161"/>
        <v>5</v>
      </c>
      <c r="Y101" s="207"/>
      <c r="AA101" s="19"/>
      <c r="AB101" s="19"/>
      <c r="AC101" s="46"/>
      <c r="AD101"/>
      <c r="AE101"/>
      <c r="AF101"/>
      <c r="AG101"/>
      <c r="AH101"/>
      <c r="AI101"/>
      <c r="AJ101"/>
      <c r="AK101"/>
      <c r="AL101"/>
      <c r="AM101"/>
    </row>
    <row r="102" spans="1:39" ht="16.5" thickBot="1" x14ac:dyDescent="0.3">
      <c r="A102" s="213"/>
      <c r="B102" s="60">
        <f>IF(Fixture!C101,Fixture!C101,"")</f>
        <v>45781</v>
      </c>
      <c r="C102" s="58">
        <v>0.47916666666666602</v>
      </c>
      <c r="D102" s="82" t="str">
        <f t="shared" ca="1" si="136"/>
        <v>Finalizado</v>
      </c>
      <c r="E102" s="207"/>
      <c r="F102" s="43">
        <f>+Fixture!B101</f>
        <v>100</v>
      </c>
      <c r="G102" s="42" t="str">
        <f>IF(VLOOKUP(F102,Fixture!$B$2:$F$137,3,FALSE)&lt;&gt;0,VLOOKUP(F102,Fixture!$B$2:$F$137,3,FALSE),"")</f>
        <v>Deportivo Fénix</v>
      </c>
      <c r="H102" s="44">
        <f ca="1">IF($D102="Finalizado",_xlfn.XLOOKUP(G102,Resumen!$A$6:$A$22,Resumen!AX$6:AX$22,0),"")</f>
        <v>1</v>
      </c>
      <c r="I102" s="44">
        <f ca="1">IF($D102="Finalizado",_xlfn.XLOOKUP(G102,Resumen!$A$6:$A$22,Resumen!AY$6:AY$22,0),"")</f>
        <v>0</v>
      </c>
      <c r="J102" s="44">
        <f ca="1">IF($D102="Finalizado",_xlfn.XLOOKUP(G102,Resumen!$A$6:$A$22,Resumen!AZ$6:AZ$22,0)+_xlfn.XLOOKUP(G102,Resumen!$A$6:$A$22,Resumen!BA$6:BA$22,0),"")</f>
        <v>0</v>
      </c>
      <c r="K102" s="44">
        <f t="shared" ca="1" si="168"/>
        <v>0</v>
      </c>
      <c r="L102" s="44">
        <f t="shared" ca="1" si="155"/>
        <v>0</v>
      </c>
      <c r="M102" s="44">
        <f t="shared" ca="1" si="156"/>
        <v>1</v>
      </c>
      <c r="N102" s="44">
        <f t="shared" ca="1" si="157"/>
        <v>1</v>
      </c>
      <c r="O102" s="45">
        <f t="shared" ca="1" si="158"/>
        <v>0</v>
      </c>
      <c r="P102" s="42" t="str">
        <f>IF(VLOOKUP(F102,Fixture!$B$2:$F$137,5,FALSE)&lt;&gt;0,VLOOKUP(F102,Fixture!$B$2:$F$137,5,FALSE),"")</f>
        <v>Konami</v>
      </c>
      <c r="Q102" s="44">
        <f ca="1">IF($D102="Finalizado",_xlfn.XLOOKUP(P102,Resumen!$A$6:$A$22,Resumen!AX$6:AX$22,0),"")</f>
        <v>5</v>
      </c>
      <c r="R102" s="44">
        <f ca="1">IF($D102="Finalizado",_xlfn.XLOOKUP(P102,Resumen!$A$6:$A$22,Resumen!AY$6:AY$22,0),"")</f>
        <v>0</v>
      </c>
      <c r="S102" s="44">
        <f ca="1">IF($D102="Finalizado",_xlfn.XLOOKUP(P102,Resumen!$A$6:$A$22,Resumen!AZ$6:AZ$22,0)+_xlfn.XLOOKUP(P102,Resumen!$A$6:$A$22,Resumen!BA$6:BA$22,0),"")</f>
        <v>0</v>
      </c>
      <c r="T102" s="44">
        <f t="shared" ca="1" si="159"/>
        <v>1</v>
      </c>
      <c r="U102" s="44">
        <f t="shared" ca="1" si="169"/>
        <v>0</v>
      </c>
      <c r="V102" s="44">
        <f t="shared" ca="1" si="170"/>
        <v>0</v>
      </c>
      <c r="W102" s="44">
        <f t="shared" ca="1" si="160"/>
        <v>1</v>
      </c>
      <c r="X102" s="45">
        <f t="shared" ca="1" si="161"/>
        <v>0</v>
      </c>
      <c r="Y102" s="207"/>
      <c r="AA102" s="19"/>
      <c r="AB102" s="19"/>
      <c r="AC102" s="46"/>
      <c r="AD102"/>
      <c r="AE102"/>
      <c r="AF102"/>
      <c r="AG102"/>
      <c r="AH102"/>
      <c r="AI102"/>
      <c r="AJ102"/>
      <c r="AK102"/>
      <c r="AL102"/>
      <c r="AM102"/>
    </row>
    <row r="103" spans="1:39" ht="16.5" thickBot="1" x14ac:dyDescent="0.3">
      <c r="A103" s="213"/>
      <c r="B103" s="60">
        <f>IF(Fixture!C102,Fixture!C102,"")</f>
        <v>45809</v>
      </c>
      <c r="C103" s="58">
        <v>0.52777777777777701</v>
      </c>
      <c r="D103" s="82" t="str">
        <f t="shared" ca="1" si="136"/>
        <v>Finalizado</v>
      </c>
      <c r="E103" s="207"/>
      <c r="F103" s="43">
        <f>+Fixture!B102</f>
        <v>101</v>
      </c>
      <c r="G103" s="42" t="str">
        <f>IF(VLOOKUP(F103,Fixture!$B$2:$F$137,3,FALSE)&lt;&gt;0,VLOOKUP(F103,Fixture!$B$2:$F$137,3,FALSE),"")</f>
        <v>La Unión FC</v>
      </c>
      <c r="H103" s="44">
        <f ca="1">IF($D103="Finalizado",_xlfn.XLOOKUP(G103,Resumen!$A$6:$A$22,Resumen!AX$6:AX$22,0),"")</f>
        <v>9</v>
      </c>
      <c r="I103" s="44">
        <f ca="1">IF($D103="Finalizado",_xlfn.XLOOKUP(G103,Resumen!$A$6:$A$22,Resumen!AY$6:AY$22,0),"")</f>
        <v>0</v>
      </c>
      <c r="J103" s="44">
        <f ca="1">IF($D103="Finalizado",_xlfn.XLOOKUP(G103,Resumen!$A$6:$A$22,Resumen!AZ$6:AZ$22,0)+_xlfn.XLOOKUP(G103,Resumen!$A$6:$A$22,Resumen!BA$6:BA$22,0),"")</f>
        <v>0</v>
      </c>
      <c r="K103" s="44">
        <f t="shared" ca="1" si="168"/>
        <v>1</v>
      </c>
      <c r="L103" s="44">
        <f t="shared" ca="1" si="155"/>
        <v>0</v>
      </c>
      <c r="M103" s="44">
        <f t="shared" ca="1" si="156"/>
        <v>0</v>
      </c>
      <c r="N103" s="44">
        <f t="shared" ca="1" si="157"/>
        <v>1</v>
      </c>
      <c r="O103" s="45">
        <f t="shared" ca="1" si="158"/>
        <v>0</v>
      </c>
      <c r="P103" s="42" t="str">
        <f>IF(VLOOKUP(F103,Fixture!$B$2:$F$137,5,FALSE)&lt;&gt;0,VLOOKUP(F103,Fixture!$B$2:$F$137,5,FALSE),"")</f>
        <v>La Nueva Era</v>
      </c>
      <c r="Q103" s="44">
        <f ca="1">IF($D103="Finalizado",_xlfn.XLOOKUP(P103,Resumen!$A$6:$A$22,Resumen!AX$6:AX$22,0),"")</f>
        <v>3</v>
      </c>
      <c r="R103" s="44">
        <f ca="1">IF($D103="Finalizado",_xlfn.XLOOKUP(P103,Resumen!$A$6:$A$22,Resumen!AY$6:AY$22,0),"")</f>
        <v>0</v>
      </c>
      <c r="S103" s="44">
        <f ca="1">IF($D103="Finalizado",_xlfn.XLOOKUP(P103,Resumen!$A$6:$A$22,Resumen!AZ$6:AZ$22,0)+_xlfn.XLOOKUP(P103,Resumen!$A$6:$A$22,Resumen!BA$6:BA$22,0),"")</f>
        <v>0</v>
      </c>
      <c r="T103" s="44">
        <f t="shared" ca="1" si="159"/>
        <v>0</v>
      </c>
      <c r="U103" s="44">
        <f t="shared" ca="1" si="169"/>
        <v>0</v>
      </c>
      <c r="V103" s="44">
        <f t="shared" ca="1" si="170"/>
        <v>1</v>
      </c>
      <c r="W103" s="44">
        <f t="shared" ca="1" si="160"/>
        <v>1</v>
      </c>
      <c r="X103" s="45">
        <f t="shared" ca="1" si="161"/>
        <v>0</v>
      </c>
      <c r="Y103" s="207"/>
      <c r="AA103" s="19"/>
      <c r="AB103" s="19"/>
      <c r="AC103" s="46"/>
      <c r="AD103"/>
      <c r="AE103"/>
      <c r="AF103"/>
      <c r="AG103"/>
      <c r="AH103"/>
      <c r="AI103"/>
      <c r="AJ103"/>
      <c r="AK103"/>
      <c r="AL103"/>
      <c r="AM103"/>
    </row>
    <row r="104" spans="1:39" ht="16.5" thickBot="1" x14ac:dyDescent="0.3">
      <c r="A104" s="213"/>
      <c r="B104" s="60">
        <f>IF(Fixture!C103,Fixture!C103,"")</f>
        <v>45781</v>
      </c>
      <c r="C104" s="58">
        <v>0.57638888888888895</v>
      </c>
      <c r="D104" s="82" t="str">
        <f t="shared" ca="1" si="136"/>
        <v>Finalizado</v>
      </c>
      <c r="E104" s="207"/>
      <c r="F104" s="43">
        <f>+Fixture!B103</f>
        <v>102</v>
      </c>
      <c r="G104" s="42" t="str">
        <f>IF(VLOOKUP(F104,Fixture!$B$2:$F$137,3,FALSE)&lt;&gt;0,VLOOKUP(F104,Fixture!$B$2:$F$137,3,FALSE),"")</f>
        <v>Valentín FC</v>
      </c>
      <c r="H104" s="44">
        <f ca="1">IF($D104="Finalizado",_xlfn.XLOOKUP(G104,Resumen!$A$6:$A$22,Resumen!AX$6:AX$22,0),"")</f>
        <v>8</v>
      </c>
      <c r="I104" s="44">
        <f ca="1">IF($D104="Finalizado",_xlfn.XLOOKUP(G104,Resumen!$A$6:$A$22,Resumen!AY$6:AY$22,0),"")</f>
        <v>2</v>
      </c>
      <c r="J104" s="44">
        <f ca="1">IF($D104="Finalizado",_xlfn.XLOOKUP(G104,Resumen!$A$6:$A$22,Resumen!AZ$6:AZ$22,0)+_xlfn.XLOOKUP(G104,Resumen!$A$6:$A$22,Resumen!BA$6:BA$22,0),"")</f>
        <v>0</v>
      </c>
      <c r="K104" s="44">
        <f t="shared" ca="1" si="168"/>
        <v>1</v>
      </c>
      <c r="L104" s="44">
        <f t="shared" ca="1" si="155"/>
        <v>0</v>
      </c>
      <c r="M104" s="44">
        <f t="shared" ca="1" si="156"/>
        <v>0</v>
      </c>
      <c r="N104" s="44">
        <f t="shared" ca="1" si="157"/>
        <v>1</v>
      </c>
      <c r="O104" s="45">
        <f t="shared" ca="1" si="158"/>
        <v>10</v>
      </c>
      <c r="P104" s="42" t="str">
        <f>IF(VLOOKUP(F104,Fixture!$B$2:$F$137,5,FALSE)&lt;&gt;0,VLOOKUP(F104,Fixture!$B$2:$F$137,5,FALSE),"")</f>
        <v>Atalanta</v>
      </c>
      <c r="Q104" s="44">
        <f ca="1">IF($D104="Finalizado",_xlfn.XLOOKUP(P104,Resumen!$A$6:$A$22,Resumen!AX$6:AX$22,0),"")</f>
        <v>0</v>
      </c>
      <c r="R104" s="44">
        <f ca="1">IF($D104="Finalizado",_xlfn.XLOOKUP(P104,Resumen!$A$6:$A$22,Resumen!AY$6:AY$22,0),"")</f>
        <v>0</v>
      </c>
      <c r="S104" s="44">
        <f ca="1">IF($D104="Finalizado",_xlfn.XLOOKUP(P104,Resumen!$A$6:$A$22,Resumen!AZ$6:AZ$22,0)+_xlfn.XLOOKUP(P104,Resumen!$A$6:$A$22,Resumen!BA$6:BA$22,0),"")</f>
        <v>1</v>
      </c>
      <c r="T104" s="44">
        <f t="shared" ca="1" si="159"/>
        <v>0</v>
      </c>
      <c r="U104" s="44">
        <f t="shared" ca="1" si="169"/>
        <v>0</v>
      </c>
      <c r="V104" s="44">
        <f t="shared" ca="1" si="170"/>
        <v>1</v>
      </c>
      <c r="W104" s="44">
        <f t="shared" ca="1" si="160"/>
        <v>1</v>
      </c>
      <c r="X104" s="45">
        <f t="shared" ca="1" si="161"/>
        <v>10</v>
      </c>
      <c r="Y104" s="207"/>
    </row>
    <row r="105" spans="1:39" ht="16.5" thickBot="1" x14ac:dyDescent="0.3">
      <c r="A105" s="213"/>
      <c r="B105" s="60">
        <f>IF(Fixture!C104,Fixture!C104,"")</f>
        <v>45781</v>
      </c>
      <c r="C105" s="58">
        <v>0.625</v>
      </c>
      <c r="D105" s="82" t="str">
        <f t="shared" ca="1" si="136"/>
        <v>Finalizado</v>
      </c>
      <c r="E105" s="207"/>
      <c r="F105" s="43">
        <f>+Fixture!B104</f>
        <v>103</v>
      </c>
      <c r="G105" s="42" t="str">
        <f>IF(VLOOKUP(F105,Fixture!$B$2:$F$137,3,FALSE)&lt;&gt;0,VLOOKUP(F105,Fixture!$B$2:$F$137,3,FALSE),"")</f>
        <v>CD El Corozo</v>
      </c>
      <c r="H105" s="44">
        <f ca="1">IF($D105="Finalizado",_xlfn.XLOOKUP(G105,Resumen!$A$6:$A$22,Resumen!AX$6:AX$22,0),"")</f>
        <v>3</v>
      </c>
      <c r="I105" s="44">
        <f ca="1">IF($D105="Finalizado",_xlfn.XLOOKUP(G105,Resumen!$A$6:$A$22,Resumen!AY$6:AY$22,0),"")</f>
        <v>1</v>
      </c>
      <c r="J105" s="44">
        <f ca="1">IF($D105="Finalizado",_xlfn.XLOOKUP(G105,Resumen!$A$6:$A$22,Resumen!AZ$6:AZ$22,0)+_xlfn.XLOOKUP(G105,Resumen!$A$6:$A$22,Resumen!BA$6:BA$22,0),"")</f>
        <v>0</v>
      </c>
      <c r="K105" s="44">
        <f t="shared" ref="K105" ca="1" si="250">IF(D105="Finalizado",IF(H105&gt;Q105,1,0),"")</f>
        <v>0</v>
      </c>
      <c r="L105" s="44">
        <f t="shared" ref="L105" ca="1" si="251">IF(D105="Finalizado",IF(H105=Q105,1,0),"")</f>
        <v>1</v>
      </c>
      <c r="M105" s="44">
        <f t="shared" ref="M105" ca="1" si="252">IF(D105="Finalizado",IF(H105&lt;Q105,1,0),"")</f>
        <v>0</v>
      </c>
      <c r="N105" s="44">
        <f t="shared" ref="N105" ca="1" si="253">IF(D105="Finalizado",1,"")</f>
        <v>1</v>
      </c>
      <c r="O105" s="45">
        <f t="shared" ref="O105" ca="1" si="254">IF(D105="Finalizado",SUM(I105*5,J105*10),"")</f>
        <v>5</v>
      </c>
      <c r="P105" s="42" t="str">
        <f>IF(VLOOKUP(F105,Fixture!$B$2:$F$137,5,FALSE)&lt;&gt;0,VLOOKUP(F105,Fixture!$B$2:$F$137,5,FALSE),"")</f>
        <v>Los Amigos</v>
      </c>
      <c r="Q105" s="44">
        <f ca="1">IF($D105="Finalizado",_xlfn.XLOOKUP(P105,Resumen!$A$6:$A$22,Resumen!AX$6:AX$22,0),"")</f>
        <v>3</v>
      </c>
      <c r="R105" s="44">
        <f ca="1">IF($D105="Finalizado",_xlfn.XLOOKUP(P105,Resumen!$A$6:$A$22,Resumen!AY$6:AY$22,0),"")</f>
        <v>0</v>
      </c>
      <c r="S105" s="44">
        <f ca="1">IF($D105="Finalizado",_xlfn.XLOOKUP(P105,Resumen!$A$6:$A$22,Resumen!AZ$6:AZ$22,0)+_xlfn.XLOOKUP(P105,Resumen!$A$6:$A$22,Resumen!BA$6:BA$22,0),"")</f>
        <v>0</v>
      </c>
      <c r="T105" s="44">
        <f t="shared" ca="1" si="159"/>
        <v>0</v>
      </c>
      <c r="U105" s="44">
        <f t="shared" ca="1" si="169"/>
        <v>1</v>
      </c>
      <c r="V105" s="44">
        <f t="shared" ca="1" si="170"/>
        <v>0</v>
      </c>
      <c r="W105" s="44">
        <f t="shared" ca="1" si="160"/>
        <v>1</v>
      </c>
      <c r="X105" s="45">
        <f t="shared" ca="1" si="161"/>
        <v>0</v>
      </c>
      <c r="Y105" s="207"/>
    </row>
    <row r="106" spans="1:39" ht="16.5" thickBot="1" x14ac:dyDescent="0.3">
      <c r="A106" s="214"/>
      <c r="B106" s="60">
        <f>IF(Fixture!C105,Fixture!C105,"")</f>
        <v>45781</v>
      </c>
      <c r="C106" s="58">
        <v>0.67361111111111105</v>
      </c>
      <c r="D106" s="82" t="str">
        <f t="shared" ca="1" si="136"/>
        <v>Finalizado</v>
      </c>
      <c r="E106" s="208"/>
      <c r="F106" s="43">
        <f>+Fixture!B105</f>
        <v>104</v>
      </c>
      <c r="G106" s="42" t="str">
        <f>IF(VLOOKUP(F106,Fixture!$B$2:$F$137,3,FALSE)&lt;&gt;0,VLOOKUP(F106,Fixture!$B$2:$F$137,3,FALSE),"")</f>
        <v>Rayos FC</v>
      </c>
      <c r="H106" s="48">
        <f ca="1">IF($D106="Finalizado",_xlfn.XLOOKUP(G106,Resumen!$A$6:$A$22,Resumen!AX$6:AX$22,0),"")</f>
        <v>0</v>
      </c>
      <c r="I106" s="48">
        <f ca="1">IF($D106="Finalizado",_xlfn.XLOOKUP(G106,Resumen!$A$6:$A$22,Resumen!AY$6:AY$22,0),"")</f>
        <v>0</v>
      </c>
      <c r="J106" s="48">
        <f ca="1">IF($D106="Finalizado",_xlfn.XLOOKUP(G106,Resumen!$A$6:$A$22,Resumen!AZ$6:AZ$22,0)+_xlfn.XLOOKUP(G106,Resumen!$A$6:$A$22,Resumen!BA$6:BA$22,0),"")</f>
        <v>3</v>
      </c>
      <c r="K106" s="48">
        <f t="shared" ca="1" si="168"/>
        <v>0</v>
      </c>
      <c r="L106" s="48">
        <f t="shared" ca="1" si="155"/>
        <v>0</v>
      </c>
      <c r="M106" s="48">
        <f t="shared" ca="1" si="156"/>
        <v>1</v>
      </c>
      <c r="N106" s="48">
        <f t="shared" ca="1" si="157"/>
        <v>1</v>
      </c>
      <c r="O106" s="49">
        <f t="shared" ca="1" si="158"/>
        <v>30</v>
      </c>
      <c r="P106" s="42" t="str">
        <f>IF(VLOOKUP(F106,Fixture!$B$2:$F$137,5,FALSE)&lt;&gt;0,VLOOKUP(F106,Fixture!$B$2:$F$137,5,FALSE),"")</f>
        <v>La Amistad</v>
      </c>
      <c r="Q106" s="48">
        <f ca="1">IF($D106="Finalizado",_xlfn.XLOOKUP(P106,Resumen!$A$6:$A$22,Resumen!AX$6:AX$22,0),"")</f>
        <v>3</v>
      </c>
      <c r="R106" s="48">
        <f ca="1">IF($D106="Finalizado",_xlfn.XLOOKUP(P106,Resumen!$A$6:$A$22,Resumen!AY$6:AY$22,0),"")</f>
        <v>0</v>
      </c>
      <c r="S106" s="48">
        <f ca="1">IF($D106="Finalizado",_xlfn.XLOOKUP(P106,Resumen!$A$6:$A$22,Resumen!AZ$6:AZ$22,0)+_xlfn.XLOOKUP(P106,Resumen!$A$6:$A$22,Resumen!BA$6:BA$22,0),"")</f>
        <v>0</v>
      </c>
      <c r="T106" s="48">
        <f t="shared" ca="1" si="159"/>
        <v>1</v>
      </c>
      <c r="U106" s="48">
        <f t="shared" ca="1" si="169"/>
        <v>0</v>
      </c>
      <c r="V106" s="48">
        <f t="shared" ca="1" si="170"/>
        <v>0</v>
      </c>
      <c r="W106" s="48">
        <f t="shared" ca="1" si="160"/>
        <v>1</v>
      </c>
      <c r="X106" s="49">
        <f t="shared" ca="1" si="161"/>
        <v>0</v>
      </c>
      <c r="Y106" s="208"/>
    </row>
    <row r="107" spans="1:39" ht="16.5" thickBot="1" x14ac:dyDescent="0.3">
      <c r="A107" s="212" t="s">
        <v>18</v>
      </c>
      <c r="B107" s="60">
        <f>IF(Fixture!C106,Fixture!C106,"")</f>
        <v>45795</v>
      </c>
      <c r="C107" s="58">
        <v>0.33333333333333331</v>
      </c>
      <c r="D107" s="82" t="str">
        <f t="shared" ca="1" si="136"/>
        <v>Finalizado</v>
      </c>
      <c r="E107" s="206" t="s">
        <v>114</v>
      </c>
      <c r="F107" s="43">
        <f>+Fixture!B106</f>
        <v>105</v>
      </c>
      <c r="G107" s="42" t="str">
        <f>IF(VLOOKUP(F107,Fixture!$B$2:$F$137,3,FALSE)&lt;&gt;0,VLOOKUP(F107,Fixture!$B$2:$F$137,3,FALSE),"")</f>
        <v>La Amistad</v>
      </c>
      <c r="H107" s="44">
        <f ca="1">IF($D107="Finalizado",_xlfn.XLOOKUP(G107,Resumen!$A$6:$A$22,Resumen!BB$6:BB$22,0),"")</f>
        <v>12</v>
      </c>
      <c r="I107" s="44">
        <f ca="1">IF($D107="Finalizado",_xlfn.XLOOKUP(G107,Resumen!$A$6:$A$22,Resumen!BC$6:BC$22,0),"")</f>
        <v>0</v>
      </c>
      <c r="J107" s="44">
        <f ca="1">IF($D107="Finalizado",_xlfn.XLOOKUP(G107,Resumen!$A$6:$A$22,Resumen!BD$6:BD$22,0)+_xlfn.XLOOKUP(G107,Resumen!$A$6:$A$22,Resumen!BE$6:BE$22,0),"")</f>
        <v>0</v>
      </c>
      <c r="K107" s="44">
        <f t="shared" ref="K107" ca="1" si="255">IF(D107="Finalizado",IF(H107&gt;Q107,1,0),"")</f>
        <v>1</v>
      </c>
      <c r="L107" s="44">
        <f t="shared" ref="L107:L141" ca="1" si="256">IF(D107="Finalizado",IF(H107=Q107,1,0),"")</f>
        <v>0</v>
      </c>
      <c r="M107" s="44">
        <f t="shared" ref="M107:M141" ca="1" si="257">IF(D107="Finalizado",IF(H107&lt;Q107,1,0),"")</f>
        <v>0</v>
      </c>
      <c r="N107" s="44">
        <f t="shared" ref="N107:N141" ca="1" si="258">IF(D107="Finalizado",1,"")</f>
        <v>1</v>
      </c>
      <c r="O107" s="45">
        <f t="shared" ref="O107:O141" ca="1" si="259">IF(D107="Finalizado",SUM(I107*5,J107*10),"")</f>
        <v>0</v>
      </c>
      <c r="P107" s="42" t="str">
        <f>IF(VLOOKUP(F107,Fixture!$B$2:$F$137,5,FALSE)&lt;&gt;0,VLOOKUP(F107,Fixture!$B$2:$F$137,5,FALSE),"")</f>
        <v>La Nueva Era</v>
      </c>
      <c r="Q107" s="44">
        <f ca="1">IF($D107="Finalizado",_xlfn.XLOOKUP(P107,Resumen!$A$6:$A$22,Resumen!BB$6:BB$22,0),"")</f>
        <v>2</v>
      </c>
      <c r="R107" s="44">
        <f ca="1">IF($D107="Finalizado",_xlfn.XLOOKUP(P107,Resumen!$A$6:$A$22,Resumen!BC$6:BC$22,0),"")</f>
        <v>0</v>
      </c>
      <c r="S107" s="44">
        <f ca="1">IF($D107="Finalizado",_xlfn.XLOOKUP(P107,Resumen!$A$6:$A$22,Resumen!BD$6:BD$22,0)+_xlfn.XLOOKUP(P107,Resumen!$A$6:$A$22,Resumen!BE$6:BE$22,0),"")</f>
        <v>0</v>
      </c>
      <c r="T107" s="44">
        <f t="shared" ca="1" si="159"/>
        <v>0</v>
      </c>
      <c r="U107" s="44">
        <f t="shared" ca="1" si="169"/>
        <v>0</v>
      </c>
      <c r="V107" s="44">
        <f t="shared" ca="1" si="170"/>
        <v>1</v>
      </c>
      <c r="W107" s="44">
        <f t="shared" ca="1" si="160"/>
        <v>1</v>
      </c>
      <c r="X107" s="45">
        <f t="shared" ca="1" si="161"/>
        <v>0</v>
      </c>
      <c r="Y107" s="206" t="str">
        <f>+A107</f>
        <v>Fecha 14</v>
      </c>
    </row>
    <row r="108" spans="1:39" ht="16.5" thickBot="1" x14ac:dyDescent="0.3">
      <c r="A108" s="213"/>
      <c r="B108" s="60">
        <f>IF(Fixture!C107,Fixture!C107,"")</f>
        <v>45795</v>
      </c>
      <c r="C108" s="58">
        <v>0.38194444444444442</v>
      </c>
      <c r="D108" s="82" t="str">
        <f t="shared" ca="1" si="136"/>
        <v>Finalizado</v>
      </c>
      <c r="E108" s="207"/>
      <c r="F108" s="43">
        <f>+Fixture!B107</f>
        <v>106</v>
      </c>
      <c r="G108" s="42" t="str">
        <f>IF(VLOOKUP(F108,Fixture!$B$2:$F$137,3,FALSE)&lt;&gt;0,VLOOKUP(F108,Fixture!$B$2:$F$137,3,FALSE),"")</f>
        <v>Konami</v>
      </c>
      <c r="H108" s="44">
        <f ca="1">IF($D108="Finalizado",_xlfn.XLOOKUP(G108,Resumen!$A$6:$A$22,Resumen!BB$6:BB$22,0),"")</f>
        <v>4</v>
      </c>
      <c r="I108" s="44">
        <f ca="1">IF($D108="Finalizado",_xlfn.XLOOKUP(G108,Resumen!$A$6:$A$22,Resumen!BC$6:BC$22,0),"")</f>
        <v>1</v>
      </c>
      <c r="J108" s="44">
        <f ca="1">IF($D108="Finalizado",_xlfn.XLOOKUP(G108,Resumen!$A$6:$A$22,Resumen!BD$6:BD$22,0)+_xlfn.XLOOKUP(G108,Resumen!$A$6:$A$22,Resumen!BE$6:BE$22,0),"")</f>
        <v>0</v>
      </c>
      <c r="K108" s="44">
        <f t="shared" ca="1" si="168"/>
        <v>1</v>
      </c>
      <c r="L108" s="44">
        <f t="shared" ca="1" si="256"/>
        <v>0</v>
      </c>
      <c r="M108" s="44">
        <f t="shared" ca="1" si="257"/>
        <v>0</v>
      </c>
      <c r="N108" s="44">
        <f t="shared" ca="1" si="258"/>
        <v>1</v>
      </c>
      <c r="O108" s="45">
        <f t="shared" ca="1" si="259"/>
        <v>5</v>
      </c>
      <c r="P108" s="42" t="str">
        <f>IF(VLOOKUP(F108,Fixture!$B$2:$F$137,5,FALSE)&lt;&gt;0,VLOOKUP(F108,Fixture!$B$2:$F$137,5,FALSE),"")</f>
        <v>Los Amigos</v>
      </c>
      <c r="Q108" s="44">
        <f ca="1">IF($D108="Finalizado",_xlfn.XLOOKUP(P108,Resumen!$A$6:$A$22,Resumen!BB$6:BB$22,0),"")</f>
        <v>1</v>
      </c>
      <c r="R108" s="44">
        <f ca="1">IF($D108="Finalizado",_xlfn.XLOOKUP(P108,Resumen!$A$6:$A$22,Resumen!BC$6:BC$22,0),"")</f>
        <v>1</v>
      </c>
      <c r="S108" s="44">
        <f ca="1">IF($D108="Finalizado",_xlfn.XLOOKUP(P108,Resumen!$A$6:$A$22,Resumen!BD$6:BD$22,0)+_xlfn.XLOOKUP(P108,Resumen!$A$6:$A$22,Resumen!BE$6:BE$22,0),"")</f>
        <v>0</v>
      </c>
      <c r="T108" s="44">
        <f t="shared" ca="1" si="159"/>
        <v>0</v>
      </c>
      <c r="U108" s="44">
        <f t="shared" ca="1" si="169"/>
        <v>0</v>
      </c>
      <c r="V108" s="44">
        <f t="shared" ca="1" si="170"/>
        <v>1</v>
      </c>
      <c r="W108" s="44">
        <f t="shared" ca="1" si="160"/>
        <v>1</v>
      </c>
      <c r="X108" s="45">
        <f t="shared" ca="1" si="161"/>
        <v>5</v>
      </c>
      <c r="Y108" s="207"/>
    </row>
    <row r="109" spans="1:39" ht="16.5" thickBot="1" x14ac:dyDescent="0.3">
      <c r="A109" s="213"/>
      <c r="B109" s="60">
        <f>IF(Fixture!C108,Fixture!C108,"")</f>
        <v>45795</v>
      </c>
      <c r="C109" s="58">
        <v>0.43055555555555602</v>
      </c>
      <c r="D109" s="82" t="str">
        <f t="shared" ca="1" si="136"/>
        <v>Finalizado</v>
      </c>
      <c r="E109" s="207"/>
      <c r="F109" s="43">
        <f>+Fixture!B108</f>
        <v>107</v>
      </c>
      <c r="G109" s="42" t="str">
        <f>IF(VLOOKUP(F109,Fixture!$B$2:$F$137,3,FALSE)&lt;&gt;0,VLOOKUP(F109,Fixture!$B$2:$F$137,3,FALSE),"")</f>
        <v>Deportivo Fénix</v>
      </c>
      <c r="H109" s="44">
        <f ca="1">IF($D109="Finalizado",_xlfn.XLOOKUP(G109,Resumen!$A$6:$A$22,Resumen!BB$6:BB$22,0),"")</f>
        <v>5</v>
      </c>
      <c r="I109" s="44">
        <f ca="1">IF($D109="Finalizado",_xlfn.XLOOKUP(G109,Resumen!$A$6:$A$22,Resumen!BC$6:BC$22,0),"")</f>
        <v>0</v>
      </c>
      <c r="J109" s="44">
        <f ca="1">IF($D109="Finalizado",_xlfn.XLOOKUP(G109,Resumen!$A$6:$A$22,Resumen!BD$6:BD$22,0)+_xlfn.XLOOKUP(G109,Resumen!$A$6:$A$22,Resumen!BE$6:BE$22,0),"")</f>
        <v>0</v>
      </c>
      <c r="K109" s="44">
        <f t="shared" ca="1" si="168"/>
        <v>1</v>
      </c>
      <c r="L109" s="44">
        <f t="shared" ca="1" si="256"/>
        <v>0</v>
      </c>
      <c r="M109" s="44">
        <f t="shared" ca="1" si="257"/>
        <v>0</v>
      </c>
      <c r="N109" s="44">
        <f t="shared" ca="1" si="258"/>
        <v>1</v>
      </c>
      <c r="O109" s="45">
        <f t="shared" ca="1" si="259"/>
        <v>0</v>
      </c>
      <c r="P109" s="42" t="str">
        <f>IF(VLOOKUP(F109,Fixture!$B$2:$F$137,5,FALSE)&lt;&gt;0,VLOOKUP(F109,Fixture!$B$2:$F$137,5,FALSE),"")</f>
        <v>Los Aliados</v>
      </c>
      <c r="Q109" s="44">
        <f ca="1">IF($D109="Finalizado",_xlfn.XLOOKUP(P109,Resumen!$A$6:$A$22,Resumen!BB$6:BB$22,0),"")</f>
        <v>2</v>
      </c>
      <c r="R109" s="44">
        <f ca="1">IF($D109="Finalizado",_xlfn.XLOOKUP(P109,Resumen!$A$6:$A$22,Resumen!BC$6:BC$22,0),"")</f>
        <v>1</v>
      </c>
      <c r="S109" s="44">
        <f ca="1">IF($D109="Finalizado",_xlfn.XLOOKUP(P109,Resumen!$A$6:$A$22,Resumen!BD$6:BD$22,0)+_xlfn.XLOOKUP(P109,Resumen!$A$6:$A$22,Resumen!BE$6:BE$22,0),"")</f>
        <v>0</v>
      </c>
      <c r="T109" s="44">
        <f t="shared" ca="1" si="159"/>
        <v>0</v>
      </c>
      <c r="U109" s="44">
        <f t="shared" ca="1" si="169"/>
        <v>0</v>
      </c>
      <c r="V109" s="44">
        <f t="shared" ca="1" si="170"/>
        <v>1</v>
      </c>
      <c r="W109" s="44">
        <f t="shared" ca="1" si="160"/>
        <v>1</v>
      </c>
      <c r="X109" s="45">
        <f t="shared" ca="1" si="161"/>
        <v>5</v>
      </c>
      <c r="Y109" s="207"/>
    </row>
    <row r="110" spans="1:39" ht="16.5" thickBot="1" x14ac:dyDescent="0.3">
      <c r="A110" s="213"/>
      <c r="B110" s="60">
        <f>IF(Fixture!C109,Fixture!C109,"")</f>
        <v>45795</v>
      </c>
      <c r="C110" s="58">
        <v>0.47916666666666602</v>
      </c>
      <c r="D110" s="82" t="str">
        <f t="shared" ca="1" si="136"/>
        <v>Finalizado</v>
      </c>
      <c r="E110" s="207"/>
      <c r="F110" s="43">
        <f>+Fixture!B109</f>
        <v>108</v>
      </c>
      <c r="G110" s="42" t="str">
        <f>IF(VLOOKUP(F110,Fixture!$B$2:$F$137,3,FALSE)&lt;&gt;0,VLOOKUP(F110,Fixture!$B$2:$F$137,3,FALSE),"")</f>
        <v>La Unión FC</v>
      </c>
      <c r="H110" s="44">
        <f ca="1">IF($D110="Finalizado",_xlfn.XLOOKUP(G110,Resumen!$A$6:$A$22,Resumen!BB$6:BB$22,0),"")</f>
        <v>4</v>
      </c>
      <c r="I110" s="44">
        <f ca="1">IF($D110="Finalizado",_xlfn.XLOOKUP(G110,Resumen!$A$6:$A$22,Resumen!BC$6:BC$22,0),"")</f>
        <v>1</v>
      </c>
      <c r="J110" s="44">
        <f ca="1">IF($D110="Finalizado",_xlfn.XLOOKUP(G110,Resumen!$A$6:$A$22,Resumen!BD$6:BD$22,0)+_xlfn.XLOOKUP(G110,Resumen!$A$6:$A$22,Resumen!BE$6:BE$22,0),"")</f>
        <v>0</v>
      </c>
      <c r="K110" s="44">
        <f t="shared" ca="1" si="168"/>
        <v>1</v>
      </c>
      <c r="L110" s="44">
        <f t="shared" ca="1" si="256"/>
        <v>0</v>
      </c>
      <c r="M110" s="44">
        <f t="shared" ca="1" si="257"/>
        <v>0</v>
      </c>
      <c r="N110" s="44">
        <f t="shared" ca="1" si="258"/>
        <v>1</v>
      </c>
      <c r="O110" s="45">
        <f t="shared" ca="1" si="259"/>
        <v>5</v>
      </c>
      <c r="P110" s="42" t="str">
        <f>IF(VLOOKUP(F110,Fixture!$B$2:$F$137,5,FALSE)&lt;&gt;0,VLOOKUP(F110,Fixture!$B$2:$F$137,5,FALSE),"")</f>
        <v>Amenadim</v>
      </c>
      <c r="Q110" s="44">
        <f ca="1">IF($D110="Finalizado",_xlfn.XLOOKUP(P110,Resumen!$A$6:$A$22,Resumen!BB$6:BB$22,0),"")</f>
        <v>1</v>
      </c>
      <c r="R110" s="44">
        <f ca="1">IF($D110="Finalizado",_xlfn.XLOOKUP(P110,Resumen!$A$6:$A$22,Resumen!BC$6:BC$22,0),"")</f>
        <v>0</v>
      </c>
      <c r="S110" s="44">
        <f ca="1">IF($D110="Finalizado",_xlfn.XLOOKUP(P110,Resumen!$A$6:$A$22,Resumen!BD$6:BD$22,0)+_xlfn.XLOOKUP(P110,Resumen!$A$6:$A$22,Resumen!BE$6:BE$22,0),"")</f>
        <v>0</v>
      </c>
      <c r="T110" s="44">
        <f t="shared" ca="1" si="159"/>
        <v>0</v>
      </c>
      <c r="U110" s="44">
        <f t="shared" ca="1" si="169"/>
        <v>0</v>
      </c>
      <c r="V110" s="44">
        <f t="shared" ca="1" si="170"/>
        <v>1</v>
      </c>
      <c r="W110" s="44">
        <f t="shared" ca="1" si="160"/>
        <v>1</v>
      </c>
      <c r="X110" s="45">
        <f t="shared" ca="1" si="161"/>
        <v>0</v>
      </c>
      <c r="Y110" s="207"/>
    </row>
    <row r="111" spans="1:39" ht="16.5" thickBot="1" x14ac:dyDescent="0.3">
      <c r="A111" s="213"/>
      <c r="B111" s="60">
        <f>IF(Fixture!C110,Fixture!C110,"")</f>
        <v>45795</v>
      </c>
      <c r="C111" s="58">
        <v>0.52777777777777701</v>
      </c>
      <c r="D111" s="82" t="str">
        <f t="shared" ca="1" si="136"/>
        <v>Finalizado</v>
      </c>
      <c r="E111" s="207"/>
      <c r="F111" s="43">
        <f>+Fixture!B110</f>
        <v>109</v>
      </c>
      <c r="G111" s="42" t="str">
        <f>IF(VLOOKUP(F111,Fixture!$B$2:$F$137,3,FALSE)&lt;&gt;0,VLOOKUP(F111,Fixture!$B$2:$F$137,3,FALSE),"")</f>
        <v>Atalanta</v>
      </c>
      <c r="H111" s="44">
        <f ca="1">IF($D111="Finalizado",_xlfn.XLOOKUP(G111,Resumen!$A$6:$A$22,Resumen!BB$6:BB$22,0),"")</f>
        <v>1</v>
      </c>
      <c r="I111" s="44">
        <f ca="1">IF($D111="Finalizado",_xlfn.XLOOKUP(G111,Resumen!$A$6:$A$22,Resumen!BC$6:BC$22,0),"")</f>
        <v>0</v>
      </c>
      <c r="J111" s="44">
        <f ca="1">IF($D111="Finalizado",_xlfn.XLOOKUP(G111,Resumen!$A$6:$A$22,Resumen!BD$6:BD$22,0)+_xlfn.XLOOKUP(G111,Resumen!$A$6:$A$22,Resumen!BE$6:BE$22,0),"")</f>
        <v>0</v>
      </c>
      <c r="K111" s="44">
        <f t="shared" ca="1" si="168"/>
        <v>0</v>
      </c>
      <c r="L111" s="44">
        <f t="shared" ca="1" si="256"/>
        <v>1</v>
      </c>
      <c r="M111" s="44">
        <f t="shared" ca="1" si="257"/>
        <v>0</v>
      </c>
      <c r="N111" s="44">
        <f t="shared" ca="1" si="258"/>
        <v>1</v>
      </c>
      <c r="O111" s="45">
        <f t="shared" ca="1" si="259"/>
        <v>0</v>
      </c>
      <c r="P111" s="42" t="str">
        <f>IF(VLOOKUP(F111,Fixture!$B$2:$F$137,5,FALSE)&lt;&gt;0,VLOOKUP(F111,Fixture!$B$2:$F$137,5,FALSE),"")</f>
        <v>Villanueva</v>
      </c>
      <c r="Q111" s="44">
        <f ca="1">IF($D111="Finalizado",_xlfn.XLOOKUP(P111,Resumen!$A$6:$A$22,Resumen!BB$6:BB$22,0),"")</f>
        <v>1</v>
      </c>
      <c r="R111" s="44">
        <f ca="1">IF($D111="Finalizado",_xlfn.XLOOKUP(P111,Resumen!$A$6:$A$22,Resumen!BC$6:BC$22,0),"")</f>
        <v>2</v>
      </c>
      <c r="S111" s="44">
        <f ca="1">IF($D111="Finalizado",_xlfn.XLOOKUP(P111,Resumen!$A$6:$A$22,Resumen!BD$6:BD$22,0)+_xlfn.XLOOKUP(P111,Resumen!$A$6:$A$22,Resumen!BE$6:BE$22,0),"")</f>
        <v>0</v>
      </c>
      <c r="T111" s="44">
        <f t="shared" ca="1" si="159"/>
        <v>0</v>
      </c>
      <c r="U111" s="44">
        <f t="shared" ca="1" si="169"/>
        <v>1</v>
      </c>
      <c r="V111" s="44">
        <f t="shared" ca="1" si="170"/>
        <v>0</v>
      </c>
      <c r="W111" s="44">
        <f t="shared" ca="1" si="160"/>
        <v>1</v>
      </c>
      <c r="X111" s="45">
        <f t="shared" ca="1" si="161"/>
        <v>10</v>
      </c>
      <c r="Y111" s="207"/>
    </row>
    <row r="112" spans="1:39" ht="16.5" thickBot="1" x14ac:dyDescent="0.3">
      <c r="A112" s="213"/>
      <c r="B112" s="60">
        <f>IF(Fixture!C111,Fixture!C111,"")</f>
        <v>45795</v>
      </c>
      <c r="C112" s="58">
        <v>0.57638888888888895</v>
      </c>
      <c r="D112" s="82" t="str">
        <f t="shared" ca="1" si="136"/>
        <v>Finalizado</v>
      </c>
      <c r="E112" s="207"/>
      <c r="F112" s="43">
        <f>+Fixture!B111</f>
        <v>110</v>
      </c>
      <c r="G112" s="42" t="str">
        <f>IF(VLOOKUP(F112,Fixture!$B$2:$F$137,3,FALSE)&lt;&gt;0,VLOOKUP(F112,Fixture!$B$2:$F$137,3,FALSE),"")</f>
        <v>Valentín FC</v>
      </c>
      <c r="H112" s="44">
        <f ca="1">IF($D112="Finalizado",_xlfn.XLOOKUP(G112,Resumen!$A$6:$A$22,Resumen!BB$6:BB$22,0),"")</f>
        <v>5</v>
      </c>
      <c r="I112" s="44">
        <f ca="1">IF($D112="Finalizado",_xlfn.XLOOKUP(G112,Resumen!$A$6:$A$22,Resumen!BC$6:BC$22,0),"")</f>
        <v>1</v>
      </c>
      <c r="J112" s="44">
        <f ca="1">IF($D112="Finalizado",_xlfn.XLOOKUP(G112,Resumen!$A$6:$A$22,Resumen!BD$6:BD$22,0)+_xlfn.XLOOKUP(G112,Resumen!$A$6:$A$22,Resumen!BE$6:BE$22,0),"")</f>
        <v>0</v>
      </c>
      <c r="K112" s="44">
        <f t="shared" ca="1" si="168"/>
        <v>1</v>
      </c>
      <c r="L112" s="44">
        <f t="shared" ca="1" si="256"/>
        <v>0</v>
      </c>
      <c r="M112" s="44">
        <f t="shared" ca="1" si="257"/>
        <v>0</v>
      </c>
      <c r="N112" s="44">
        <f t="shared" ca="1" si="258"/>
        <v>1</v>
      </c>
      <c r="O112" s="45">
        <f t="shared" ca="1" si="259"/>
        <v>5</v>
      </c>
      <c r="P112" s="42" t="str">
        <f>IF(VLOOKUP(F112,Fixture!$B$2:$F$137,5,FALSE)&lt;&gt;0,VLOOKUP(F112,Fixture!$B$2:$F$137,5,FALSE),"")</f>
        <v>Boca Juniors</v>
      </c>
      <c r="Q112" s="44">
        <f ca="1">IF($D112="Finalizado",_xlfn.XLOOKUP(P112,Resumen!$A$6:$A$22,Resumen!BB$6:BB$22,0),"")</f>
        <v>0</v>
      </c>
      <c r="R112" s="44">
        <f ca="1">IF($D112="Finalizado",_xlfn.XLOOKUP(P112,Resumen!$A$6:$A$22,Resumen!BC$6:BC$22,0),"")</f>
        <v>1</v>
      </c>
      <c r="S112" s="44">
        <f ca="1">IF($D112="Finalizado",_xlfn.XLOOKUP(P112,Resumen!$A$6:$A$22,Resumen!BD$6:BD$22,0)+_xlfn.XLOOKUP(P112,Resumen!$A$6:$A$22,Resumen!BE$6:BE$22,0),"")</f>
        <v>0</v>
      </c>
      <c r="T112" s="44">
        <f t="shared" ca="1" si="159"/>
        <v>0</v>
      </c>
      <c r="U112" s="44">
        <f t="shared" ca="1" si="169"/>
        <v>0</v>
      </c>
      <c r="V112" s="44">
        <f t="shared" ca="1" si="170"/>
        <v>1</v>
      </c>
      <c r="W112" s="44">
        <f t="shared" ca="1" si="160"/>
        <v>1</v>
      </c>
      <c r="X112" s="45">
        <f t="shared" ca="1" si="161"/>
        <v>5</v>
      </c>
      <c r="Y112" s="207"/>
    </row>
    <row r="113" spans="1:40" ht="16.5" thickBot="1" x14ac:dyDescent="0.3">
      <c r="A113" s="213"/>
      <c r="B113" s="60">
        <f>IF(Fixture!C112,Fixture!C112,"")</f>
        <v>45795</v>
      </c>
      <c r="C113" s="58">
        <v>0.625</v>
      </c>
      <c r="D113" s="82" t="str">
        <f t="shared" ca="1" si="136"/>
        <v>Finalizado</v>
      </c>
      <c r="E113" s="207"/>
      <c r="F113" s="43">
        <f>+Fixture!B112</f>
        <v>111</v>
      </c>
      <c r="G113" s="42" t="str">
        <f>IF(VLOOKUP(F113,Fixture!$B$2:$F$137,3,FALSE)&lt;&gt;0,VLOOKUP(F113,Fixture!$B$2:$F$137,3,FALSE),"")</f>
        <v>CD El Corozo</v>
      </c>
      <c r="H113" s="44">
        <f ca="1">IF($D113="Finalizado",_xlfn.XLOOKUP(G113,Resumen!$A$6:$A$22,Resumen!BB$6:BB$22,0),"")</f>
        <v>4</v>
      </c>
      <c r="I113" s="44">
        <f ca="1">IF($D113="Finalizado",_xlfn.XLOOKUP(G113,Resumen!$A$6:$A$22,Resumen!BC$6:BC$22,0),"")</f>
        <v>3</v>
      </c>
      <c r="J113" s="44">
        <f ca="1">IF($D113="Finalizado",_xlfn.XLOOKUP(G113,Resumen!$A$6:$A$22,Resumen!BD$6:BD$22,0)+_xlfn.XLOOKUP(G113,Resumen!$A$6:$A$22,Resumen!BE$6:BE$22,0),"")</f>
        <v>0</v>
      </c>
      <c r="K113" s="44">
        <f t="shared" ref="K113" ca="1" si="260">IF(D113="Finalizado",IF(H113&gt;Q113,1,0),"")</f>
        <v>1</v>
      </c>
      <c r="L113" s="44">
        <f t="shared" ref="L113" ca="1" si="261">IF(D113="Finalizado",IF(H113=Q113,1,0),"")</f>
        <v>0</v>
      </c>
      <c r="M113" s="44">
        <f t="shared" ref="M113" ca="1" si="262">IF(D113="Finalizado",IF(H113&lt;Q113,1,0),"")</f>
        <v>0</v>
      </c>
      <c r="N113" s="44">
        <f t="shared" ref="N113" ca="1" si="263">IF(D113="Finalizado",1,"")</f>
        <v>1</v>
      </c>
      <c r="O113" s="45">
        <f t="shared" ref="O113" ca="1" si="264">IF(D113="Finalizado",SUM(I113*5,J113*10),"")</f>
        <v>15</v>
      </c>
      <c r="P113" s="42" t="str">
        <f>IF(VLOOKUP(F113,Fixture!$B$2:$F$137,5,FALSE)&lt;&gt;0,VLOOKUP(F113,Fixture!$B$2:$F$137,5,FALSE),"")</f>
        <v>Ron Star</v>
      </c>
      <c r="Q113" s="44">
        <f ca="1">IF($D113="Finalizado",_xlfn.XLOOKUP(P113,Resumen!$A$6:$A$22,Resumen!BB$6:BB$22,0),"")</f>
        <v>1</v>
      </c>
      <c r="R113" s="44">
        <f ca="1">IF($D113="Finalizado",_xlfn.XLOOKUP(P113,Resumen!$A$6:$A$22,Resumen!BC$6:BC$22,0),"")</f>
        <v>0</v>
      </c>
      <c r="S113" s="44">
        <f ca="1">IF($D113="Finalizado",_xlfn.XLOOKUP(P113,Resumen!$A$6:$A$22,Resumen!BD$6:BD$22,0)+_xlfn.XLOOKUP(P113,Resumen!$A$6:$A$22,Resumen!BE$6:BE$22,0),"")</f>
        <v>0</v>
      </c>
      <c r="T113" s="44">
        <f t="shared" ca="1" si="159"/>
        <v>0</v>
      </c>
      <c r="U113" s="44">
        <f t="shared" ca="1" si="169"/>
        <v>0</v>
      </c>
      <c r="V113" s="44">
        <f t="shared" ca="1" si="170"/>
        <v>1</v>
      </c>
      <c r="W113" s="44">
        <f t="shared" ca="1" si="160"/>
        <v>1</v>
      </c>
      <c r="X113" s="45">
        <f t="shared" ca="1" si="161"/>
        <v>0</v>
      </c>
      <c r="Y113" s="207"/>
    </row>
    <row r="114" spans="1:40" ht="16.5" thickBot="1" x14ac:dyDescent="0.3">
      <c r="A114" s="214"/>
      <c r="B114" s="60">
        <f>IF(Fixture!C113,Fixture!C113,"")</f>
        <v>45795</v>
      </c>
      <c r="C114" s="58">
        <v>0.67361111111111105</v>
      </c>
      <c r="D114" s="82" t="str">
        <f t="shared" ca="1" si="136"/>
        <v>Finalizado</v>
      </c>
      <c r="E114" s="208"/>
      <c r="F114" s="43">
        <f>+Fixture!B113</f>
        <v>112</v>
      </c>
      <c r="G114" s="42" t="str">
        <f>IF(VLOOKUP(F114,Fixture!$B$2:$F$137,3,FALSE)&lt;&gt;0,VLOOKUP(F114,Fixture!$B$2:$F$137,3,FALSE),"")</f>
        <v>Rayos FC</v>
      </c>
      <c r="H114" s="48">
        <f ca="1">IF($D114="Finalizado",_xlfn.XLOOKUP(G114,Resumen!$A$6:$A$22,Resumen!BB$6:BB$22,0),"")</f>
        <v>0</v>
      </c>
      <c r="I114" s="48">
        <f ca="1">IF($D114="Finalizado",_xlfn.XLOOKUP(G114,Resumen!$A$6:$A$22,Resumen!BC$6:BC$22,0),"")</f>
        <v>0</v>
      </c>
      <c r="J114" s="48">
        <f ca="1">IF($D114="Finalizado",_xlfn.XLOOKUP(G114,Resumen!$A$6:$A$22,Resumen!BD$6:BD$22,0)+_xlfn.XLOOKUP(G114,Resumen!$A$6:$A$22,Resumen!BE$6:BE$22,0),"")</f>
        <v>3</v>
      </c>
      <c r="K114" s="48">
        <f t="shared" ca="1" si="168"/>
        <v>0</v>
      </c>
      <c r="L114" s="48">
        <f t="shared" ca="1" si="256"/>
        <v>0</v>
      </c>
      <c r="M114" s="48">
        <f t="shared" ca="1" si="257"/>
        <v>1</v>
      </c>
      <c r="N114" s="48">
        <f t="shared" ca="1" si="258"/>
        <v>1</v>
      </c>
      <c r="O114" s="49">
        <f t="shared" ca="1" si="259"/>
        <v>30</v>
      </c>
      <c r="P114" s="42" t="str">
        <f>IF(VLOOKUP(F114,Fixture!$B$2:$F$137,5,FALSE)&lt;&gt;0,VLOOKUP(F114,Fixture!$B$2:$F$137,5,FALSE),"")</f>
        <v>Hojas Anchas</v>
      </c>
      <c r="Q114" s="48">
        <f ca="1">IF($D114="Finalizado",_xlfn.XLOOKUP(P114,Resumen!$A$6:$A$22,Resumen!BB$6:BB$22,0),"")</f>
        <v>3</v>
      </c>
      <c r="R114" s="48">
        <f ca="1">IF($D114="Finalizado",_xlfn.XLOOKUP(P114,Resumen!$A$6:$A$22,Resumen!BC$6:BC$22,0),"")</f>
        <v>0</v>
      </c>
      <c r="S114" s="48">
        <f ca="1">IF($D114="Finalizado",_xlfn.XLOOKUP(P114,Resumen!$A$6:$A$22,Resumen!BD$6:BD$22,0)+_xlfn.XLOOKUP(P114,Resumen!$A$6:$A$22,Resumen!BE$6:BE$22,0),"")</f>
        <v>0</v>
      </c>
      <c r="T114" s="48">
        <f t="shared" ca="1" si="159"/>
        <v>1</v>
      </c>
      <c r="U114" s="48">
        <f t="shared" ca="1" si="169"/>
        <v>0</v>
      </c>
      <c r="V114" s="48">
        <f t="shared" ca="1" si="170"/>
        <v>0</v>
      </c>
      <c r="W114" s="48">
        <f t="shared" ca="1" si="160"/>
        <v>1</v>
      </c>
      <c r="X114" s="49">
        <f t="shared" ca="1" si="161"/>
        <v>0</v>
      </c>
      <c r="Y114" s="208"/>
    </row>
    <row r="115" spans="1:40" ht="16.5" thickBot="1" x14ac:dyDescent="0.3">
      <c r="A115" s="212" t="s">
        <v>19</v>
      </c>
      <c r="B115" s="60">
        <f>IF(Fixture!C114,Fixture!C114,"")</f>
        <v>45802</v>
      </c>
      <c r="C115" s="58">
        <v>0.33333333333333331</v>
      </c>
      <c r="D115" s="82" t="str">
        <f t="shared" ca="1" si="136"/>
        <v>Finalizado</v>
      </c>
      <c r="E115" s="206" t="s">
        <v>114</v>
      </c>
      <c r="F115" s="43">
        <f>+Fixture!B114</f>
        <v>113</v>
      </c>
      <c r="G115" s="42" t="str">
        <f>IF(VLOOKUP(F115,Fixture!$B$2:$F$137,3,FALSE)&lt;&gt;0,VLOOKUP(F115,Fixture!$B$2:$F$137,3,FALSE),"")</f>
        <v>Los Aliados</v>
      </c>
      <c r="H115" s="44">
        <f ca="1">IF($D115="Finalizado",_xlfn.XLOOKUP(G115,Resumen!$A$6:$A$22,Resumen!BF$6:BF$22,0),"")</f>
        <v>3</v>
      </c>
      <c r="I115" s="44">
        <f ca="1">IF($D115="Finalizado",_xlfn.XLOOKUP(G115,Resumen!$A$6:$A$22,Resumen!BG$6:BG$22,0),"")</f>
        <v>0</v>
      </c>
      <c r="J115" s="44">
        <f ca="1">IF($D115="Finalizado",_xlfn.XLOOKUP(G115,Resumen!$A$6:$A$22,Resumen!BH$6:BH$22,0)+_xlfn.XLOOKUP(G115,Resumen!$A$6:$A$22,Resumen!BI$6:BI$22,0),"")</f>
        <v>0</v>
      </c>
      <c r="K115" s="44">
        <f t="shared" ref="K115" ca="1" si="265">IF(D115="Finalizado",IF(H115&gt;Q115,1,0),"")</f>
        <v>0</v>
      </c>
      <c r="L115" s="44">
        <f t="shared" ca="1" si="256"/>
        <v>1</v>
      </c>
      <c r="M115" s="44">
        <f t="shared" ca="1" si="257"/>
        <v>0</v>
      </c>
      <c r="N115" s="44">
        <f t="shared" ca="1" si="258"/>
        <v>1</v>
      </c>
      <c r="O115" s="45">
        <f t="shared" ca="1" si="259"/>
        <v>0</v>
      </c>
      <c r="P115" s="42" t="str">
        <f>IF(VLOOKUP(F115,Fixture!$B$2:$F$137,5,FALSE)&lt;&gt;0,VLOOKUP(F115,Fixture!$B$2:$F$137,5,FALSE),"")</f>
        <v>Hojas Anchas</v>
      </c>
      <c r="Q115" s="44">
        <f ca="1">IF($D115="Finalizado",_xlfn.XLOOKUP(P115,Resumen!$A$6:$A$22,Resumen!BF$6:BF$22,0),"")</f>
        <v>3</v>
      </c>
      <c r="R115" s="44">
        <f ca="1">IF($D115="Finalizado",_xlfn.XLOOKUP(P115,Resumen!$A$6:$A$22,Resumen!BG$6:BG$22,0),"")</f>
        <v>0</v>
      </c>
      <c r="S115" s="44">
        <f ca="1">IF($D115="Finalizado",_xlfn.XLOOKUP(P115,Resumen!$A$6:$A$22,Resumen!BH$6:BH$22,0)+_xlfn.XLOOKUP(P115,Resumen!$A$6:$A$22,Resumen!BI$6:BI$22,0),"")</f>
        <v>0</v>
      </c>
      <c r="T115" s="44">
        <f t="shared" ca="1" si="159"/>
        <v>0</v>
      </c>
      <c r="U115" s="44">
        <f t="shared" ca="1" si="169"/>
        <v>1</v>
      </c>
      <c r="V115" s="44">
        <f t="shared" ca="1" si="170"/>
        <v>0</v>
      </c>
      <c r="W115" s="44">
        <f t="shared" ca="1" si="160"/>
        <v>1</v>
      </c>
      <c r="X115" s="45">
        <f t="shared" ca="1" si="161"/>
        <v>0</v>
      </c>
      <c r="Y115" s="206" t="str">
        <f>+A115</f>
        <v>Fecha 15</v>
      </c>
    </row>
    <row r="116" spans="1:40" ht="16.5" thickBot="1" x14ac:dyDescent="0.3">
      <c r="A116" s="213"/>
      <c r="B116" s="60">
        <f>IF(Fixture!C115,Fixture!C115,"")</f>
        <v>45802</v>
      </c>
      <c r="C116" s="58">
        <v>0.38194444444444442</v>
      </c>
      <c r="D116" s="82" t="str">
        <f t="shared" ca="1" si="136"/>
        <v>Finalizado</v>
      </c>
      <c r="E116" s="207"/>
      <c r="F116" s="43">
        <f>+Fixture!B115</f>
        <v>114</v>
      </c>
      <c r="G116" s="42" t="str">
        <f>IF(VLOOKUP(F116,Fixture!$B$2:$F$137,3,FALSE)&lt;&gt;0,VLOOKUP(F116,Fixture!$B$2:$F$137,3,FALSE),"")</f>
        <v>Boca Juniors</v>
      </c>
      <c r="H116" s="44">
        <f ca="1">IF($D116="Finalizado",_xlfn.XLOOKUP(G116,Resumen!$A$6:$A$22,Resumen!BF$6:BF$22,0),"")</f>
        <v>4</v>
      </c>
      <c r="I116" s="44">
        <f ca="1">IF($D116="Finalizado",_xlfn.XLOOKUP(G116,Resumen!$A$6:$A$22,Resumen!BG$6:BG$22,0),"")</f>
        <v>3</v>
      </c>
      <c r="J116" s="44">
        <f ca="1">IF($D116="Finalizado",_xlfn.XLOOKUP(G116,Resumen!$A$6:$A$22,Resumen!BH$6:BH$22,0)+_xlfn.XLOOKUP(G116,Resumen!$A$6:$A$22,Resumen!BI$6:BI$22,0),"")</f>
        <v>0</v>
      </c>
      <c r="K116" s="44">
        <f t="shared" ca="1" si="168"/>
        <v>1</v>
      </c>
      <c r="L116" s="44">
        <f t="shared" ca="1" si="256"/>
        <v>0</v>
      </c>
      <c r="M116" s="44">
        <f t="shared" ca="1" si="257"/>
        <v>0</v>
      </c>
      <c r="N116" s="44">
        <f t="shared" ca="1" si="258"/>
        <v>1</v>
      </c>
      <c r="O116" s="45">
        <f t="shared" ca="1" si="259"/>
        <v>15</v>
      </c>
      <c r="P116" s="42" t="str">
        <f>IF(VLOOKUP(F116,Fixture!$B$2:$F$137,5,FALSE)&lt;&gt;0,VLOOKUP(F116,Fixture!$B$2:$F$137,5,FALSE),"")</f>
        <v>Amenadim</v>
      </c>
      <c r="Q116" s="44">
        <f ca="1">IF($D116="Finalizado",_xlfn.XLOOKUP(P116,Resumen!$A$6:$A$22,Resumen!BF$6:BF$22,0),"")</f>
        <v>2</v>
      </c>
      <c r="R116" s="44">
        <f ca="1">IF($D116="Finalizado",_xlfn.XLOOKUP(P116,Resumen!$A$6:$A$22,Resumen!BG$6:BG$22,0),"")</f>
        <v>2</v>
      </c>
      <c r="S116" s="44">
        <f ca="1">IF($D116="Finalizado",_xlfn.XLOOKUP(P116,Resumen!$A$6:$A$22,Resumen!BH$6:BH$22,0)+_xlfn.XLOOKUP(P116,Resumen!$A$6:$A$22,Resumen!BI$6:BI$22,0),"")</f>
        <v>0</v>
      </c>
      <c r="T116" s="44">
        <f t="shared" ca="1" si="159"/>
        <v>0</v>
      </c>
      <c r="U116" s="44">
        <f t="shared" ca="1" si="169"/>
        <v>0</v>
      </c>
      <c r="V116" s="44">
        <f t="shared" ca="1" si="170"/>
        <v>1</v>
      </c>
      <c r="W116" s="44">
        <f t="shared" ca="1" si="160"/>
        <v>1</v>
      </c>
      <c r="X116" s="45">
        <f t="shared" ca="1" si="161"/>
        <v>10</v>
      </c>
      <c r="Y116" s="207"/>
    </row>
    <row r="117" spans="1:40" ht="16.5" thickBot="1" x14ac:dyDescent="0.3">
      <c r="A117" s="213"/>
      <c r="B117" s="60">
        <f>IF(Fixture!C116,Fixture!C116,"")</f>
        <v>45802</v>
      </c>
      <c r="C117" s="58">
        <v>0.43055555555555602</v>
      </c>
      <c r="D117" s="82" t="str">
        <f t="shared" ca="1" si="136"/>
        <v>Finalizado</v>
      </c>
      <c r="E117" s="207"/>
      <c r="F117" s="43">
        <f>+Fixture!B116</f>
        <v>115</v>
      </c>
      <c r="G117" s="42" t="str">
        <f>IF(VLOOKUP(F117,Fixture!$B$2:$F$137,3,FALSE)&lt;&gt;0,VLOOKUP(F117,Fixture!$B$2:$F$137,3,FALSE),"")</f>
        <v>Deportivo Fénix</v>
      </c>
      <c r="H117" s="44">
        <f ca="1">IF($D117="Finalizado",_xlfn.XLOOKUP(G117,Resumen!$A$6:$A$22,Resumen!BF$6:BF$22,0),"")</f>
        <v>2</v>
      </c>
      <c r="I117" s="44">
        <f ca="1">IF($D117="Finalizado",_xlfn.XLOOKUP(G117,Resumen!$A$6:$A$22,Resumen!BG$6:BG$22,0),"")</f>
        <v>1</v>
      </c>
      <c r="J117" s="44">
        <f ca="1">IF($D117="Finalizado",_xlfn.XLOOKUP(G117,Resumen!$A$6:$A$22,Resumen!BH$6:BH$22,0)+_xlfn.XLOOKUP(G117,Resumen!$A$6:$A$22,Resumen!BI$6:BI$22,0),"")</f>
        <v>0</v>
      </c>
      <c r="K117" s="44">
        <f t="shared" ca="1" si="168"/>
        <v>0</v>
      </c>
      <c r="L117" s="44">
        <f t="shared" ca="1" si="256"/>
        <v>0</v>
      </c>
      <c r="M117" s="44">
        <f t="shared" ca="1" si="257"/>
        <v>1</v>
      </c>
      <c r="N117" s="44">
        <f t="shared" ca="1" si="258"/>
        <v>1</v>
      </c>
      <c r="O117" s="45">
        <f t="shared" ca="1" si="259"/>
        <v>5</v>
      </c>
      <c r="P117" s="42" t="str">
        <f>IF(VLOOKUP(F117,Fixture!$B$2:$F$137,5,FALSE)&lt;&gt;0,VLOOKUP(F117,Fixture!$B$2:$F$137,5,FALSE),"")</f>
        <v>Ron Star</v>
      </c>
      <c r="Q117" s="44">
        <f ca="1">IF($D117="Finalizado",_xlfn.XLOOKUP(P117,Resumen!$A$6:$A$22,Resumen!BF$6:BF$22,0),"")</f>
        <v>9</v>
      </c>
      <c r="R117" s="44">
        <f ca="1">IF($D117="Finalizado",_xlfn.XLOOKUP(P117,Resumen!$A$6:$A$22,Resumen!BG$6:BG$22,0),"")</f>
        <v>1</v>
      </c>
      <c r="S117" s="44">
        <f ca="1">IF($D117="Finalizado",_xlfn.XLOOKUP(P117,Resumen!$A$6:$A$22,Resumen!BH$6:BH$22,0)+_xlfn.XLOOKUP(P117,Resumen!$A$6:$A$22,Resumen!BI$6:BI$22,0),"")</f>
        <v>0</v>
      </c>
      <c r="T117" s="44">
        <f t="shared" ca="1" si="159"/>
        <v>1</v>
      </c>
      <c r="U117" s="44">
        <f t="shared" ca="1" si="169"/>
        <v>0</v>
      </c>
      <c r="V117" s="44">
        <f t="shared" ca="1" si="170"/>
        <v>0</v>
      </c>
      <c r="W117" s="44">
        <f t="shared" ca="1" si="160"/>
        <v>1</v>
      </c>
      <c r="X117" s="45">
        <f t="shared" ca="1" si="161"/>
        <v>5</v>
      </c>
      <c r="Y117" s="207"/>
    </row>
    <row r="118" spans="1:40" ht="16.5" thickBot="1" x14ac:dyDescent="0.3">
      <c r="A118" s="213"/>
      <c r="B118" s="60">
        <f>IF(Fixture!C117,Fixture!C117,"")</f>
        <v>45802</v>
      </c>
      <c r="C118" s="58">
        <v>0.47916666666666602</v>
      </c>
      <c r="D118" s="82" t="str">
        <f t="shared" ca="1" si="136"/>
        <v>Finalizado</v>
      </c>
      <c r="E118" s="207"/>
      <c r="F118" s="43">
        <f>+Fixture!B117</f>
        <v>116</v>
      </c>
      <c r="G118" s="42" t="str">
        <f>IF(VLOOKUP(F118,Fixture!$B$2:$F$137,3,FALSE)&lt;&gt;0,VLOOKUP(F118,Fixture!$B$2:$F$137,3,FALSE),"")</f>
        <v>La Unión FC</v>
      </c>
      <c r="H118" s="44">
        <f ca="1">IF($D118="Finalizado",_xlfn.XLOOKUP(G118,Resumen!$A$6:$A$22,Resumen!BF$6:BF$22,0),"")</f>
        <v>5</v>
      </c>
      <c r="I118" s="44">
        <f ca="1">IF($D118="Finalizado",_xlfn.XLOOKUP(G118,Resumen!$A$6:$A$22,Resumen!BG$6:BG$22,0),"")</f>
        <v>1</v>
      </c>
      <c r="J118" s="44">
        <f ca="1">IF($D118="Finalizado",_xlfn.XLOOKUP(G118,Resumen!$A$6:$A$22,Resumen!BH$6:BH$22,0)+_xlfn.XLOOKUP(G118,Resumen!$A$6:$A$22,Resumen!BI$6:BI$22,0),"")</f>
        <v>0</v>
      </c>
      <c r="K118" s="44">
        <f t="shared" ca="1" si="168"/>
        <v>1</v>
      </c>
      <c r="L118" s="44">
        <f t="shared" ca="1" si="256"/>
        <v>0</v>
      </c>
      <c r="M118" s="44">
        <f t="shared" ca="1" si="257"/>
        <v>0</v>
      </c>
      <c r="N118" s="44">
        <f t="shared" ca="1" si="258"/>
        <v>1</v>
      </c>
      <c r="O118" s="45">
        <f t="shared" ca="1" si="259"/>
        <v>5</v>
      </c>
      <c r="P118" s="42" t="str">
        <f>IF(VLOOKUP(F118,Fixture!$B$2:$F$137,5,FALSE)&lt;&gt;0,VLOOKUP(F118,Fixture!$B$2:$F$137,5,FALSE),"")</f>
        <v>Konami</v>
      </c>
      <c r="Q118" s="44">
        <f ca="1">IF($D118="Finalizado",_xlfn.XLOOKUP(P118,Resumen!$A$6:$A$22,Resumen!BF$6:BF$22,0),"")</f>
        <v>4</v>
      </c>
      <c r="R118" s="44">
        <f ca="1">IF($D118="Finalizado",_xlfn.XLOOKUP(P118,Resumen!$A$6:$A$22,Resumen!BG$6:BG$22,0),"")</f>
        <v>1</v>
      </c>
      <c r="S118" s="44">
        <f ca="1">IF($D118="Finalizado",_xlfn.XLOOKUP(P118,Resumen!$A$6:$A$22,Resumen!BH$6:BH$22,0)+_xlfn.XLOOKUP(P118,Resumen!$A$6:$A$22,Resumen!BI$6:BI$22,0),"")</f>
        <v>0</v>
      </c>
      <c r="T118" s="44">
        <f t="shared" ca="1" si="159"/>
        <v>0</v>
      </c>
      <c r="U118" s="44">
        <f t="shared" ca="1" si="169"/>
        <v>0</v>
      </c>
      <c r="V118" s="44">
        <f t="shared" ca="1" si="170"/>
        <v>1</v>
      </c>
      <c r="W118" s="44">
        <f t="shared" ca="1" si="160"/>
        <v>1</v>
      </c>
      <c r="X118" s="45">
        <f t="shared" ca="1" si="161"/>
        <v>5</v>
      </c>
      <c r="Y118" s="207"/>
    </row>
    <row r="119" spans="1:40" ht="16.5" thickBot="1" x14ac:dyDescent="0.3">
      <c r="A119" s="213"/>
      <c r="B119" s="60">
        <f>IF(Fixture!C118,Fixture!C118,"")</f>
        <v>45802</v>
      </c>
      <c r="C119" s="58">
        <v>0.52777777777777701</v>
      </c>
      <c r="D119" s="82" t="str">
        <f t="shared" ca="1" si="136"/>
        <v>Finalizado</v>
      </c>
      <c r="E119" s="207"/>
      <c r="F119" s="43">
        <f>+Fixture!B118</f>
        <v>117</v>
      </c>
      <c r="G119" s="42" t="str">
        <f>IF(VLOOKUP(F119,Fixture!$B$2:$F$137,3,FALSE)&lt;&gt;0,VLOOKUP(F119,Fixture!$B$2:$F$137,3,FALSE),"")</f>
        <v>Atalanta</v>
      </c>
      <c r="H119" s="44">
        <f ca="1">IF($D119="Finalizado",_xlfn.XLOOKUP(G119,Resumen!$A$6:$A$22,Resumen!BF$6:BF$22,0),"")</f>
        <v>2</v>
      </c>
      <c r="I119" s="44">
        <f ca="1">IF($D119="Finalizado",_xlfn.XLOOKUP(G119,Resumen!$A$6:$A$22,Resumen!BG$6:BG$22,0),"")</f>
        <v>0</v>
      </c>
      <c r="J119" s="44">
        <f ca="1">IF($D119="Finalizado",_xlfn.XLOOKUP(G119,Resumen!$A$6:$A$22,Resumen!BH$6:BH$22,0)+_xlfn.XLOOKUP(G119,Resumen!$A$6:$A$22,Resumen!BI$6:BI$22,0),"")</f>
        <v>0</v>
      </c>
      <c r="K119" s="44">
        <f t="shared" ca="1" si="168"/>
        <v>0</v>
      </c>
      <c r="L119" s="44">
        <f t="shared" ca="1" si="256"/>
        <v>0</v>
      </c>
      <c r="M119" s="44">
        <f t="shared" ca="1" si="257"/>
        <v>1</v>
      </c>
      <c r="N119" s="44">
        <f t="shared" ca="1" si="258"/>
        <v>1</v>
      </c>
      <c r="O119" s="45">
        <f t="shared" ca="1" si="259"/>
        <v>0</v>
      </c>
      <c r="P119" s="42" t="str">
        <f>IF(VLOOKUP(F119,Fixture!$B$2:$F$137,5,FALSE)&lt;&gt;0,VLOOKUP(F119,Fixture!$B$2:$F$137,5,FALSE),"")</f>
        <v>La Nueva Era</v>
      </c>
      <c r="Q119" s="44">
        <f ca="1">IF($D119="Finalizado",_xlfn.XLOOKUP(P119,Resumen!$A$6:$A$22,Resumen!BF$6:BF$22,0),"")</f>
        <v>5</v>
      </c>
      <c r="R119" s="44">
        <f ca="1">IF($D119="Finalizado",_xlfn.XLOOKUP(P119,Resumen!$A$6:$A$22,Resumen!BG$6:BG$22,0),"")</f>
        <v>0</v>
      </c>
      <c r="S119" s="44">
        <f ca="1">IF($D119="Finalizado",_xlfn.XLOOKUP(P119,Resumen!$A$6:$A$22,Resumen!BH$6:BH$22,0)+_xlfn.XLOOKUP(P119,Resumen!$A$6:$A$22,Resumen!BI$6:BI$22,0),"")</f>
        <v>0</v>
      </c>
      <c r="T119" s="44">
        <f t="shared" ca="1" si="159"/>
        <v>1</v>
      </c>
      <c r="U119" s="44">
        <f t="shared" ca="1" si="169"/>
        <v>0</v>
      </c>
      <c r="V119" s="44">
        <f t="shared" ca="1" si="170"/>
        <v>0</v>
      </c>
      <c r="W119" s="44">
        <f t="shared" ca="1" si="160"/>
        <v>1</v>
      </c>
      <c r="X119" s="45">
        <f t="shared" ca="1" si="161"/>
        <v>0</v>
      </c>
      <c r="Y119" s="207"/>
    </row>
    <row r="120" spans="1:40" ht="16.5" thickBot="1" x14ac:dyDescent="0.3">
      <c r="A120" s="213"/>
      <c r="B120" s="60">
        <f>IF(Fixture!C119,Fixture!C119,"")</f>
        <v>45802</v>
      </c>
      <c r="C120" s="58">
        <v>0.57638888888888895</v>
      </c>
      <c r="D120" s="82" t="str">
        <f t="shared" ca="1" si="136"/>
        <v>Finalizado</v>
      </c>
      <c r="E120" s="207"/>
      <c r="F120" s="43">
        <f>+Fixture!B119</f>
        <v>118</v>
      </c>
      <c r="G120" s="42" t="str">
        <f>IF(VLOOKUP(F120,Fixture!$B$2:$F$137,3,FALSE)&lt;&gt;0,VLOOKUP(F120,Fixture!$B$2:$F$137,3,FALSE),"")</f>
        <v>Valentín FC</v>
      </c>
      <c r="H120" s="44">
        <f ca="1">IF($D120="Finalizado",_xlfn.XLOOKUP(G120,Resumen!$A$6:$A$22,Resumen!BF$6:BF$22,0),"")</f>
        <v>2</v>
      </c>
      <c r="I120" s="44">
        <f ca="1">IF($D120="Finalizado",_xlfn.XLOOKUP(G120,Resumen!$A$6:$A$22,Resumen!BG$6:BG$22,0),"")</f>
        <v>1</v>
      </c>
      <c r="J120" s="44">
        <f ca="1">IF($D120="Finalizado",_xlfn.XLOOKUP(G120,Resumen!$A$6:$A$22,Resumen!BH$6:BH$22,0)+_xlfn.XLOOKUP(G120,Resumen!$A$6:$A$22,Resumen!BI$6:BI$22,0),"")</f>
        <v>0</v>
      </c>
      <c r="K120" s="44">
        <f t="shared" ca="1" si="168"/>
        <v>0</v>
      </c>
      <c r="L120" s="44">
        <f t="shared" ca="1" si="256"/>
        <v>1</v>
      </c>
      <c r="M120" s="44">
        <f t="shared" ca="1" si="257"/>
        <v>0</v>
      </c>
      <c r="N120" s="44">
        <f t="shared" ca="1" si="258"/>
        <v>1</v>
      </c>
      <c r="O120" s="45">
        <f t="shared" ca="1" si="259"/>
        <v>5</v>
      </c>
      <c r="P120" s="42" t="str">
        <f>IF(VLOOKUP(F120,Fixture!$B$2:$F$137,5,FALSE)&lt;&gt;0,VLOOKUP(F120,Fixture!$B$2:$F$137,5,FALSE),"")</f>
        <v>Los Amigos</v>
      </c>
      <c r="Q120" s="44">
        <f ca="1">IF($D120="Finalizado",_xlfn.XLOOKUP(P120,Resumen!$A$6:$A$22,Resumen!BF$6:BF$22,0),"")</f>
        <v>2</v>
      </c>
      <c r="R120" s="44">
        <f ca="1">IF($D120="Finalizado",_xlfn.XLOOKUP(P120,Resumen!$A$6:$A$22,Resumen!BG$6:BG$22,0),"")</f>
        <v>2</v>
      </c>
      <c r="S120" s="44">
        <f ca="1">IF($D120="Finalizado",_xlfn.XLOOKUP(P120,Resumen!$A$6:$A$22,Resumen!BH$6:BH$22,0)+_xlfn.XLOOKUP(P120,Resumen!$A$6:$A$22,Resumen!BI$6:BI$22,0),"")</f>
        <v>1</v>
      </c>
      <c r="T120" s="44">
        <f t="shared" ca="1" si="159"/>
        <v>0</v>
      </c>
      <c r="U120" s="44">
        <f t="shared" ca="1" si="169"/>
        <v>1</v>
      </c>
      <c r="V120" s="44">
        <f t="shared" ca="1" si="170"/>
        <v>0</v>
      </c>
      <c r="W120" s="44">
        <f t="shared" ca="1" si="160"/>
        <v>1</v>
      </c>
      <c r="X120" s="45">
        <f t="shared" ca="1" si="161"/>
        <v>20</v>
      </c>
      <c r="Y120" s="207"/>
    </row>
    <row r="121" spans="1:40" ht="16.5" thickBot="1" x14ac:dyDescent="0.3">
      <c r="A121" s="213"/>
      <c r="B121" s="60">
        <f>IF(Fixture!C120,Fixture!C120,"")</f>
        <v>45802</v>
      </c>
      <c r="C121" s="58">
        <v>0.625</v>
      </c>
      <c r="D121" s="82" t="str">
        <f t="shared" ca="1" si="136"/>
        <v>Finalizado</v>
      </c>
      <c r="E121" s="207"/>
      <c r="F121" s="43">
        <f>+Fixture!B120</f>
        <v>119</v>
      </c>
      <c r="G121" s="42" t="str">
        <f>IF(VLOOKUP(F121,Fixture!$B$2:$F$137,3,FALSE)&lt;&gt;0,VLOOKUP(F121,Fixture!$B$2:$F$137,3,FALSE),"")</f>
        <v>CD El Corozo</v>
      </c>
      <c r="H121" s="44">
        <f ca="1">IF($D121="Finalizado",_xlfn.XLOOKUP(G121,Resumen!$A$6:$A$22,Resumen!BF$6:BF$22,0),"")</f>
        <v>2</v>
      </c>
      <c r="I121" s="44">
        <f ca="1">IF($D121="Finalizado",_xlfn.XLOOKUP(G121,Resumen!$A$6:$A$22,Resumen!BG$6:BG$22,0),"")</f>
        <v>1</v>
      </c>
      <c r="J121" s="44">
        <f ca="1">IF($D121="Finalizado",_xlfn.XLOOKUP(G121,Resumen!$A$6:$A$22,Resumen!BH$6:BH$22,0)+_xlfn.XLOOKUP(G121,Resumen!$A$6:$A$22,Resumen!BI$6:BI$22,0),"")</f>
        <v>0</v>
      </c>
      <c r="K121" s="44">
        <f t="shared" ref="K121" ca="1" si="266">IF(D121="Finalizado",IF(H121&gt;Q121,1,0),"")</f>
        <v>0</v>
      </c>
      <c r="L121" s="44">
        <f t="shared" ref="L121" ca="1" si="267">IF(D121="Finalizado",IF(H121=Q121,1,0),"")</f>
        <v>0</v>
      </c>
      <c r="M121" s="44">
        <f t="shared" ref="M121" ca="1" si="268">IF(D121="Finalizado",IF(H121&lt;Q121,1,0),"")</f>
        <v>1</v>
      </c>
      <c r="N121" s="44">
        <f t="shared" ref="N121" ca="1" si="269">IF(D121="Finalizado",1,"")</f>
        <v>1</v>
      </c>
      <c r="O121" s="45">
        <f t="shared" ref="O121" ca="1" si="270">IF(D121="Finalizado",SUM(I121*5,J121*10),"")</f>
        <v>5</v>
      </c>
      <c r="P121" s="42" t="str">
        <f>IF(VLOOKUP(F121,Fixture!$B$2:$F$137,5,FALSE)&lt;&gt;0,VLOOKUP(F121,Fixture!$B$2:$F$137,5,FALSE),"")</f>
        <v>La Amistad</v>
      </c>
      <c r="Q121" s="44">
        <f ca="1">IF($D121="Finalizado",_xlfn.XLOOKUP(P121,Resumen!$A$6:$A$22,Resumen!BF$6:BF$22,0),"")</f>
        <v>3</v>
      </c>
      <c r="R121" s="44">
        <f ca="1">IF($D121="Finalizado",_xlfn.XLOOKUP(P121,Resumen!$A$6:$A$22,Resumen!BG$6:BG$22,0),"")</f>
        <v>2</v>
      </c>
      <c r="S121" s="44">
        <f ca="1">IF($D121="Finalizado",_xlfn.XLOOKUP(P121,Resumen!$A$6:$A$22,Resumen!BH$6:BH$22,0)+_xlfn.XLOOKUP(P121,Resumen!$A$6:$A$22,Resumen!BI$6:BI$22,0),"")</f>
        <v>0</v>
      </c>
      <c r="T121" s="44">
        <f t="shared" ca="1" si="159"/>
        <v>1</v>
      </c>
      <c r="U121" s="44">
        <f t="shared" ca="1" si="169"/>
        <v>0</v>
      </c>
      <c r="V121" s="44">
        <f t="shared" ca="1" si="170"/>
        <v>0</v>
      </c>
      <c r="W121" s="44">
        <f t="shared" ca="1" si="160"/>
        <v>1</v>
      </c>
      <c r="X121" s="45">
        <f t="shared" ca="1" si="161"/>
        <v>10</v>
      </c>
      <c r="Y121" s="207"/>
    </row>
    <row r="122" spans="1:40" ht="16.5" thickBot="1" x14ac:dyDescent="0.3">
      <c r="A122" s="214"/>
      <c r="B122" s="60">
        <f>IF(Fixture!C121,Fixture!C121,"")</f>
        <v>45802</v>
      </c>
      <c r="C122" s="58">
        <v>0.67361111111111105</v>
      </c>
      <c r="D122" s="82" t="str">
        <f t="shared" ca="1" si="136"/>
        <v>Finalizado</v>
      </c>
      <c r="E122" s="208"/>
      <c r="F122" s="43">
        <f>+Fixture!B121</f>
        <v>120</v>
      </c>
      <c r="G122" s="42" t="str">
        <f>IF(VLOOKUP(F122,Fixture!$B$2:$F$137,3,FALSE)&lt;&gt;0,VLOOKUP(F122,Fixture!$B$2:$F$137,3,FALSE),"")</f>
        <v>Rayos FC</v>
      </c>
      <c r="H122" s="48">
        <f ca="1">IF($D122="Finalizado",_xlfn.XLOOKUP(G122,Resumen!$A$6:$A$22,Resumen!BF$6:BF$22,0),"")</f>
        <v>0</v>
      </c>
      <c r="I122" s="48">
        <f ca="1">IF($D122="Finalizado",_xlfn.XLOOKUP(G122,Resumen!$A$6:$A$22,Resumen!BG$6:BG$22,0),"")</f>
        <v>0</v>
      </c>
      <c r="J122" s="48">
        <f ca="1">IF($D122="Finalizado",_xlfn.XLOOKUP(G122,Resumen!$A$6:$A$22,Resumen!BH$6:BH$22,0)+_xlfn.XLOOKUP(G122,Resumen!$A$6:$A$22,Resumen!BI$6:BI$22,0),"")</f>
        <v>3</v>
      </c>
      <c r="K122" s="48">
        <f t="shared" ca="1" si="168"/>
        <v>0</v>
      </c>
      <c r="L122" s="48">
        <f t="shared" ca="1" si="256"/>
        <v>0</v>
      </c>
      <c r="M122" s="48">
        <f t="shared" ca="1" si="257"/>
        <v>1</v>
      </c>
      <c r="N122" s="48">
        <f t="shared" ca="1" si="258"/>
        <v>1</v>
      </c>
      <c r="O122" s="49">
        <f t="shared" ca="1" si="259"/>
        <v>30</v>
      </c>
      <c r="P122" s="42" t="str">
        <f>IF(VLOOKUP(F122,Fixture!$B$2:$F$137,5,FALSE)&lt;&gt;0,VLOOKUP(F122,Fixture!$B$2:$F$137,5,FALSE),"")</f>
        <v>Villanueva</v>
      </c>
      <c r="Q122" s="48">
        <f ca="1">IF($D122="Finalizado",_xlfn.XLOOKUP(P122,Resumen!$A$6:$A$22,Resumen!BF$6:BF$22,0),"")</f>
        <v>3</v>
      </c>
      <c r="R122" s="48">
        <f ca="1">IF($D122="Finalizado",_xlfn.XLOOKUP(P122,Resumen!$A$6:$A$22,Resumen!BG$6:BG$22,0),"")</f>
        <v>0</v>
      </c>
      <c r="S122" s="48">
        <f ca="1">IF($D122="Finalizado",_xlfn.XLOOKUP(P122,Resumen!$A$6:$A$22,Resumen!BH$6:BH$22,0)+_xlfn.XLOOKUP(P122,Resumen!$A$6:$A$22,Resumen!BI$6:BI$22,0),"")</f>
        <v>0</v>
      </c>
      <c r="T122" s="44">
        <f t="shared" ca="1" si="159"/>
        <v>1</v>
      </c>
      <c r="U122" s="44">
        <f t="shared" ca="1" si="169"/>
        <v>0</v>
      </c>
      <c r="V122" s="44">
        <f t="shared" ca="1" si="170"/>
        <v>0</v>
      </c>
      <c r="W122" s="48">
        <f t="shared" ca="1" si="160"/>
        <v>1</v>
      </c>
      <c r="X122" s="49">
        <f t="shared" ca="1" si="161"/>
        <v>0</v>
      </c>
      <c r="Y122" s="208"/>
      <c r="AA122" s="40" t="s">
        <v>122</v>
      </c>
      <c r="AB122" s="40"/>
      <c r="AC122" s="41" t="s">
        <v>2</v>
      </c>
      <c r="AD122" s="40" t="s">
        <v>115</v>
      </c>
      <c r="AE122" s="40" t="s">
        <v>116</v>
      </c>
      <c r="AF122" s="40" t="s">
        <v>117</v>
      </c>
      <c r="AG122" s="40" t="s">
        <v>123</v>
      </c>
      <c r="AH122" s="40" t="s">
        <v>124</v>
      </c>
      <c r="AI122" s="40" t="s">
        <v>125</v>
      </c>
      <c r="AJ122" s="40" t="s">
        <v>126</v>
      </c>
      <c r="AK122" s="40" t="s">
        <v>127</v>
      </c>
      <c r="AL122" s="40" t="s">
        <v>119</v>
      </c>
      <c r="AM122"/>
    </row>
    <row r="123" spans="1:40" ht="16.5" thickBot="1" x14ac:dyDescent="0.3">
      <c r="A123" s="209" t="s">
        <v>20</v>
      </c>
      <c r="B123" s="60">
        <f>IF(Fixture!C122,Fixture!C122,"")</f>
        <v>45816</v>
      </c>
      <c r="C123" s="58">
        <v>0.33333333333333331</v>
      </c>
      <c r="D123" s="82" t="str">
        <f t="shared" ca="1" si="136"/>
        <v>Finalizado</v>
      </c>
      <c r="E123" s="197" t="s">
        <v>114</v>
      </c>
      <c r="F123" s="43">
        <f>+Fixture!B122</f>
        <v>121</v>
      </c>
      <c r="G123" s="42" t="str">
        <f>IF(VLOOKUP(F123,Fixture!$B$2:$F$137,3,FALSE)&lt;&gt;0,VLOOKUP(F123,Fixture!$B$2:$F$137,3,FALSE),"")</f>
        <v>Villanueva</v>
      </c>
      <c r="H123" s="44">
        <f ca="1">IF($D123="Finalizado",_xlfn.XLOOKUP(G123,Resumen!$A$6:$A$22,Resumen!BJ$6:BJ$22,0),"")</f>
        <v>3</v>
      </c>
      <c r="I123" s="44">
        <f ca="1">IF($D123="Finalizado",_xlfn.XLOOKUP(G123,Resumen!$A$6:$A$22,Resumen!BK$6:BK$22,0),"")</f>
        <v>1</v>
      </c>
      <c r="J123" s="44">
        <f ca="1">IF($D123="Finalizado",_xlfn.XLOOKUP(G123,Resumen!$A$6:$A$22,Resumen!BL$6:BL$22,0)+_xlfn.XLOOKUP(G123,Resumen!$A$6:$A$22,Resumen!BM$6:BM$22,0),"")</f>
        <v>0</v>
      </c>
      <c r="K123" s="44">
        <f t="shared" ca="1" si="168"/>
        <v>1</v>
      </c>
      <c r="L123" s="44">
        <f t="shared" ca="1" si="256"/>
        <v>0</v>
      </c>
      <c r="M123" s="44">
        <f t="shared" ca="1" si="257"/>
        <v>0</v>
      </c>
      <c r="N123" s="44">
        <f t="shared" ca="1" si="258"/>
        <v>1</v>
      </c>
      <c r="O123" s="45">
        <f t="shared" ca="1" si="259"/>
        <v>5</v>
      </c>
      <c r="P123" s="42" t="str">
        <f>IF(VLOOKUP(F123,Fixture!$B$2:$F$137,5,FALSE)&lt;&gt;0,VLOOKUP(F123,Fixture!$B$2:$F$137,5,FALSE),"")</f>
        <v>Konami</v>
      </c>
      <c r="Q123" s="44">
        <f ca="1">IF($D123="Finalizado",_xlfn.XLOOKUP(P123,Resumen!$A$6:$A$22,Resumen!BJ$6:BJ$22,0),"")</f>
        <v>0</v>
      </c>
      <c r="R123" s="44">
        <f ca="1">IF($D123="Finalizado",_xlfn.XLOOKUP(P123,Resumen!$A$6:$A$22,Resumen!BK$6:BK$22,0),"")</f>
        <v>1</v>
      </c>
      <c r="S123" s="44">
        <f ca="1">IF($D123="Finalizado",_xlfn.XLOOKUP(P123,Resumen!$A$6:$A$22,Resumen!BL$6:BL$22,0)+_xlfn.XLOOKUP(P123,Resumen!$A$6:$A$22,Resumen!BM$6:BM$22,0),"")</f>
        <v>0</v>
      </c>
      <c r="T123" s="44">
        <f t="shared" ca="1" si="159"/>
        <v>0</v>
      </c>
      <c r="U123" s="44">
        <f t="shared" ca="1" si="169"/>
        <v>0</v>
      </c>
      <c r="V123" s="44">
        <f t="shared" ca="1" si="170"/>
        <v>1</v>
      </c>
      <c r="W123" s="44">
        <f t="shared" ca="1" si="160"/>
        <v>1</v>
      </c>
      <c r="X123" s="45">
        <f t="shared" ca="1" si="161"/>
        <v>5</v>
      </c>
      <c r="Y123" s="197" t="str">
        <f>+A123</f>
        <v>Fecha 16</v>
      </c>
      <c r="AA123" s="19">
        <v>1</v>
      </c>
      <c r="AB123" s="19">
        <f ca="1">AJ123*1000+IF($D$123="Finalizado",AA130*10,0)+(AG123)+(AI123/10)+(AD123/1000)+IF(AL123&gt;0,(0.1/AL123),0)</f>
        <v>16117.405833333332</v>
      </c>
      <c r="AC123" s="46" t="s">
        <v>327</v>
      </c>
      <c r="AD123">
        <f ca="1">SUMIF($G$123:$G$171,AC123,$K$123:$K$171)+SUMIF($P$123:$P$171,AC123,$T$123:$T$171)</f>
        <v>5</v>
      </c>
      <c r="AE123">
        <f ca="1">SUMIF($G$123:$G$171,AC123,$L$123:$L$171)+SUMIF($P$123:$P$171,AC123,$U$123:$U$171)</f>
        <v>1</v>
      </c>
      <c r="AF123">
        <f ca="1">SUMIF($G$123:$G$171,AC123,$M$123:$M$171)+SUMIF($P$123:$P$171,AC123,$V$123:$V$171)</f>
        <v>1</v>
      </c>
      <c r="AG123">
        <f ca="1">SUMIF($G$123:$G$171,AC123,$H$123:$H$171)+SUMIF($P$123:$P$171,AC123,$Q$123:$Q$171)</f>
        <v>35</v>
      </c>
      <c r="AH123">
        <f ca="1">SUMIF($G$123:$G$171,AC123,$Q$123:$Q$171)+SUMIF($P$123:$P$171,AC123,$H$123:$H$171)</f>
        <v>11</v>
      </c>
      <c r="AI123">
        <f ca="1">+AG123-AH123</f>
        <v>24</v>
      </c>
      <c r="AJ123">
        <f ca="1">AD123*3+AE123*1</f>
        <v>16</v>
      </c>
      <c r="AK123">
        <f ca="1">SUMIF($G$123:$G$171,AC123,$N$123:$N$171)+SUMIF($P$123:$P$171,AC123,$W$123:$W$171)</f>
        <v>7</v>
      </c>
      <c r="AL123">
        <f ca="1">SUMIF($G$71:$G$123,AC123,$O$123:$O$171)+SUMIF($P$123:$P$171,AC123,$X$123:$X$171)</f>
        <v>120</v>
      </c>
      <c r="AM123">
        <f ca="1">LARGE($AB$123:$AB$130,AA123)</f>
        <v>18071.207111111115</v>
      </c>
      <c r="AN123" s="1" t="s">
        <v>90</v>
      </c>
    </row>
    <row r="124" spans="1:40" ht="16.5" thickBot="1" x14ac:dyDescent="0.3">
      <c r="A124" s="210"/>
      <c r="B124" s="60">
        <f>IF(Fixture!C123,Fixture!C123,"")</f>
        <v>45816</v>
      </c>
      <c r="C124" s="58">
        <v>0.38194444444444442</v>
      </c>
      <c r="D124" s="82" t="str">
        <f t="shared" ca="1" si="136"/>
        <v>Finalizado</v>
      </c>
      <c r="E124" s="198"/>
      <c r="F124" s="43">
        <f>+Fixture!B123</f>
        <v>122</v>
      </c>
      <c r="G124" s="42" t="str">
        <f>IF(VLOOKUP(F124,Fixture!$B$2:$F$137,3,FALSE)&lt;&gt;0,VLOOKUP(F124,Fixture!$B$2:$F$137,3,FALSE),"")</f>
        <v>La Nueva Era</v>
      </c>
      <c r="H124" s="44">
        <f ca="1">IF($D124="Finalizado",_xlfn.XLOOKUP(G124,Resumen!$A$6:$A$22,Resumen!BJ$6:BJ$22,0),"")</f>
        <v>0</v>
      </c>
      <c r="I124" s="44">
        <f ca="1">IF($D124="Finalizado",_xlfn.XLOOKUP(G124,Resumen!$A$6:$A$22,Resumen!BK$6:BK$22,0),"")</f>
        <v>0</v>
      </c>
      <c r="J124" s="44">
        <f ca="1">IF($D124="Finalizado",_xlfn.XLOOKUP(G124,Resumen!$A$6:$A$22,Resumen!BL$6:BL$22,0)+_xlfn.XLOOKUP(G124,Resumen!$A$6:$A$22,Resumen!BM$6:BM$22,0),"")</f>
        <v>0</v>
      </c>
      <c r="K124" s="44">
        <f t="shared" ca="1" si="168"/>
        <v>0</v>
      </c>
      <c r="L124" s="44">
        <f t="shared" ca="1" si="256"/>
        <v>0</v>
      </c>
      <c r="M124" s="44">
        <f t="shared" ca="1" si="257"/>
        <v>1</v>
      </c>
      <c r="N124" s="44">
        <f t="shared" ca="1" si="258"/>
        <v>1</v>
      </c>
      <c r="O124" s="45">
        <f t="shared" ca="1" si="259"/>
        <v>0</v>
      </c>
      <c r="P124" s="42" t="str">
        <f>IF(VLOOKUP(F124,Fixture!$B$2:$F$137,5,FALSE)&lt;&gt;0,VLOOKUP(F124,Fixture!$B$2:$F$137,5,FALSE),"")</f>
        <v>La Amistad</v>
      </c>
      <c r="Q124" s="44">
        <f ca="1">IF($D124="Finalizado",_xlfn.XLOOKUP(P124,Resumen!$A$6:$A$22,Resumen!BJ$6:BJ$22,0),"")</f>
        <v>9</v>
      </c>
      <c r="R124" s="44">
        <f ca="1">IF($D124="Finalizado",_xlfn.XLOOKUP(P124,Resumen!$A$6:$A$22,Resumen!BK$6:BK$22,0),"")</f>
        <v>0</v>
      </c>
      <c r="S124" s="44">
        <f ca="1">IF($D124="Finalizado",_xlfn.XLOOKUP(P124,Resumen!$A$6:$A$22,Resumen!BL$6:BL$22,0)+_xlfn.XLOOKUP(P124,Resumen!$A$6:$A$22,Resumen!BM$6:BM$22,0),"")</f>
        <v>0</v>
      </c>
      <c r="T124" s="44">
        <f t="shared" ca="1" si="159"/>
        <v>1</v>
      </c>
      <c r="U124" s="44">
        <f t="shared" ca="1" si="169"/>
        <v>0</v>
      </c>
      <c r="V124" s="44">
        <f t="shared" ca="1" si="170"/>
        <v>0</v>
      </c>
      <c r="W124" s="44">
        <f t="shared" ca="1" si="160"/>
        <v>1</v>
      </c>
      <c r="X124" s="45">
        <f t="shared" ca="1" si="161"/>
        <v>0</v>
      </c>
      <c r="Y124" s="198"/>
      <c r="AA124" s="19">
        <v>2</v>
      </c>
      <c r="AB124" s="19">
        <f ca="1">AJ124*1000+IF($D$123="Finalizado",AA129*10,0)+(AG124)+(AI124/10)+(AD124/1000)+IF(AL124&gt;0,(0.1/AL124),0)</f>
        <v>14095.908000000001</v>
      </c>
      <c r="AC124" s="46" t="s">
        <v>337</v>
      </c>
      <c r="AD124">
        <f t="shared" ref="AD124:AD130" ca="1" si="271">SUMIF($G$123:$G$171,AC124,$K$123:$K$171)+SUMIF($P$123:$P$171,AC124,$T$123:$T$171)</f>
        <v>4</v>
      </c>
      <c r="AE124">
        <f t="shared" ref="AE124:AE130" ca="1" si="272">SUMIF($G$123:$G$171,AC124,$L$123:$L$171)+SUMIF($P$123:$P$171,AC124,$U$123:$U$171)</f>
        <v>2</v>
      </c>
      <c r="AF124">
        <f t="shared" ref="AF124:AF130" ca="1" si="273">SUMIF($G$123:$G$171,AC124,$M$123:$M$171)+SUMIF($P$123:$P$171,AC124,$V$123:$V$171)</f>
        <v>1</v>
      </c>
      <c r="AG124">
        <f t="shared" ref="AG124:AG130" ca="1" si="274">SUMIF($G$123:$G$171,AC124,$H$123:$H$171)+SUMIF($P$123:$P$171,AC124,$Q$123:$Q$171)</f>
        <v>25</v>
      </c>
      <c r="AH124">
        <f t="shared" ref="AH124:AH130" ca="1" si="275">SUMIF($G$123:$G$171,AC124,$Q$123:$Q$171)+SUMIF($P$123:$P$171,AC124,$H$123:$H$171)</f>
        <v>16</v>
      </c>
      <c r="AI124">
        <f t="shared" ref="AI124:AI130" ca="1" si="276">+AG124-AH124</f>
        <v>9</v>
      </c>
      <c r="AJ124">
        <f t="shared" ref="AJ124:AJ130" ca="1" si="277">AD124*3+AE124*1</f>
        <v>14</v>
      </c>
      <c r="AK124">
        <f t="shared" ref="AK124:AK130" ca="1" si="278">SUMIF($G$123:$G$171,AC124,$N$123:$N$171)+SUMIF($P$123:$P$171,AC124,$W$123:$W$171)</f>
        <v>7</v>
      </c>
      <c r="AL124">
        <f t="shared" ref="AL124:AL130" ca="1" si="279">SUMIF($G$71:$G$123,AC124,$O$123:$O$171)+SUMIF($P$123:$P$171,AC124,$X$123:$X$171)</f>
        <v>25</v>
      </c>
      <c r="AM124">
        <f t="shared" ref="AM124:AM130" ca="1" si="280">LARGE($AB$123:$AB$130,AA124)</f>
        <v>16117.405833333332</v>
      </c>
    </row>
    <row r="125" spans="1:40" ht="16.5" thickBot="1" x14ac:dyDescent="0.3">
      <c r="A125" s="210"/>
      <c r="B125" s="60">
        <f>IF(Fixture!C124,Fixture!C124,"")</f>
        <v>45816</v>
      </c>
      <c r="C125" s="58">
        <v>0.43055555555555602</v>
      </c>
      <c r="D125" s="82" t="str">
        <f t="shared" ca="1" si="136"/>
        <v>Finalizado</v>
      </c>
      <c r="E125" s="198"/>
      <c r="F125" s="43">
        <f>+Fixture!B124</f>
        <v>123</v>
      </c>
      <c r="G125" s="42" t="str">
        <f>IF(VLOOKUP(F125,Fixture!$B$2:$F$137,3,FALSE)&lt;&gt;0,VLOOKUP(F125,Fixture!$B$2:$F$137,3,FALSE),"")</f>
        <v>Valentín FC</v>
      </c>
      <c r="H125" s="44">
        <f ca="1">IF($D125="Finalizado",_xlfn.XLOOKUP(G125,Resumen!$A$6:$A$22,Resumen!BJ$6:BJ$22,0),"")</f>
        <v>0</v>
      </c>
      <c r="I125" s="44">
        <f ca="1">IF($D125="Finalizado",_xlfn.XLOOKUP(G125,Resumen!$A$6:$A$22,Resumen!BK$6:BK$22,0),"")</f>
        <v>2</v>
      </c>
      <c r="J125" s="44">
        <f ca="1">IF($D125="Finalizado",_xlfn.XLOOKUP(G125,Resumen!$A$6:$A$22,Resumen!BL$6:BL$22,0)+_xlfn.XLOOKUP(G125,Resumen!$A$6:$A$22,Resumen!BM$6:BM$22,0),"")</f>
        <v>1</v>
      </c>
      <c r="K125" s="44">
        <f t="shared" ca="1" si="168"/>
        <v>0</v>
      </c>
      <c r="L125" s="44">
        <f t="shared" ca="1" si="256"/>
        <v>0</v>
      </c>
      <c r="M125" s="44">
        <f t="shared" ca="1" si="257"/>
        <v>1</v>
      </c>
      <c r="N125" s="44">
        <f t="shared" ca="1" si="258"/>
        <v>1</v>
      </c>
      <c r="O125" s="45">
        <f t="shared" ca="1" si="259"/>
        <v>20</v>
      </c>
      <c r="P125" s="42" t="str">
        <f>IF(VLOOKUP(F125,Fixture!$B$2:$F$137,5,FALSE)&lt;&gt;0,VLOOKUP(F125,Fixture!$B$2:$F$137,5,FALSE),"")</f>
        <v>Los Amigos</v>
      </c>
      <c r="Q125" s="44">
        <f ca="1">IF($D125="Finalizado",_xlfn.XLOOKUP(P125,Resumen!$A$6:$A$22,Resumen!BJ$6:BJ$22,0),"")</f>
        <v>4</v>
      </c>
      <c r="R125" s="44">
        <f ca="1">IF($D125="Finalizado",_xlfn.XLOOKUP(P125,Resumen!$A$6:$A$22,Resumen!BK$6:BK$22,0),"")</f>
        <v>2</v>
      </c>
      <c r="S125" s="44">
        <f ca="1">IF($D125="Finalizado",_xlfn.XLOOKUP(P125,Resumen!$A$6:$A$22,Resumen!BL$6:BL$22,0)+_xlfn.XLOOKUP(P125,Resumen!$A$6:$A$22,Resumen!BM$6:BM$22,0),"")</f>
        <v>0</v>
      </c>
      <c r="T125" s="44">
        <f t="shared" ca="1" si="159"/>
        <v>1</v>
      </c>
      <c r="U125" s="44">
        <f t="shared" ca="1" si="169"/>
        <v>0</v>
      </c>
      <c r="V125" s="44">
        <f t="shared" ca="1" si="170"/>
        <v>0</v>
      </c>
      <c r="W125" s="44">
        <f t="shared" ca="1" si="160"/>
        <v>1</v>
      </c>
      <c r="X125" s="45">
        <f t="shared" ca="1" si="161"/>
        <v>10</v>
      </c>
      <c r="Y125" s="198"/>
      <c r="AA125" s="19">
        <v>3</v>
      </c>
      <c r="AB125" s="19">
        <f ca="1">AJ125*1000+IF($D$123="Finalizado",AA128*10,0)+(AG125)+(AI125/10)+(AD125/1000)+IF(AL125&gt;0,(0.1/AL125),0)</f>
        <v>16093.508333333333</v>
      </c>
      <c r="AC125" s="46" t="s">
        <v>333</v>
      </c>
      <c r="AD125">
        <f t="shared" ca="1" si="271"/>
        <v>5</v>
      </c>
      <c r="AE125">
        <f t="shared" ca="1" si="272"/>
        <v>1</v>
      </c>
      <c r="AF125">
        <f t="shared" ca="1" si="273"/>
        <v>1</v>
      </c>
      <c r="AG125">
        <f t="shared" ca="1" si="274"/>
        <v>32</v>
      </c>
      <c r="AH125">
        <f t="shared" ca="1" si="275"/>
        <v>17</v>
      </c>
      <c r="AI125">
        <f t="shared" ca="1" si="276"/>
        <v>15</v>
      </c>
      <c r="AJ125">
        <f t="shared" ca="1" si="277"/>
        <v>16</v>
      </c>
      <c r="AK125">
        <f t="shared" ca="1" si="278"/>
        <v>7</v>
      </c>
      <c r="AL125">
        <f t="shared" ca="1" si="279"/>
        <v>30</v>
      </c>
      <c r="AM125">
        <f t="shared" ca="1" si="280"/>
        <v>16093.508333333333</v>
      </c>
    </row>
    <row r="126" spans="1:40" ht="16.5" thickBot="1" x14ac:dyDescent="0.3">
      <c r="A126" s="210"/>
      <c r="B126" s="60">
        <f>IF(Fixture!C125,Fixture!C125,"")</f>
        <v>45816</v>
      </c>
      <c r="C126" s="58">
        <v>0.47916666666666602</v>
      </c>
      <c r="D126" s="82" t="str">
        <f t="shared" ca="1" si="136"/>
        <v>Finalizado</v>
      </c>
      <c r="E126" s="198"/>
      <c r="F126" s="43">
        <f>+Fixture!B125</f>
        <v>124</v>
      </c>
      <c r="G126" s="42" t="str">
        <f>IF(VLOOKUP(F126,Fixture!$B$2:$F$137,3,FALSE)&lt;&gt;0,VLOOKUP(F126,Fixture!$B$2:$F$137,3,FALSE),"")</f>
        <v>Hojas Anchas</v>
      </c>
      <c r="H126" s="44">
        <f ca="1">IF($D126="Finalizado",_xlfn.XLOOKUP(G126,Resumen!$A$6:$A$22,Resumen!BJ$6:BJ$22,0),"")</f>
        <v>8</v>
      </c>
      <c r="I126" s="44">
        <f ca="1">IF($D126="Finalizado",_xlfn.XLOOKUP(G126,Resumen!$A$6:$A$22,Resumen!BK$6:BK$22,0),"")</f>
        <v>4</v>
      </c>
      <c r="J126" s="44">
        <f ca="1">IF($D126="Finalizado",_xlfn.XLOOKUP(G126,Resumen!$A$6:$A$22,Resumen!BL$6:BL$22,0)+_xlfn.XLOOKUP(G126,Resumen!$A$6:$A$22,Resumen!BM$6:BM$22,0),"")</f>
        <v>0</v>
      </c>
      <c r="K126" s="44">
        <f t="shared" ca="1" si="168"/>
        <v>1</v>
      </c>
      <c r="L126" s="44">
        <f t="shared" ca="1" si="256"/>
        <v>0</v>
      </c>
      <c r="M126" s="44">
        <f t="shared" ca="1" si="257"/>
        <v>0</v>
      </c>
      <c r="N126" s="44">
        <f t="shared" ca="1" si="258"/>
        <v>1</v>
      </c>
      <c r="O126" s="45">
        <f t="shared" ca="1" si="259"/>
        <v>20</v>
      </c>
      <c r="P126" s="42" t="str">
        <f>IF(VLOOKUP(F126,Fixture!$B$2:$F$137,5,FALSE)&lt;&gt;0,VLOOKUP(F126,Fixture!$B$2:$F$137,5,FALSE),"")</f>
        <v>Los Aliados</v>
      </c>
      <c r="Q126" s="44">
        <f ca="1">IF($D126="Finalizado",_xlfn.XLOOKUP(P126,Resumen!$A$6:$A$22,Resumen!BJ$6:BJ$22,0),"")</f>
        <v>3</v>
      </c>
      <c r="R126" s="44">
        <f ca="1">IF($D126="Finalizado",_xlfn.XLOOKUP(P126,Resumen!$A$6:$A$22,Resumen!BK$6:BK$22,0),"")</f>
        <v>1</v>
      </c>
      <c r="S126" s="44">
        <f ca="1">IF($D126="Finalizado",_xlfn.XLOOKUP(P126,Resumen!$A$6:$A$22,Resumen!BL$6:BL$22,0)+_xlfn.XLOOKUP(P126,Resumen!$A$6:$A$22,Resumen!BM$6:BM$22,0),"")</f>
        <v>0</v>
      </c>
      <c r="T126" s="44">
        <f t="shared" ca="1" si="159"/>
        <v>0</v>
      </c>
      <c r="U126" s="44">
        <f t="shared" ca="1" si="169"/>
        <v>0</v>
      </c>
      <c r="V126" s="44">
        <f t="shared" ca="1" si="170"/>
        <v>1</v>
      </c>
      <c r="W126" s="44">
        <f t="shared" ca="1" si="160"/>
        <v>1</v>
      </c>
      <c r="X126" s="45">
        <f t="shared" ca="1" si="161"/>
        <v>5</v>
      </c>
      <c r="Y126" s="198"/>
      <c r="AA126" s="19">
        <v>4</v>
      </c>
      <c r="AB126" s="19">
        <f ca="1">AJ126*1000+IF($D$123="Finalizado",AA127*10,0)+(AG126)+(AI126/10)+(AD126/1000)+IF(AL126&gt;0,(0.1/AL126),0)</f>
        <v>1059.2018181818182</v>
      </c>
      <c r="AC126" s="46" t="s">
        <v>332</v>
      </c>
      <c r="AD126">
        <f t="shared" ca="1" si="271"/>
        <v>0</v>
      </c>
      <c r="AE126">
        <f t="shared" ca="1" si="272"/>
        <v>1</v>
      </c>
      <c r="AF126">
        <f t="shared" ca="1" si="273"/>
        <v>6</v>
      </c>
      <c r="AG126">
        <f t="shared" ca="1" si="274"/>
        <v>11</v>
      </c>
      <c r="AH126">
        <f t="shared" ca="1" si="275"/>
        <v>29</v>
      </c>
      <c r="AI126">
        <f t="shared" ca="1" si="276"/>
        <v>-18</v>
      </c>
      <c r="AJ126">
        <f t="shared" ca="1" si="277"/>
        <v>1</v>
      </c>
      <c r="AK126">
        <f t="shared" ca="1" si="278"/>
        <v>7</v>
      </c>
      <c r="AL126">
        <f t="shared" ca="1" si="279"/>
        <v>55</v>
      </c>
      <c r="AM126">
        <f t="shared" ca="1" si="280"/>
        <v>14095.908000000001</v>
      </c>
    </row>
    <row r="127" spans="1:40" ht="16.5" thickBot="1" x14ac:dyDescent="0.3">
      <c r="A127" s="210"/>
      <c r="B127" s="60">
        <f>IF(Fixture!C126,Fixture!C126,"")</f>
        <v>45816</v>
      </c>
      <c r="C127" s="58">
        <v>0.52777777777777701</v>
      </c>
      <c r="D127" s="82" t="str">
        <f t="shared" ca="1" si="136"/>
        <v>Finalizado</v>
      </c>
      <c r="E127" s="198"/>
      <c r="F127" s="43">
        <f>+Fixture!B126</f>
        <v>125</v>
      </c>
      <c r="G127" s="42" t="str">
        <f>IF(VLOOKUP(F127,Fixture!$B$2:$F$137,3,FALSE)&lt;&gt;0,VLOOKUP(F127,Fixture!$B$2:$F$137,3,FALSE),"")</f>
        <v>Amenadim</v>
      </c>
      <c r="H127" s="44">
        <f ca="1">IF($D127="Finalizado",_xlfn.XLOOKUP(G127,Resumen!$A$6:$A$22,Resumen!BJ$6:BJ$22,0),"")</f>
        <v>5</v>
      </c>
      <c r="I127" s="44">
        <f ca="1">IF($D127="Finalizado",_xlfn.XLOOKUP(G127,Resumen!$A$6:$A$22,Resumen!BK$6:BK$22,0),"")</f>
        <v>1</v>
      </c>
      <c r="J127" s="44">
        <f ca="1">IF($D127="Finalizado",_xlfn.XLOOKUP(G127,Resumen!$A$6:$A$22,Resumen!BL$6:BL$22,0)+_xlfn.XLOOKUP(G127,Resumen!$A$6:$A$22,Resumen!BM$6:BM$22,0),"")</f>
        <v>0</v>
      </c>
      <c r="K127" s="44">
        <f t="shared" ca="1" si="168"/>
        <v>1</v>
      </c>
      <c r="L127" s="44">
        <f t="shared" ca="1" si="256"/>
        <v>0</v>
      </c>
      <c r="M127" s="44">
        <f t="shared" ca="1" si="257"/>
        <v>0</v>
      </c>
      <c r="N127" s="44">
        <f t="shared" ca="1" si="258"/>
        <v>1</v>
      </c>
      <c r="O127" s="45">
        <f t="shared" ca="1" si="259"/>
        <v>5</v>
      </c>
      <c r="P127" s="42" t="str">
        <f>IF(VLOOKUP(F127,Fixture!$B$2:$F$137,5,FALSE)&lt;&gt;0,VLOOKUP(F127,Fixture!$B$2:$F$137,5,FALSE),"")</f>
        <v>Deportivo Fénix</v>
      </c>
      <c r="Q127" s="44">
        <f ca="1">IF($D127="Finalizado",_xlfn.XLOOKUP(P127,Resumen!$A$6:$A$22,Resumen!BJ$6:BJ$22,0),"")</f>
        <v>3</v>
      </c>
      <c r="R127" s="44">
        <f ca="1">IF($D127="Finalizado",_xlfn.XLOOKUP(P127,Resumen!$A$6:$A$22,Resumen!BK$6:BK$22,0),"")</f>
        <v>0</v>
      </c>
      <c r="S127" s="44">
        <f ca="1">IF($D127="Finalizado",_xlfn.XLOOKUP(P127,Resumen!$A$6:$A$22,Resumen!BL$6:BL$22,0)+_xlfn.XLOOKUP(P127,Resumen!$A$6:$A$22,Resumen!BM$6:BM$22,0),"")</f>
        <v>0</v>
      </c>
      <c r="T127" s="44">
        <f t="shared" ca="1" si="159"/>
        <v>0</v>
      </c>
      <c r="U127" s="44">
        <f t="shared" ca="1" si="169"/>
        <v>0</v>
      </c>
      <c r="V127" s="44">
        <f t="shared" ca="1" si="170"/>
        <v>1</v>
      </c>
      <c r="W127" s="44">
        <f t="shared" ca="1" si="160"/>
        <v>1</v>
      </c>
      <c r="X127" s="45">
        <f t="shared" ca="1" si="161"/>
        <v>0</v>
      </c>
      <c r="Y127" s="198"/>
      <c r="AA127" s="19">
        <v>5</v>
      </c>
      <c r="AB127" s="19">
        <f ca="1">AJ127*1000+IF($D$123="Finalizado",AA126*10,0)+(AG127)+(AI127/10)+(AD127/1000)+IF(AL127&gt;0,(0.1/AL127),0)</f>
        <v>18071.207111111115</v>
      </c>
      <c r="AC127" s="46" t="s">
        <v>339</v>
      </c>
      <c r="AD127">
        <f t="shared" ca="1" si="271"/>
        <v>6</v>
      </c>
      <c r="AE127">
        <f t="shared" ca="1" si="272"/>
        <v>0</v>
      </c>
      <c r="AF127">
        <f t="shared" ca="1" si="273"/>
        <v>1</v>
      </c>
      <c r="AG127">
        <f t="shared" ca="1" si="274"/>
        <v>29</v>
      </c>
      <c r="AH127">
        <f t="shared" ca="1" si="275"/>
        <v>7</v>
      </c>
      <c r="AI127">
        <f t="shared" ca="1" si="276"/>
        <v>22</v>
      </c>
      <c r="AJ127">
        <f t="shared" ca="1" si="277"/>
        <v>18</v>
      </c>
      <c r="AK127">
        <f t="shared" ca="1" si="278"/>
        <v>7</v>
      </c>
      <c r="AL127">
        <f t="shared" ca="1" si="279"/>
        <v>90</v>
      </c>
      <c r="AM127">
        <f t="shared" ca="1" si="280"/>
        <v>7034.902714285714</v>
      </c>
    </row>
    <row r="128" spans="1:40" ht="16.5" thickBot="1" x14ac:dyDescent="0.3">
      <c r="A128" s="210"/>
      <c r="B128" s="60">
        <f>IF(Fixture!C127,Fixture!C127,"")</f>
        <v>45816</v>
      </c>
      <c r="C128" s="58">
        <v>0.57638888888888895</v>
      </c>
      <c r="D128" s="82" t="str">
        <f t="shared" ca="1" si="136"/>
        <v>Finalizado</v>
      </c>
      <c r="E128" s="198"/>
      <c r="F128" s="43">
        <f>+Fixture!B127</f>
        <v>126</v>
      </c>
      <c r="G128" s="42" t="str">
        <f>IF(VLOOKUP(F128,Fixture!$B$2:$F$137,3,FALSE)&lt;&gt;0,VLOOKUP(F128,Fixture!$B$2:$F$137,3,FALSE),"")</f>
        <v>Atalanta</v>
      </c>
      <c r="H128" s="44">
        <f ca="1">IF($D128="Finalizado",_xlfn.XLOOKUP(G128,Resumen!$A$6:$A$22,Resumen!BJ$6:BJ$22,0),"")</f>
        <v>0</v>
      </c>
      <c r="I128" s="44">
        <f ca="1">IF($D128="Finalizado",_xlfn.XLOOKUP(G128,Resumen!$A$6:$A$22,Resumen!BK$6:BK$22,0),"")</f>
        <v>0</v>
      </c>
      <c r="J128" s="44">
        <f ca="1">IF($D128="Finalizado",_xlfn.XLOOKUP(G128,Resumen!$A$6:$A$22,Resumen!BL$6:BL$22,0)+_xlfn.XLOOKUP(G128,Resumen!$A$6:$A$22,Resumen!BM$6:BM$22,0),"")</f>
        <v>0</v>
      </c>
      <c r="K128" s="44">
        <f t="shared" ref="K128:K129" ca="1" si="281">IF(D128="Finalizado",IF(H128&gt;Q128,1,0),"")</f>
        <v>0</v>
      </c>
      <c r="L128" s="44">
        <f t="shared" ref="L128:L129" ca="1" si="282">IF(D128="Finalizado",IF(H128=Q128,1,0),"")</f>
        <v>0</v>
      </c>
      <c r="M128" s="44">
        <f t="shared" ref="M128:M129" ca="1" si="283">IF(D128="Finalizado",IF(H128&lt;Q128,1,0),"")</f>
        <v>1</v>
      </c>
      <c r="N128" s="44">
        <f t="shared" ref="N128:N129" ca="1" si="284">IF(D128="Finalizado",1,"")</f>
        <v>1</v>
      </c>
      <c r="O128" s="45">
        <f t="shared" ref="O128:O129" ca="1" si="285">IF(D128="Finalizado",SUM(I128*5,J128*10),"")</f>
        <v>0</v>
      </c>
      <c r="P128" s="42" t="str">
        <f>IF(VLOOKUP(F128,Fixture!$B$2:$F$137,5,FALSE)&lt;&gt;0,VLOOKUP(F128,Fixture!$B$2:$F$137,5,FALSE),"")</f>
        <v>La Unión FC</v>
      </c>
      <c r="Q128" s="44">
        <f ca="1">IF($D128="Finalizado",_xlfn.XLOOKUP(P128,Resumen!$A$6:$A$22,Resumen!BJ$6:BJ$22,0),"")</f>
        <v>5</v>
      </c>
      <c r="R128" s="44">
        <f ca="1">IF($D128="Finalizado",_xlfn.XLOOKUP(P128,Resumen!$A$6:$A$22,Resumen!BK$6:BK$22,0),"")</f>
        <v>0</v>
      </c>
      <c r="S128" s="44">
        <f ca="1">IF($D128="Finalizado",_xlfn.XLOOKUP(P128,Resumen!$A$6:$A$22,Resumen!BL$6:BL$22,0)+_xlfn.XLOOKUP(P128,Resumen!$A$6:$A$22,Resumen!BM$6:BM$22,0),"")</f>
        <v>0</v>
      </c>
      <c r="T128" s="44">
        <f t="shared" ca="1" si="159"/>
        <v>1</v>
      </c>
      <c r="U128" s="44">
        <f t="shared" ca="1" si="169"/>
        <v>0</v>
      </c>
      <c r="V128" s="44">
        <f t="shared" ca="1" si="170"/>
        <v>0</v>
      </c>
      <c r="W128" s="44">
        <f t="shared" ca="1" si="160"/>
        <v>1</v>
      </c>
      <c r="X128" s="45">
        <f t="shared" ca="1" si="161"/>
        <v>0</v>
      </c>
      <c r="Y128" s="198"/>
      <c r="AA128" s="19">
        <v>6</v>
      </c>
      <c r="AB128" s="19">
        <f ca="1">AJ128*1000+IF($D$123="Finalizado",AA125*10,0)+(AG128)+(AI128/10)+(AD128/1000)+IF(AL128&gt;0,(0.1/AL128),0)</f>
        <v>6054.2030000000004</v>
      </c>
      <c r="AC128" s="46" t="s">
        <v>335</v>
      </c>
      <c r="AD128">
        <f t="shared" ca="1" si="271"/>
        <v>2</v>
      </c>
      <c r="AE128">
        <f t="shared" ca="1" si="272"/>
        <v>0</v>
      </c>
      <c r="AF128">
        <f t="shared" ca="1" si="273"/>
        <v>5</v>
      </c>
      <c r="AG128">
        <f t="shared" ca="1" si="274"/>
        <v>25</v>
      </c>
      <c r="AH128">
        <f t="shared" ca="1" si="275"/>
        <v>33</v>
      </c>
      <c r="AI128">
        <f t="shared" ca="1" si="276"/>
        <v>-8</v>
      </c>
      <c r="AJ128">
        <f t="shared" ca="1" si="277"/>
        <v>6</v>
      </c>
      <c r="AK128">
        <f t="shared" ca="1" si="278"/>
        <v>7</v>
      </c>
      <c r="AL128">
        <f t="shared" ca="1" si="279"/>
        <v>100</v>
      </c>
      <c r="AM128">
        <f t="shared" ca="1" si="280"/>
        <v>6054.2030000000004</v>
      </c>
    </row>
    <row r="129" spans="1:40" ht="16.5" thickBot="1" x14ac:dyDescent="0.3">
      <c r="A129" s="210"/>
      <c r="B129" s="60">
        <f>IF(Fixture!C128,Fixture!C128,"")</f>
        <v>45816</v>
      </c>
      <c r="C129" s="58">
        <v>0.625</v>
      </c>
      <c r="D129" s="82" t="str">
        <f t="shared" ca="1" si="136"/>
        <v>Finalizado</v>
      </c>
      <c r="E129" s="198"/>
      <c r="F129" s="43">
        <f>+Fixture!B128</f>
        <v>127</v>
      </c>
      <c r="G129" s="42" t="str">
        <f>IF(VLOOKUP(F129,Fixture!$B$2:$F$137,3,FALSE)&lt;&gt;0,VLOOKUP(F129,Fixture!$B$2:$F$137,3,FALSE),"")</f>
        <v>Boca Juniors</v>
      </c>
      <c r="H129" s="48">
        <f ca="1">IF($D129="Finalizado",_xlfn.XLOOKUP(G129,Resumen!$A$6:$A$22,Resumen!BJ$6:BJ$22,0),"")</f>
        <v>5</v>
      </c>
      <c r="I129" s="48">
        <f ca="1">IF($D129="Finalizado",_xlfn.XLOOKUP(G129,Resumen!$A$6:$A$22,Resumen!BK$6:BK$22,0),"")</f>
        <v>1</v>
      </c>
      <c r="J129" s="48">
        <f ca="1">IF($D129="Finalizado",_xlfn.XLOOKUP(G129,Resumen!$A$6:$A$22,Resumen!BL$6:BL$22,0)+_xlfn.XLOOKUP(G129,Resumen!$A$6:$A$22,Resumen!BM$6:BM$22,0),"")</f>
        <v>0</v>
      </c>
      <c r="K129" s="48">
        <f t="shared" ca="1" si="281"/>
        <v>0</v>
      </c>
      <c r="L129" s="48">
        <f t="shared" ca="1" si="282"/>
        <v>0</v>
      </c>
      <c r="M129" s="48">
        <f t="shared" ca="1" si="283"/>
        <v>1</v>
      </c>
      <c r="N129" s="48">
        <f t="shared" ca="1" si="284"/>
        <v>1</v>
      </c>
      <c r="O129" s="49">
        <f t="shared" ca="1" si="285"/>
        <v>5</v>
      </c>
      <c r="P129" s="42" t="str">
        <f>IF(VLOOKUP(F129,Fixture!$B$2:$F$137,5,FALSE)&lt;&gt;0,VLOOKUP(F129,Fixture!$B$2:$F$137,5,FALSE),"")</f>
        <v>Ron Star</v>
      </c>
      <c r="Q129" s="48">
        <f ca="1">IF($D129="Finalizado",_xlfn.XLOOKUP(P129,Resumen!$A$6:$A$22,Resumen!BJ$6:BJ$22,0),"")</f>
        <v>6</v>
      </c>
      <c r="R129" s="48">
        <f ca="1">IF($D129="Finalizado",_xlfn.XLOOKUP(P129,Resumen!$A$6:$A$22,Resumen!BK$6:BK$22,0),"")</f>
        <v>1</v>
      </c>
      <c r="S129" s="48">
        <f ca="1">IF($D129="Finalizado",_xlfn.XLOOKUP(P129,Resumen!$A$6:$A$22,Resumen!BL$6:BL$22,0)+_xlfn.XLOOKUP(P129,Resumen!$A$6:$A$22,Resumen!BM$6:BM$22,0),"")</f>
        <v>0</v>
      </c>
      <c r="T129" s="44">
        <f t="shared" ca="1" si="159"/>
        <v>1</v>
      </c>
      <c r="U129" s="44">
        <f t="shared" ca="1" si="169"/>
        <v>0</v>
      </c>
      <c r="V129" s="44">
        <f t="shared" ca="1" si="170"/>
        <v>0</v>
      </c>
      <c r="W129" s="48">
        <f t="shared" ca="1" si="160"/>
        <v>1</v>
      </c>
      <c r="X129" s="49">
        <f t="shared" ca="1" si="161"/>
        <v>5</v>
      </c>
      <c r="Y129" s="198"/>
      <c r="AA129" s="19">
        <v>7</v>
      </c>
      <c r="AB129" s="19">
        <f ca="1">AJ129*1000+IF($D$123="Finalizado",AA124*10,0)+(AG129)+(AI129/10)+(AD129/1000)+IF(AL129&gt;0,(0.1/AL129),0)</f>
        <v>3026.7024285714288</v>
      </c>
      <c r="AC129" s="46" t="s">
        <v>328</v>
      </c>
      <c r="AD129">
        <f t="shared" ca="1" si="271"/>
        <v>1</v>
      </c>
      <c r="AE129">
        <f t="shared" ca="1" si="272"/>
        <v>0</v>
      </c>
      <c r="AF129">
        <f t="shared" ca="1" si="273"/>
        <v>6</v>
      </c>
      <c r="AG129">
        <f t="shared" ca="1" si="274"/>
        <v>10</v>
      </c>
      <c r="AH129">
        <f t="shared" ca="1" si="275"/>
        <v>43</v>
      </c>
      <c r="AI129">
        <f t="shared" ca="1" si="276"/>
        <v>-33</v>
      </c>
      <c r="AJ129">
        <f t="shared" ca="1" si="277"/>
        <v>3</v>
      </c>
      <c r="AK129">
        <f t="shared" ca="1" si="278"/>
        <v>7</v>
      </c>
      <c r="AL129">
        <f t="shared" ca="1" si="279"/>
        <v>70</v>
      </c>
      <c r="AM129">
        <f t="shared" ca="1" si="280"/>
        <v>3026.7024285714288</v>
      </c>
    </row>
    <row r="130" spans="1:40" ht="16.5" thickBot="1" x14ac:dyDescent="0.3">
      <c r="A130" s="210" t="s">
        <v>51</v>
      </c>
      <c r="B130" s="60">
        <f>IF(Fixture!C129,Fixture!C129,"")</f>
        <v>45823</v>
      </c>
      <c r="C130" s="58">
        <v>0.67361111111111105</v>
      </c>
      <c r="D130" s="82" t="str">
        <f t="shared" ca="1" si="136"/>
        <v>Finalizado</v>
      </c>
      <c r="E130" s="198" t="s">
        <v>114</v>
      </c>
      <c r="F130" s="43">
        <f>+Fixture!B129</f>
        <v>128</v>
      </c>
      <c r="G130" s="42" t="str">
        <f>IF(VLOOKUP(F130,Fixture!$B$2:$F$137,3,FALSE)&lt;&gt;0,VLOOKUP(F130,Fixture!$B$2:$F$137,3,FALSE),"")</f>
        <v>Los Aliados</v>
      </c>
      <c r="H130" s="44">
        <f ca="1">IF($D130="Finalizado",_xlfn.XLOOKUP(G130,Resumen!$A$6:$A$22,Resumen!BN$6:BN$22,0),"")</f>
        <v>1</v>
      </c>
      <c r="I130" s="44">
        <f ca="1">IF($D130="Finalizado",_xlfn.XLOOKUP(G130,Resumen!$A$6:$A$22,Resumen!BO$6:BO$22,0),"")</f>
        <v>1</v>
      </c>
      <c r="J130" s="44">
        <f ca="1">IF($D130="Finalizado",_xlfn.XLOOKUP(G130,Resumen!$A$6:$A$22,Resumen!BP$6:BP$22,0)+_xlfn.XLOOKUP(G130,Resumen!$A$6:$A$22,Resumen!BQ$6:BQ$22,0),"")</f>
        <v>0</v>
      </c>
      <c r="K130" s="44">
        <f t="shared" ca="1" si="168"/>
        <v>0</v>
      </c>
      <c r="L130" s="44">
        <f t="shared" ca="1" si="256"/>
        <v>0</v>
      </c>
      <c r="M130" s="44">
        <f t="shared" ca="1" si="257"/>
        <v>1</v>
      </c>
      <c r="N130" s="44">
        <f t="shared" ca="1" si="258"/>
        <v>1</v>
      </c>
      <c r="O130" s="45">
        <f t="shared" ca="1" si="259"/>
        <v>5</v>
      </c>
      <c r="P130" s="42" t="str">
        <f>IF(VLOOKUP(F130,Fixture!$B$2:$F$137,5,FALSE)&lt;&gt;0,VLOOKUP(F130,Fixture!$B$2:$F$137,5,FALSE),"")</f>
        <v>Atalanta</v>
      </c>
      <c r="Q130" s="44">
        <f ca="1">IF($D130="Finalizado",_xlfn.XLOOKUP(P130,Resumen!$A$6:$A$22,Resumen!BN$6:BN$22,0),"")</f>
        <v>12</v>
      </c>
      <c r="R130" s="44">
        <f ca="1">IF($D130="Finalizado",_xlfn.XLOOKUP(P130,Resumen!$A$6:$A$22,Resumen!BO$6:BO$22,0),"")</f>
        <v>0</v>
      </c>
      <c r="S130" s="44">
        <f ca="1">IF($D130="Finalizado",_xlfn.XLOOKUP(P130,Resumen!$A$6:$A$22,Resumen!BP$6:BP$22,0)+_xlfn.XLOOKUP(P130,Resumen!$A$6:$A$22,Resumen!BQ$6:BQ$22,0),"")</f>
        <v>0</v>
      </c>
      <c r="T130" s="44">
        <f t="shared" ca="1" si="159"/>
        <v>1</v>
      </c>
      <c r="U130" s="44">
        <f t="shared" ca="1" si="169"/>
        <v>0</v>
      </c>
      <c r="V130" s="44">
        <f t="shared" ca="1" si="170"/>
        <v>0</v>
      </c>
      <c r="W130" s="44">
        <f t="shared" ca="1" si="160"/>
        <v>1</v>
      </c>
      <c r="X130" s="45">
        <f t="shared" ca="1" si="161"/>
        <v>0</v>
      </c>
      <c r="Y130" s="198"/>
      <c r="AA130" s="19">
        <v>8</v>
      </c>
      <c r="AB130" s="19">
        <f ca="1">AJ130*1000+IF($D$123="Finalizado",AA123*10,0)+(AG130)+(AI130/10)+(AD130/1000)+IF(AL130&gt;0,(0.1/AL130),0)</f>
        <v>7034.902714285714</v>
      </c>
      <c r="AC130" s="46" t="s">
        <v>329</v>
      </c>
      <c r="AD130">
        <f t="shared" ca="1" si="271"/>
        <v>2</v>
      </c>
      <c r="AE130">
        <f t="shared" ca="1" si="272"/>
        <v>1</v>
      </c>
      <c r="AF130">
        <f t="shared" ca="1" si="273"/>
        <v>4</v>
      </c>
      <c r="AG130">
        <f t="shared" ca="1" si="274"/>
        <v>26</v>
      </c>
      <c r="AH130">
        <f t="shared" ca="1" si="275"/>
        <v>37</v>
      </c>
      <c r="AI130">
        <f t="shared" ca="1" si="276"/>
        <v>-11</v>
      </c>
      <c r="AJ130">
        <f t="shared" ca="1" si="277"/>
        <v>7</v>
      </c>
      <c r="AK130">
        <f t="shared" ca="1" si="278"/>
        <v>7</v>
      </c>
      <c r="AL130">
        <f t="shared" ca="1" si="279"/>
        <v>140</v>
      </c>
      <c r="AM130">
        <f t="shared" ca="1" si="280"/>
        <v>1059.2018181818182</v>
      </c>
    </row>
    <row r="131" spans="1:40" ht="16.5" thickBot="1" x14ac:dyDescent="0.3">
      <c r="A131" s="210"/>
      <c r="B131" s="60">
        <f>IF(Fixture!C130,Fixture!C130,"")</f>
        <v>45823</v>
      </c>
      <c r="C131" s="58">
        <v>0.33333333333333331</v>
      </c>
      <c r="D131" s="82" t="str">
        <f t="shared" ca="1" si="136"/>
        <v>Finalizado</v>
      </c>
      <c r="E131" s="198"/>
      <c r="F131" s="43">
        <f>+Fixture!B130</f>
        <v>129</v>
      </c>
      <c r="G131" s="42" t="str">
        <f>IF(VLOOKUP(F131,Fixture!$B$2:$F$137,3,FALSE)&lt;&gt;0,VLOOKUP(F131,Fixture!$B$2:$F$137,3,FALSE),"")</f>
        <v>Los Amigos</v>
      </c>
      <c r="H131" s="44">
        <f ca="1">IF($D131="Finalizado",_xlfn.XLOOKUP(G131,Resumen!$A$6:$A$22,Resumen!BN$6:BN$22,0),"")</f>
        <v>3</v>
      </c>
      <c r="I131" s="44">
        <f ca="1">IF($D131="Finalizado",_xlfn.XLOOKUP(G131,Resumen!$A$6:$A$22,Resumen!BO$6:BO$22,0),"")</f>
        <v>2</v>
      </c>
      <c r="J131" s="44">
        <f ca="1">IF($D131="Finalizado",_xlfn.XLOOKUP(G131,Resumen!$A$6:$A$22,Resumen!BP$6:BP$22,0)+_xlfn.XLOOKUP(G131,Resumen!$A$6:$A$22,Resumen!BQ$6:BQ$22,0),"")</f>
        <v>0</v>
      </c>
      <c r="K131" s="44">
        <f t="shared" ca="1" si="168"/>
        <v>0</v>
      </c>
      <c r="L131" s="44">
        <f t="shared" ca="1" si="256"/>
        <v>0</v>
      </c>
      <c r="M131" s="44">
        <f t="shared" ca="1" si="257"/>
        <v>1</v>
      </c>
      <c r="N131" s="44">
        <f t="shared" ca="1" si="258"/>
        <v>1</v>
      </c>
      <c r="O131" s="45">
        <f t="shared" ca="1" si="259"/>
        <v>10</v>
      </c>
      <c r="P131" s="42" t="str">
        <f>IF(VLOOKUP(F131,Fixture!$B$2:$F$137,5,FALSE)&lt;&gt;0,VLOOKUP(F131,Fixture!$B$2:$F$137,5,FALSE),"")</f>
        <v>La Unión FC</v>
      </c>
      <c r="Q131" s="44">
        <f ca="1">IF($D131="Finalizado",_xlfn.XLOOKUP(P131,Resumen!$A$6:$A$22,Resumen!BN$6:BN$22,0),"")</f>
        <v>8</v>
      </c>
      <c r="R131" s="44">
        <f ca="1">IF($D131="Finalizado",_xlfn.XLOOKUP(P131,Resumen!$A$6:$A$22,Resumen!BO$6:BO$22,0),"")</f>
        <v>2</v>
      </c>
      <c r="S131" s="44">
        <f ca="1">IF($D131="Finalizado",_xlfn.XLOOKUP(P131,Resumen!$A$6:$A$22,Resumen!BP$6:BP$22,0)+_xlfn.XLOOKUP(P131,Resumen!$A$6:$A$22,Resumen!BQ$6:BQ$22,0),"")</f>
        <v>0</v>
      </c>
      <c r="T131" s="44">
        <f t="shared" ca="1" si="159"/>
        <v>1</v>
      </c>
      <c r="U131" s="44">
        <f t="shared" ca="1" si="169"/>
        <v>0</v>
      </c>
      <c r="V131" s="44">
        <f t="shared" ca="1" si="170"/>
        <v>0</v>
      </c>
      <c r="W131" s="44">
        <f t="shared" ca="1" si="160"/>
        <v>1</v>
      </c>
      <c r="X131" s="45">
        <f ca="1">IF(D131="Finalizado",SUM(R131*5,S131*10),"")</f>
        <v>10</v>
      </c>
      <c r="Y131" s="197" t="str">
        <f>+A130</f>
        <v>Fecha 17</v>
      </c>
    </row>
    <row r="132" spans="1:40" ht="16.5" thickBot="1" x14ac:dyDescent="0.3">
      <c r="A132" s="210"/>
      <c r="B132" s="60">
        <f>IF(Fixture!C131,Fixture!C131,"")</f>
        <v>45823</v>
      </c>
      <c r="C132" s="58">
        <v>0.38194444444444442</v>
      </c>
      <c r="D132" s="82" t="str">
        <f t="shared" ref="D132:D177" ca="1" si="286">IF(OR(B132="",C132="",B132&lt;$A$1),"Finalizado",IF(B132=$A$1,IF(AND(C132&lt;=$D$1,$D$1&lt;=(C132+0.08333333333)),"En juego",IF($A$1&lt;C132,"HOY!","Finalizado")),IF($D$1&gt;B132,"Finalizado","Proximamente..")))</f>
        <v>Finalizado</v>
      </c>
      <c r="E132" s="198"/>
      <c r="F132" s="43">
        <f>+Fixture!B131</f>
        <v>130</v>
      </c>
      <c r="G132" s="42" t="str">
        <f>IF(VLOOKUP(F132,Fixture!$B$2:$F$137,3,FALSE)&lt;&gt;0,VLOOKUP(F132,Fixture!$B$2:$F$137,3,FALSE),"")</f>
        <v>Boca Juniors</v>
      </c>
      <c r="H132" s="44">
        <f ca="1">IF($D132="Finalizado",_xlfn.XLOOKUP(G132,Resumen!$A$6:$A$22,Resumen!BN$6:BN$22,0),"")</f>
        <v>1</v>
      </c>
      <c r="I132" s="44">
        <f ca="1">IF($D132="Finalizado",_xlfn.XLOOKUP(G132,Resumen!$A$6:$A$22,Resumen!BO$6:BO$22,0),"")</f>
        <v>1</v>
      </c>
      <c r="J132" s="44">
        <f ca="1">IF($D132="Finalizado",_xlfn.XLOOKUP(G132,Resumen!$A$6:$A$22,Resumen!BP$6:BP$22,0)+_xlfn.XLOOKUP(G132,Resumen!$A$6:$A$22,Resumen!BQ$6:BQ$22,0),"")</f>
        <v>0</v>
      </c>
      <c r="K132" s="44">
        <f t="shared" ca="1" si="168"/>
        <v>0</v>
      </c>
      <c r="L132" s="44">
        <f t="shared" ca="1" si="256"/>
        <v>0</v>
      </c>
      <c r="M132" s="44">
        <f t="shared" ca="1" si="257"/>
        <v>1</v>
      </c>
      <c r="N132" s="44">
        <f ca="1">IF(D132="Finalizado",1,"")</f>
        <v>1</v>
      </c>
      <c r="O132" s="45">
        <f t="shared" ca="1" si="259"/>
        <v>5</v>
      </c>
      <c r="P132" s="42" t="str">
        <f>IF(VLOOKUP(F132,Fixture!$B$2:$F$137,5,FALSE)&lt;&gt;0,VLOOKUP(F132,Fixture!$B$2:$F$137,5,FALSE),"")</f>
        <v>Hojas Anchas</v>
      </c>
      <c r="Q132" s="44">
        <f ca="1">IF($D132="Finalizado",_xlfn.XLOOKUP(P132,Resumen!$A$6:$A$22,Resumen!BN$6:BN$22,0),"")</f>
        <v>6</v>
      </c>
      <c r="R132" s="44">
        <f ca="1">IF($D132="Finalizado",_xlfn.XLOOKUP(P132,Resumen!$A$6:$A$22,Resumen!BO$6:BO$22,0),"")</f>
        <v>3</v>
      </c>
      <c r="S132" s="44">
        <f ca="1">IF($D132="Finalizado",_xlfn.XLOOKUP(P132,Resumen!$A$6:$A$22,Resumen!BP$6:BP$22,0)+_xlfn.XLOOKUP(P132,Resumen!$A$6:$A$22,Resumen!BQ$6:BQ$22,0),"")</f>
        <v>0</v>
      </c>
      <c r="T132" s="44">
        <f t="shared" ca="1" si="159"/>
        <v>1</v>
      </c>
      <c r="U132" s="44">
        <f t="shared" ca="1" si="169"/>
        <v>0</v>
      </c>
      <c r="V132" s="44">
        <f t="shared" ca="1" si="170"/>
        <v>0</v>
      </c>
      <c r="W132" s="44">
        <f t="shared" ca="1" si="160"/>
        <v>1</v>
      </c>
      <c r="X132" s="45">
        <f ca="1">IF(D132="Finalizado",SUM(R132*5,S132*10),"")</f>
        <v>15</v>
      </c>
      <c r="Y132" s="198"/>
    </row>
    <row r="133" spans="1:40" ht="16.5" thickBot="1" x14ac:dyDescent="0.3">
      <c r="A133" s="210"/>
      <c r="B133" s="60">
        <f>IF(Fixture!C132,Fixture!C132,"")</f>
        <v>45823</v>
      </c>
      <c r="C133" s="58">
        <v>0.43055555555555602</v>
      </c>
      <c r="D133" s="82" t="str">
        <f t="shared" ca="1" si="286"/>
        <v>Finalizado</v>
      </c>
      <c r="E133" s="198"/>
      <c r="F133" s="43">
        <f>+Fixture!B132</f>
        <v>131</v>
      </c>
      <c r="G133" s="42" t="str">
        <f>IF(VLOOKUP(F133,Fixture!$B$2:$F$137,3,FALSE)&lt;&gt;0,VLOOKUP(F133,Fixture!$B$2:$F$137,3,FALSE),"")</f>
        <v>Valentín FC</v>
      </c>
      <c r="H133" s="44">
        <f ca="1">IF($D133="Finalizado",_xlfn.XLOOKUP(G133,Resumen!$A$6:$A$22,Resumen!BN$6:BN$22,0),"")</f>
        <v>2</v>
      </c>
      <c r="I133" s="44">
        <f ca="1">IF($D133="Finalizado",_xlfn.XLOOKUP(G133,Resumen!$A$6:$A$22,Resumen!BO$6:BO$22,0),"")</f>
        <v>3</v>
      </c>
      <c r="J133" s="44">
        <f ca="1">IF($D133="Finalizado",_xlfn.XLOOKUP(G133,Resumen!$A$6:$A$22,Resumen!BP$6:BP$22,0)+_xlfn.XLOOKUP(G133,Resumen!$A$6:$A$22,Resumen!BQ$6:BQ$22,0),"")</f>
        <v>0</v>
      </c>
      <c r="K133" s="44">
        <f t="shared" ca="1" si="168"/>
        <v>1</v>
      </c>
      <c r="L133" s="44">
        <f t="shared" ca="1" si="256"/>
        <v>0</v>
      </c>
      <c r="M133" s="44">
        <f t="shared" ca="1" si="257"/>
        <v>0</v>
      </c>
      <c r="N133" s="44">
        <f t="shared" ca="1" si="258"/>
        <v>1</v>
      </c>
      <c r="O133" s="45">
        <f t="shared" ca="1" si="259"/>
        <v>15</v>
      </c>
      <c r="P133" s="42" t="str">
        <f>IF(VLOOKUP(F133,Fixture!$B$2:$F$137,5,FALSE)&lt;&gt;0,VLOOKUP(F133,Fixture!$B$2:$F$137,5,FALSE),"")</f>
        <v>Ron Star</v>
      </c>
      <c r="Q133" s="44">
        <f ca="1">IF($D133="Finalizado",_xlfn.XLOOKUP(P133,Resumen!$A$6:$A$22,Resumen!BN$6:BN$22,0),"")</f>
        <v>1</v>
      </c>
      <c r="R133" s="44">
        <f ca="1">IF($D133="Finalizado",_xlfn.XLOOKUP(P133,Resumen!$A$6:$A$22,Resumen!BO$6:BO$22,0),"")</f>
        <v>2</v>
      </c>
      <c r="S133" s="44">
        <f ca="1">IF($D133="Finalizado",_xlfn.XLOOKUP(P133,Resumen!$A$6:$A$22,Resumen!BP$6:BP$22,0)+_xlfn.XLOOKUP(P133,Resumen!$A$6:$A$22,Resumen!BQ$6:BQ$22,0),"")</f>
        <v>0</v>
      </c>
      <c r="T133" s="44">
        <f t="shared" ca="1" si="159"/>
        <v>0</v>
      </c>
      <c r="U133" s="44">
        <f t="shared" ca="1" si="169"/>
        <v>0</v>
      </c>
      <c r="V133" s="44">
        <f t="shared" ca="1" si="170"/>
        <v>1</v>
      </c>
      <c r="W133" s="44">
        <f t="shared" ca="1" si="160"/>
        <v>1</v>
      </c>
      <c r="X133" s="45">
        <f t="shared" ca="1" si="161"/>
        <v>10</v>
      </c>
      <c r="Y133" s="198"/>
      <c r="AA133" s="40" t="s">
        <v>122</v>
      </c>
      <c r="AB133" s="40"/>
      <c r="AC133" s="41" t="s">
        <v>2</v>
      </c>
      <c r="AD133" s="40" t="s">
        <v>115</v>
      </c>
      <c r="AE133" s="40" t="s">
        <v>116</v>
      </c>
      <c r="AF133" s="40" t="s">
        <v>117</v>
      </c>
      <c r="AG133" s="40" t="s">
        <v>123</v>
      </c>
      <c r="AH133" s="40" t="s">
        <v>124</v>
      </c>
      <c r="AI133" s="40" t="s">
        <v>125</v>
      </c>
      <c r="AJ133" s="40" t="s">
        <v>126</v>
      </c>
      <c r="AK133" s="40" t="s">
        <v>127</v>
      </c>
      <c r="AL133" s="40" t="s">
        <v>119</v>
      </c>
      <c r="AM133"/>
      <c r="AN133" s="1" t="s">
        <v>232</v>
      </c>
    </row>
    <row r="134" spans="1:40" ht="16.5" thickBot="1" x14ac:dyDescent="0.3">
      <c r="A134" s="210"/>
      <c r="B134" s="60">
        <f>IF(Fixture!C133,Fixture!C133,"")</f>
        <v>45823</v>
      </c>
      <c r="C134" s="58">
        <v>0.47916666666666602</v>
      </c>
      <c r="D134" s="82" t="str">
        <f t="shared" ca="1" si="286"/>
        <v>Finalizado</v>
      </c>
      <c r="E134" s="198"/>
      <c r="F134" s="43">
        <f>+Fixture!B133</f>
        <v>132</v>
      </c>
      <c r="G134" s="42" t="str">
        <f>IF(VLOOKUP(F134,Fixture!$B$2:$F$137,3,FALSE)&lt;&gt;0,VLOOKUP(F134,Fixture!$B$2:$F$137,3,FALSE),"")</f>
        <v>Deportivo Fénix</v>
      </c>
      <c r="H134" s="44">
        <f ca="1">IF($D134="Finalizado",_xlfn.XLOOKUP(G134,Resumen!$A$6:$A$22,Resumen!BN$6:BN$22,0),"")</f>
        <v>3</v>
      </c>
      <c r="I134" s="44">
        <f ca="1">IF($D134="Finalizado",_xlfn.XLOOKUP(G134,Resumen!$A$6:$A$22,Resumen!BO$6:BO$22,0),"")</f>
        <v>0</v>
      </c>
      <c r="J134" s="44">
        <f ca="1">IF($D134="Finalizado",_xlfn.XLOOKUP(G134,Resumen!$A$6:$A$22,Resumen!BP$6:BP$22,0)+_xlfn.XLOOKUP(G134,Resumen!$A$6:$A$22,Resumen!BQ$6:BQ$22,0),"")</f>
        <v>0</v>
      </c>
      <c r="K134" s="44">
        <f t="shared" ca="1" si="168"/>
        <v>1</v>
      </c>
      <c r="L134" s="44">
        <f t="shared" ca="1" si="256"/>
        <v>0</v>
      </c>
      <c r="M134" s="44">
        <f t="shared" ca="1" si="257"/>
        <v>0</v>
      </c>
      <c r="N134" s="44">
        <f t="shared" ca="1" si="258"/>
        <v>1</v>
      </c>
      <c r="O134" s="45">
        <f t="shared" ca="1" si="259"/>
        <v>0</v>
      </c>
      <c r="P134" s="42" t="str">
        <f>IF(VLOOKUP(F134,Fixture!$B$2:$F$137,5,FALSE)&lt;&gt;0,VLOOKUP(F134,Fixture!$B$2:$F$137,5,FALSE),"")</f>
        <v>La Nueva Era</v>
      </c>
      <c r="Q134" s="44">
        <f ca="1">IF($D134="Finalizado",_xlfn.XLOOKUP(P134,Resumen!$A$6:$A$22,Resumen!BN$6:BN$22,0),"")</f>
        <v>1</v>
      </c>
      <c r="R134" s="44">
        <f ca="1">IF($D134="Finalizado",_xlfn.XLOOKUP(P134,Resumen!$A$6:$A$22,Resumen!BO$6:BO$22,0),"")</f>
        <v>0</v>
      </c>
      <c r="S134" s="44">
        <f ca="1">IF($D134="Finalizado",_xlfn.XLOOKUP(P134,Resumen!$A$6:$A$22,Resumen!BP$6:BP$22,0)+_xlfn.XLOOKUP(P134,Resumen!$A$6:$A$22,Resumen!BQ$6:BQ$22,0),"")</f>
        <v>0</v>
      </c>
      <c r="T134" s="44">
        <f t="shared" ca="1" si="159"/>
        <v>0</v>
      </c>
      <c r="U134" s="44">
        <f t="shared" ca="1" si="169"/>
        <v>0</v>
      </c>
      <c r="V134" s="44">
        <f t="shared" ca="1" si="170"/>
        <v>1</v>
      </c>
      <c r="W134" s="44">
        <f t="shared" ca="1" si="160"/>
        <v>1</v>
      </c>
      <c r="X134" s="45">
        <f t="shared" ca="1" si="161"/>
        <v>0</v>
      </c>
      <c r="Y134" s="198"/>
      <c r="AA134" s="19">
        <v>1</v>
      </c>
      <c r="AB134" s="19">
        <f ca="1">AJ134*1000+IF($D$123="Finalizado",AA140*10,0)+(AG134)+(AI134/10)+(AD134/1000)+IF(AL134&gt;0,(0.1/AL134),0)</f>
        <v>18107.607333333333</v>
      </c>
      <c r="AC134" s="46" t="s">
        <v>338</v>
      </c>
      <c r="AD134">
        <f ca="1">SUMIF($G$123:$G$171,AC134,$K$123:$K$171)+SUMIF($P$123:$P$171,AC134,$T$123:$T$171)</f>
        <v>6</v>
      </c>
      <c r="AE134">
        <f ca="1">SUMIF($G$123:$G$171,AC134,$L$123:$L$171)+SUMIF($P$123:$P$171,AC134,$U$123:$U$171)</f>
        <v>0</v>
      </c>
      <c r="AF134">
        <f ca="1">SUMIF($G$123:$G$171,AC134,$M$123:$M$171)+SUMIF($P$123:$P$171,AC134,$V$123:$V$171)</f>
        <v>0</v>
      </c>
      <c r="AG134">
        <f ca="1">SUMIF($G$123:$G$171,AC134,$H$123:$H$171)+SUMIF($P$123:$P$171,AC134,$Q$123:$Q$171)</f>
        <v>35</v>
      </c>
      <c r="AH134">
        <f ca="1">SUMIF($G$123:$G$171,AC134,$Q$123:$Q$171)+SUMIF($P$123:$P$171,AC134,$H$123:$H$171)</f>
        <v>9</v>
      </c>
      <c r="AI134">
        <f ca="1">+AG134-AH134</f>
        <v>26</v>
      </c>
      <c r="AJ134">
        <f ca="1">AD134*3+AE134*1</f>
        <v>18</v>
      </c>
      <c r="AK134">
        <f ca="1">SUMIF($G$123:$G$171,AC134,$N$123:$N$171)+SUMIF($P$123:$P$171,AC134,$W$123:$W$171)</f>
        <v>6</v>
      </c>
      <c r="AL134">
        <f ca="1">SUMIF($G$123:$G$171,AC134,$O$123:$O$171)+SUMIF($P$123:$P$171,AC134,$X$123:$X$171)</f>
        <v>75</v>
      </c>
      <c r="AM134">
        <f ca="1">LARGE($AB$134:$AB$140,AA134)</f>
        <v>18107.607333333333</v>
      </c>
    </row>
    <row r="135" spans="1:40" ht="16.5" thickBot="1" x14ac:dyDescent="0.3">
      <c r="A135" s="210"/>
      <c r="B135" s="60">
        <f>IF(Fixture!C134,Fixture!C134,"")</f>
        <v>45823</v>
      </c>
      <c r="C135" s="58">
        <v>0.52777777777777701</v>
      </c>
      <c r="D135" s="82" t="str">
        <f t="shared" ca="1" si="286"/>
        <v>Finalizado</v>
      </c>
      <c r="E135" s="198"/>
      <c r="F135" s="43">
        <f>+Fixture!B134</f>
        <v>133</v>
      </c>
      <c r="G135" s="42" t="str">
        <f>IF(VLOOKUP(F135,Fixture!$B$2:$F$137,3,FALSE)&lt;&gt;0,VLOOKUP(F135,Fixture!$B$2:$F$137,3,FALSE),"")</f>
        <v>CD El Corozo</v>
      </c>
      <c r="H135" s="44">
        <f ca="1">IF($D135="Finalizado",_xlfn.XLOOKUP(G135,Resumen!$A$6:$A$22,Resumen!BN$6:BN$22,0),"")</f>
        <v>2</v>
      </c>
      <c r="I135" s="44">
        <f ca="1">IF($D135="Finalizado",_xlfn.XLOOKUP(G135,Resumen!$A$6:$A$22,Resumen!BO$6:BO$22,0),"")</f>
        <v>1</v>
      </c>
      <c r="J135" s="44">
        <f ca="1">IF($D135="Finalizado",_xlfn.XLOOKUP(G135,Resumen!$A$6:$A$22,Resumen!BP$6:BP$22,0)+_xlfn.XLOOKUP(G135,Resumen!$A$6:$A$22,Resumen!BQ$6:BQ$22,0),"")</f>
        <v>0</v>
      </c>
      <c r="K135" s="44">
        <f t="shared" ca="1" si="168"/>
        <v>0</v>
      </c>
      <c r="L135" s="44">
        <f t="shared" ca="1" si="256"/>
        <v>0</v>
      </c>
      <c r="M135" s="44">
        <f t="shared" ca="1" si="257"/>
        <v>1</v>
      </c>
      <c r="N135" s="44">
        <f t="shared" ca="1" si="258"/>
        <v>1</v>
      </c>
      <c r="O135" s="45">
        <f t="shared" ca="1" si="259"/>
        <v>5</v>
      </c>
      <c r="P135" s="42" t="str">
        <f>IF(VLOOKUP(F135,Fixture!$B$2:$F$137,5,FALSE)&lt;&gt;0,VLOOKUP(F135,Fixture!$B$2:$F$137,5,FALSE),"")</f>
        <v>La Amistad</v>
      </c>
      <c r="Q135" s="44">
        <f ca="1">IF($D135="Finalizado",_xlfn.XLOOKUP(P135,Resumen!$A$6:$A$22,Resumen!BN$6:BN$22,0),"")</f>
        <v>5</v>
      </c>
      <c r="R135" s="44">
        <f ca="1">IF($D135="Finalizado",_xlfn.XLOOKUP(P135,Resumen!$A$6:$A$22,Resumen!BO$6:BO$22,0),"")</f>
        <v>3</v>
      </c>
      <c r="S135" s="44">
        <f ca="1">IF($D135="Finalizado",_xlfn.XLOOKUP(P135,Resumen!$A$6:$A$22,Resumen!BP$6:BP$22,0)+_xlfn.XLOOKUP(P135,Resumen!$A$6:$A$22,Resumen!BQ$6:BQ$22,0),"")</f>
        <v>0</v>
      </c>
      <c r="T135" s="44">
        <f t="shared" ca="1" si="159"/>
        <v>1</v>
      </c>
      <c r="U135" s="44">
        <f t="shared" ca="1" si="169"/>
        <v>0</v>
      </c>
      <c r="V135" s="44">
        <f t="shared" ca="1" si="170"/>
        <v>0</v>
      </c>
      <c r="W135" s="44">
        <f t="shared" ca="1" si="160"/>
        <v>1</v>
      </c>
      <c r="X135" s="45">
        <f t="shared" ca="1" si="161"/>
        <v>15</v>
      </c>
      <c r="Y135" s="198"/>
      <c r="AA135" s="19">
        <v>2</v>
      </c>
      <c r="AB135" s="19">
        <f ca="1">AJ135*1000+IF($D$123="Finalizado",AA139*10,0)+(AG135)+(AI135/10)+(AD135/1000)+IF(AL135&gt;0,(0.1/AL135),0)</f>
        <v>12072.310666666666</v>
      </c>
      <c r="AC135" s="46" t="s">
        <v>325</v>
      </c>
      <c r="AD135">
        <f t="shared" ref="AD135:AD140" ca="1" si="287">SUMIF($G$123:$G$171,AC135,$K$123:$K$171)+SUMIF($P$123:$P$171,AC135,$T$123:$T$171)</f>
        <v>4</v>
      </c>
      <c r="AE135">
        <f t="shared" ref="AE135:AE140" ca="1" si="288">SUMIF($G$123:$G$171,AC135,$L$123:$L$171)+SUMIF($P$123:$P$171,AC135,$U$123:$U$171)</f>
        <v>0</v>
      </c>
      <c r="AF135">
        <f t="shared" ref="AF135:AF140" ca="1" si="289">SUMIF($G$123:$G$171,AC135,$M$123:$M$171)+SUMIF($P$123:$P$171,AC135,$V$123:$V$171)</f>
        <v>2</v>
      </c>
      <c r="AG135">
        <f t="shared" ref="AG135:AG140" ca="1" si="290">SUMIF($G$123:$G$171,AC135,$H$123:$H$171)+SUMIF($P$123:$P$171,AC135,$Q$123:$Q$171)</f>
        <v>12</v>
      </c>
      <c r="AH135">
        <f t="shared" ref="AH135:AH140" ca="1" si="291">SUMIF($G$123:$G$171,AC135,$Q$123:$Q$171)+SUMIF($P$123:$P$171,AC135,$H$123:$H$171)</f>
        <v>9</v>
      </c>
      <c r="AI135">
        <f t="shared" ref="AI135:AI140" ca="1" si="292">+AG135-AH135</f>
        <v>3</v>
      </c>
      <c r="AJ135">
        <f t="shared" ref="AJ135:AJ140" ca="1" si="293">AD135*3+AE135*1</f>
        <v>12</v>
      </c>
      <c r="AK135">
        <f ca="1">SUMIF($G$123:$G$171,AC135,$N$123:$N$171)+SUMIF($P$123:$P$171,AC135,$W$123:$W$171)</f>
        <v>6</v>
      </c>
      <c r="AL135">
        <f t="shared" ref="AL135:AL140" ca="1" si="294">SUMIF($G$123:$G$171,AC135,$O$123:$O$171)+SUMIF($P$123:$P$171,AC135,$X$123:$X$171)</f>
        <v>15</v>
      </c>
      <c r="AM135">
        <f t="shared" ref="AM135:AM140" ca="1" si="295">LARGE($AB$134:$AB$140,AA135)</f>
        <v>15063.411666666665</v>
      </c>
    </row>
    <row r="136" spans="1:40" ht="16.5" thickBot="1" x14ac:dyDescent="0.3">
      <c r="A136" s="210"/>
      <c r="B136" s="60">
        <f>IF(Fixture!C135,Fixture!C135,"")</f>
        <v>45823</v>
      </c>
      <c r="C136" s="58">
        <v>0.57638888888888895</v>
      </c>
      <c r="D136" s="82" t="str">
        <f t="shared" ca="1" si="286"/>
        <v>Finalizado</v>
      </c>
      <c r="E136" s="198"/>
      <c r="F136" s="43">
        <f>+Fixture!B135</f>
        <v>134</v>
      </c>
      <c r="G136" s="42" t="str">
        <f>IF(VLOOKUP(F136,Fixture!$B$2:$F$137,3,FALSE)&lt;&gt;0,VLOOKUP(F136,Fixture!$B$2:$F$137,3,FALSE),"")</f>
        <v>Villanueva</v>
      </c>
      <c r="H136" s="48">
        <f ca="1">IF($D136="Finalizado",_xlfn.XLOOKUP(G136,Resumen!$A$6:$A$22,Resumen!BN$6:BN$22,0),"")</f>
        <v>4</v>
      </c>
      <c r="I136" s="48">
        <f ca="1">IF($D136="Finalizado",_xlfn.XLOOKUP(G136,Resumen!$A$6:$A$22,Resumen!BO$6:BO$22,0),"")</f>
        <v>0</v>
      </c>
      <c r="J136" s="48">
        <f ca="1">IF($D136="Finalizado",_xlfn.XLOOKUP(G136,Resumen!$A$6:$A$22,Resumen!BP$6:BP$22,0)+_xlfn.XLOOKUP(G136,Resumen!$A$6:$A$22,Resumen!BQ$6:BQ$22,0),"")</f>
        <v>0</v>
      </c>
      <c r="K136" s="48">
        <f t="shared" ref="K136:K138" ca="1" si="296">IF(D136="Finalizado",IF(H136&gt;Q136,1,0),"")</f>
        <v>1</v>
      </c>
      <c r="L136" s="48">
        <f t="shared" ref="L136:L138" ca="1" si="297">IF(D136="Finalizado",IF(H136=Q136,1,0),"")</f>
        <v>0</v>
      </c>
      <c r="M136" s="48">
        <f t="shared" ref="M136:M138" ca="1" si="298">IF(D136="Finalizado",IF(H136&lt;Q136,1,0),"")</f>
        <v>0</v>
      </c>
      <c r="N136" s="48">
        <f t="shared" ref="N136:N138" ca="1" si="299">IF(D136="Finalizado",1,"")</f>
        <v>1</v>
      </c>
      <c r="O136" s="49">
        <f t="shared" ref="O136:O138" ca="1" si="300">IF(D136="Finalizado",SUM(I136*5,J136*10),"")</f>
        <v>0</v>
      </c>
      <c r="P136" s="42" t="str">
        <f>IF(VLOOKUP(F136,Fixture!$B$2:$F$137,5,FALSE)&lt;&gt;0,VLOOKUP(F136,Fixture!$B$2:$F$137,5,FALSE),"")</f>
        <v>Amenadim</v>
      </c>
      <c r="Q136" s="44">
        <f ca="1">IF($D136="Finalizado",_xlfn.XLOOKUP(P136,Resumen!$A$6:$A$22,Resumen!BN$6:BN$22,0),"")</f>
        <v>0</v>
      </c>
      <c r="R136" s="44">
        <f ca="1">IF($D136="Finalizado",_xlfn.XLOOKUP(P136,Resumen!$A$6:$A$22,Resumen!BO$6:BO$22,0),"")</f>
        <v>2</v>
      </c>
      <c r="S136" s="44">
        <f ca="1">IF($D136="Finalizado",_xlfn.XLOOKUP(P136,Resumen!$A$6:$A$22,Resumen!BP$6:BP$22,0)+_xlfn.XLOOKUP(P136,Resumen!$A$6:$A$22,Resumen!BQ$6:BQ$22,0),"")</f>
        <v>0</v>
      </c>
      <c r="T136" s="48">
        <f t="shared" ca="1" si="159"/>
        <v>0</v>
      </c>
      <c r="U136" s="48">
        <f t="shared" ca="1" si="169"/>
        <v>0</v>
      </c>
      <c r="V136" s="48">
        <f t="shared" ca="1" si="170"/>
        <v>1</v>
      </c>
      <c r="W136" s="48">
        <f t="shared" ca="1" si="160"/>
        <v>1</v>
      </c>
      <c r="X136" s="49">
        <f t="shared" ca="1" si="161"/>
        <v>10</v>
      </c>
      <c r="Y136" s="198"/>
      <c r="AA136" s="19">
        <v>3</v>
      </c>
      <c r="AB136" s="19">
        <f ca="1">AJ136*1000+IF($D$123="Finalizado",AA138*10,0)+(AG136)+(AI136/10)+(AD136/1000)+IF(AL136&gt;0,(0.1/AL136),0)</f>
        <v>52.400645161290321</v>
      </c>
      <c r="AC136" s="46" t="s">
        <v>382</v>
      </c>
      <c r="AD136">
        <f t="shared" ca="1" si="287"/>
        <v>0</v>
      </c>
      <c r="AE136">
        <f t="shared" ca="1" si="288"/>
        <v>0</v>
      </c>
      <c r="AF136">
        <f t="shared" ca="1" si="289"/>
        <v>6</v>
      </c>
      <c r="AG136">
        <f t="shared" ca="1" si="290"/>
        <v>4</v>
      </c>
      <c r="AH136">
        <f t="shared" ca="1" si="291"/>
        <v>20</v>
      </c>
      <c r="AI136">
        <f t="shared" ca="1" si="292"/>
        <v>-16</v>
      </c>
      <c r="AJ136">
        <f t="shared" ca="1" si="293"/>
        <v>0</v>
      </c>
      <c r="AK136">
        <f t="shared" ref="AK136:AK140" ca="1" si="301">SUMIF($G$123:$G$171,AC136,$N$123:$N$171)+SUMIF($P$123:$P$171,AC136,$W$123:$W$171)</f>
        <v>6</v>
      </c>
      <c r="AL136">
        <f t="shared" ca="1" si="294"/>
        <v>155</v>
      </c>
      <c r="AM136">
        <f t="shared" ca="1" si="295"/>
        <v>12072.310666666666</v>
      </c>
    </row>
    <row r="137" spans="1:40" ht="16.5" thickBot="1" x14ac:dyDescent="0.3">
      <c r="A137" s="210" t="s">
        <v>81</v>
      </c>
      <c r="B137" s="60">
        <f>IF(Fixture!C136,Fixture!C136,"")</f>
        <v>45830</v>
      </c>
      <c r="C137" s="58">
        <v>0.625</v>
      </c>
      <c r="D137" s="82" t="str">
        <f t="shared" ca="1" si="286"/>
        <v>Finalizado</v>
      </c>
      <c r="E137" s="198" t="s">
        <v>114</v>
      </c>
      <c r="F137" s="43">
        <f>+Fixture!B136</f>
        <v>135</v>
      </c>
      <c r="G137" s="42" t="str">
        <f>IF(VLOOKUP(F137,Fixture!$B$2:$F$172,3,FALSE)&lt;&gt;0,VLOOKUP(F137,Fixture!$B$2:$F$172,3,FALSE),"")</f>
        <v>Ron Star</v>
      </c>
      <c r="H137" s="44">
        <f ca="1">IF($D137="Finalizado",_xlfn.XLOOKUP(G137,Resumen!$A$6:$A$22,Resumen!BR$6:BR$22,0),"")</f>
        <v>7</v>
      </c>
      <c r="I137" s="44">
        <f ca="1">IF($D137="Finalizado",_xlfn.XLOOKUP(G137,Resumen!$A$6:$A$22,Resumen!BS$6:BS$22,0),"")</f>
        <v>0</v>
      </c>
      <c r="J137" s="44">
        <f ca="1">IF($D137="Finalizado",_xlfn.XLOOKUP(G137,Resumen!$A$6:$A$22,Resumen!BT$6:BT$22,0)+_xlfn.XLOOKUP(G137,Resumen!$A$6:$A$22,Resumen!BU$6:BU$22,0),"")</f>
        <v>0</v>
      </c>
      <c r="K137" s="44">
        <f t="shared" ca="1" si="296"/>
        <v>1</v>
      </c>
      <c r="L137" s="44">
        <f t="shared" ca="1" si="297"/>
        <v>0</v>
      </c>
      <c r="M137" s="44">
        <f t="shared" ca="1" si="298"/>
        <v>0</v>
      </c>
      <c r="N137" s="44">
        <f t="shared" ca="1" si="299"/>
        <v>1</v>
      </c>
      <c r="O137" s="45">
        <f t="shared" ca="1" si="300"/>
        <v>0</v>
      </c>
      <c r="P137" s="42" t="str">
        <f>IF(VLOOKUP(F137,Fixture!$B$2:$F$172,5,FALSE)&lt;&gt;0,VLOOKUP(F137,Fixture!$B$2:$F$172,5,FALSE),"")</f>
        <v>Atalanta</v>
      </c>
      <c r="Q137" s="44">
        <f ca="1">IF($D137="Finalizado",_xlfn.XLOOKUP(P137,Resumen!$A$6:$A$22,Resumen!BR$6:BR$22,0),"")</f>
        <v>3</v>
      </c>
      <c r="R137" s="44">
        <f ca="1">IF($D137="Finalizado",_xlfn.XLOOKUP(P137,Resumen!$A$6:$A$22,Resumen!BS$6:BS$22,0),"")</f>
        <v>0</v>
      </c>
      <c r="S137" s="44">
        <f ca="1">IF($D137="Finalizado",_xlfn.XLOOKUP(P137,Resumen!$A$6:$A$22,Resumen!CC$6:CC$22,0)+_xlfn.XLOOKUP(P137,Resumen!$A$6:$A$22,Resumen!CD$6:CD$22,0),"")</f>
        <v>7</v>
      </c>
      <c r="T137" s="44">
        <f t="shared" ca="1" si="159"/>
        <v>0</v>
      </c>
      <c r="U137" s="44">
        <f t="shared" ref="U137:U138" ca="1" si="302">IF(D137="Finalizado",IF(Q137=H137,1,0),"")</f>
        <v>0</v>
      </c>
      <c r="V137" s="44">
        <f t="shared" ref="V137:V138" ca="1" si="303">IF(D137="Finalizado",IF(Q137&lt;H137,1,0),"")</f>
        <v>1</v>
      </c>
      <c r="W137" s="44">
        <f t="shared" ca="1" si="160"/>
        <v>1</v>
      </c>
      <c r="X137" s="45">
        <f t="shared" ca="1" si="161"/>
        <v>70</v>
      </c>
      <c r="Y137" s="198"/>
      <c r="AA137" s="19">
        <v>4</v>
      </c>
      <c r="AB137" s="19">
        <f ca="1">AJ137*1000+IF($D$123="Finalizado",AA137*10,0)+(AG137)+(AI137/10)+(AD137/1000)+IF(AL137&gt;0,(0.1/AL137),0)</f>
        <v>15063.411666666665</v>
      </c>
      <c r="AC137" s="46" t="s">
        <v>336</v>
      </c>
      <c r="AD137">
        <f t="shared" ca="1" si="287"/>
        <v>5</v>
      </c>
      <c r="AE137">
        <f t="shared" ca="1" si="288"/>
        <v>0</v>
      </c>
      <c r="AF137">
        <f t="shared" ca="1" si="289"/>
        <v>1</v>
      </c>
      <c r="AG137">
        <f t="shared" ca="1" si="290"/>
        <v>22</v>
      </c>
      <c r="AH137">
        <f t="shared" ca="1" si="291"/>
        <v>8</v>
      </c>
      <c r="AI137">
        <f t="shared" ca="1" si="292"/>
        <v>14</v>
      </c>
      <c r="AJ137">
        <f t="shared" ca="1" si="293"/>
        <v>15</v>
      </c>
      <c r="AK137">
        <f t="shared" ca="1" si="301"/>
        <v>6</v>
      </c>
      <c r="AL137">
        <f t="shared" ca="1" si="294"/>
        <v>15</v>
      </c>
      <c r="AM137">
        <f t="shared" ca="1" si="295"/>
        <v>9049.3070000000007</v>
      </c>
    </row>
    <row r="138" spans="1:40" ht="16.5" thickBot="1" x14ac:dyDescent="0.3">
      <c r="A138" s="210"/>
      <c r="B138" s="60">
        <f>IF(Fixture!C137,Fixture!C137,"")</f>
        <v>45830</v>
      </c>
      <c r="C138" s="58">
        <v>0.67361111111111105</v>
      </c>
      <c r="D138" s="82" t="str">
        <f t="shared" ca="1" si="286"/>
        <v>Finalizado</v>
      </c>
      <c r="E138" s="198"/>
      <c r="F138" s="43">
        <f>+Fixture!B137</f>
        <v>136</v>
      </c>
      <c r="G138" s="42" t="str">
        <f>IF(VLOOKUP(F138,Fixture!$B$2:$F$172,3,FALSE)&lt;&gt;0,VLOOKUP(F138,Fixture!$B$2:$F$172,3,FALSE),"")</f>
        <v>Los Aliados</v>
      </c>
      <c r="H138" s="44">
        <f ca="1">IF($D138="Finalizado",_xlfn.XLOOKUP(G138,Resumen!$A$6:$A$22,Resumen!BR$6:BR$22,0),"")</f>
        <v>1</v>
      </c>
      <c r="I138" s="44">
        <f ca="1">IF($D138="Finalizado",_xlfn.XLOOKUP(G138,Resumen!$A$6:$A$22,Resumen!BS$6:BS$22,0),"")</f>
        <v>0</v>
      </c>
      <c r="J138" s="44">
        <f ca="1">IF($D138="Finalizado",_xlfn.XLOOKUP(G138,Resumen!$A$6:$A$22,Resumen!BT$6:BT$22,0)+_xlfn.XLOOKUP(G138,Resumen!$A$6:$A$22,Resumen!BU$6:BU$22,0),"")</f>
        <v>0</v>
      </c>
      <c r="K138" s="44">
        <f t="shared" ca="1" si="296"/>
        <v>0</v>
      </c>
      <c r="L138" s="44">
        <f t="shared" ca="1" si="297"/>
        <v>0</v>
      </c>
      <c r="M138" s="44">
        <f t="shared" ca="1" si="298"/>
        <v>1</v>
      </c>
      <c r="N138" s="44">
        <f t="shared" ca="1" si="299"/>
        <v>1</v>
      </c>
      <c r="O138" s="45">
        <f t="shared" ca="1" si="300"/>
        <v>0</v>
      </c>
      <c r="P138" s="42" t="str">
        <f>IF(VLOOKUP(F138,Fixture!$B$2:$F$172,5,FALSE)&lt;&gt;0,VLOOKUP(F138,Fixture!$B$2:$F$172,5,FALSE),"")</f>
        <v>La Unión FC</v>
      </c>
      <c r="Q138" s="44">
        <f ca="1">IF($D138="Finalizado",_xlfn.XLOOKUP(P138,Resumen!$A$6:$A$22,Resumen!BR$6:BR$22,0),"")</f>
        <v>6</v>
      </c>
      <c r="R138" s="44">
        <f ca="1">IF($D138="Finalizado",_xlfn.XLOOKUP(P138,Resumen!$A$6:$A$22,Resumen!BS$6:BS$22,0),"")</f>
        <v>2</v>
      </c>
      <c r="S138" s="44">
        <f ca="1">IF($D138="Finalizado",_xlfn.XLOOKUP(P138,Resumen!$A$6:$A$22,Resumen!CC$6:CC$22,0)+_xlfn.XLOOKUP(P138,Resumen!$A$6:$A$22,Resumen!CD$6:CD$22,0),"")</f>
        <v>3</v>
      </c>
      <c r="T138" s="44">
        <f t="shared" ca="1" si="159"/>
        <v>1</v>
      </c>
      <c r="U138" s="44">
        <f t="shared" ca="1" si="302"/>
        <v>0</v>
      </c>
      <c r="V138" s="44">
        <f t="shared" ca="1" si="303"/>
        <v>0</v>
      </c>
      <c r="W138" s="44">
        <f t="shared" ca="1" si="160"/>
        <v>1</v>
      </c>
      <c r="X138" s="45">
        <f t="shared" ca="1" si="161"/>
        <v>40</v>
      </c>
      <c r="Y138" s="198"/>
      <c r="AA138" s="19">
        <v>5</v>
      </c>
      <c r="AB138" s="19">
        <f ca="1">AJ138*1000+IF($D$123="Finalizado",AA136*10,0)+(AG138)+(AI138/10)+(AD138/1000)+IF(AL138&gt;0,(0.1/AL138),0)</f>
        <v>9049.3070000000007</v>
      </c>
      <c r="AC138" s="46" t="s">
        <v>334</v>
      </c>
      <c r="AD138">
        <f t="shared" ca="1" si="287"/>
        <v>3</v>
      </c>
      <c r="AE138">
        <f t="shared" ca="1" si="288"/>
        <v>0</v>
      </c>
      <c r="AF138">
        <f t="shared" ca="1" si="289"/>
        <v>3</v>
      </c>
      <c r="AG138">
        <f t="shared" ca="1" si="290"/>
        <v>19</v>
      </c>
      <c r="AH138">
        <f t="shared" ca="1" si="291"/>
        <v>16</v>
      </c>
      <c r="AI138">
        <f t="shared" ca="1" si="292"/>
        <v>3</v>
      </c>
      <c r="AJ138">
        <f t="shared" ca="1" si="293"/>
        <v>9</v>
      </c>
      <c r="AK138">
        <f t="shared" ca="1" si="301"/>
        <v>6</v>
      </c>
      <c r="AL138">
        <f t="shared" ca="1" si="294"/>
        <v>25</v>
      </c>
      <c r="AM138">
        <f t="shared" ca="1" si="295"/>
        <v>6034.3086666666677</v>
      </c>
    </row>
    <row r="139" spans="1:40" ht="16.5" thickBot="1" x14ac:dyDescent="0.3">
      <c r="A139" s="210"/>
      <c r="B139" s="60">
        <f>IF(Fixture!C138,Fixture!C138,"")</f>
        <v>45830</v>
      </c>
      <c r="C139" s="58">
        <v>0.63541666666666663</v>
      </c>
      <c r="D139" s="82" t="str">
        <f t="shared" ca="1" si="286"/>
        <v>Finalizado</v>
      </c>
      <c r="E139" s="198"/>
      <c r="F139" s="43">
        <f>+Fixture!B138</f>
        <v>137</v>
      </c>
      <c r="G139" s="42" t="str">
        <f>IF(VLOOKUP(F139,Fixture!$B$2:$F$172,3,FALSE)&lt;&gt;0,VLOOKUP(F139,Fixture!$B$2:$F$172,3,FALSE),"")</f>
        <v>Boca Juniors</v>
      </c>
      <c r="H139" s="44">
        <f ca="1">IF($D139="Finalizado",_xlfn.XLOOKUP(G139,Resumen!$A$6:$A$22,Resumen!BR$6:BR$22,0),"")</f>
        <v>3</v>
      </c>
      <c r="I139" s="44">
        <f ca="1">IF($D139="Finalizado",_xlfn.XLOOKUP(G139,Resumen!$A$6:$A$22,Resumen!BS$6:BS$22,0),"")</f>
        <v>1</v>
      </c>
      <c r="J139" s="44">
        <f ca="1">IF($D139="Finalizado",_xlfn.XLOOKUP(G139,Resumen!$A$6:$A$22,Resumen!BT$6:BT$22,0)+_xlfn.XLOOKUP(G139,Resumen!$A$6:$A$22,Resumen!BU$6:BU$22,0),"")</f>
        <v>0</v>
      </c>
      <c r="K139" s="44">
        <f t="shared" ca="1" si="168"/>
        <v>0</v>
      </c>
      <c r="L139" s="44">
        <f t="shared" ca="1" si="256"/>
        <v>0</v>
      </c>
      <c r="M139" s="44">
        <f t="shared" ca="1" si="257"/>
        <v>1</v>
      </c>
      <c r="N139" s="44">
        <f t="shared" ca="1" si="258"/>
        <v>1</v>
      </c>
      <c r="O139" s="45">
        <f t="shared" ca="1" si="259"/>
        <v>5</v>
      </c>
      <c r="P139" s="42" t="str">
        <f>IF(VLOOKUP(F139,Fixture!$B$2:$F$172,5,FALSE)&lt;&gt;0,VLOOKUP(F139,Fixture!$B$2:$F$172,5,FALSE),"")</f>
        <v>Los Amigos</v>
      </c>
      <c r="Q139" s="44">
        <f ca="1">IF($D139="Finalizado",_xlfn.XLOOKUP(P139,Resumen!$A$6:$A$22,Resumen!BR$6:BR$22,0),"")</f>
        <v>4</v>
      </c>
      <c r="R139" s="44">
        <f ca="1">IF($D139="Finalizado",_xlfn.XLOOKUP(P139,Resumen!$A$6:$A$22,Resumen!BS$6:BS$22,0),"")</f>
        <v>1</v>
      </c>
      <c r="S139" s="44">
        <f ca="1">IF($D139="Finalizado",_xlfn.XLOOKUP(P139,Resumen!$A$6:$A$22,Resumen!CC$6:CC$22,0)+_xlfn.XLOOKUP(P139,Resumen!$A$6:$A$22,Resumen!CD$6:CD$22,0),"")</f>
        <v>1</v>
      </c>
      <c r="T139" s="44">
        <f t="shared" ref="T139:T172" ca="1" si="304">IF(D139="Finalizado",IF(Q139&gt;H139,1,0),"")</f>
        <v>1</v>
      </c>
      <c r="U139" s="44">
        <f t="shared" ca="1" si="169"/>
        <v>0</v>
      </c>
      <c r="V139" s="44">
        <f t="shared" ca="1" si="170"/>
        <v>0</v>
      </c>
      <c r="W139" s="44">
        <f t="shared" ref="W139:W172" ca="1" si="305">IF(D139="Finalizado",1,"")</f>
        <v>1</v>
      </c>
      <c r="X139" s="45">
        <f t="shared" ref="X139:X140" ca="1" si="306">IF(D139="Finalizado",SUM(R139*5,S139*10),"")</f>
        <v>15</v>
      </c>
      <c r="Y139" s="197" t="str">
        <f>+A137</f>
        <v>Fecha 18</v>
      </c>
      <c r="AA139" s="19">
        <v>6</v>
      </c>
      <c r="AB139" s="19">
        <f ca="1">AJ139*1000+IF($D$123="Finalizado",AA135*10,0)+(AG139)+(AI139/10)+(AD139/1000)+IF(AL139&gt;0,(0.1/AL139),0)</f>
        <v>6034.3086666666677</v>
      </c>
      <c r="AC139" s="46" t="s">
        <v>331</v>
      </c>
      <c r="AD139">
        <f t="shared" ca="1" si="287"/>
        <v>2</v>
      </c>
      <c r="AE139">
        <f t="shared" ca="1" si="288"/>
        <v>0</v>
      </c>
      <c r="AF139">
        <f t="shared" ca="1" si="289"/>
        <v>4</v>
      </c>
      <c r="AG139">
        <f t="shared" ca="1" si="290"/>
        <v>15</v>
      </c>
      <c r="AH139">
        <f t="shared" ca="1" si="291"/>
        <v>22</v>
      </c>
      <c r="AI139">
        <f t="shared" ca="1" si="292"/>
        <v>-7</v>
      </c>
      <c r="AJ139">
        <f t="shared" ca="1" si="293"/>
        <v>6</v>
      </c>
      <c r="AK139">
        <f t="shared" ca="1" si="301"/>
        <v>6</v>
      </c>
      <c r="AL139">
        <f t="shared" ca="1" si="294"/>
        <v>15</v>
      </c>
      <c r="AM139">
        <f t="shared" ca="1" si="295"/>
        <v>3012.721</v>
      </c>
    </row>
    <row r="140" spans="1:40" ht="16.5" thickBot="1" x14ac:dyDescent="0.3">
      <c r="A140" s="210"/>
      <c r="B140" s="60">
        <f>IF(Fixture!C139,Fixture!C139,"")</f>
        <v>45830</v>
      </c>
      <c r="C140" s="58">
        <v>0.67708333333333337</v>
      </c>
      <c r="D140" s="82" t="str">
        <f t="shared" ca="1" si="286"/>
        <v>Finalizado</v>
      </c>
      <c r="E140" s="198"/>
      <c r="F140" s="43">
        <f>+Fixture!B139</f>
        <v>138</v>
      </c>
      <c r="G140" s="42" t="str">
        <f>IF(VLOOKUP(F140,Fixture!$B$2:$F$172,3,FALSE)&lt;&gt;0,VLOOKUP(F140,Fixture!$B$2:$F$172,3,FALSE),"")</f>
        <v>Valentín FC</v>
      </c>
      <c r="H140" s="44">
        <f ca="1">IF($D140="Finalizado",_xlfn.XLOOKUP(G140,Resumen!$A$6:$A$22,Resumen!BR$6:BR$22,0),"")</f>
        <v>3</v>
      </c>
      <c r="I140" s="44">
        <f ca="1">IF($D140="Finalizado",_xlfn.XLOOKUP(G140,Resumen!$A$6:$A$22,Resumen!BS$6:BS$22,0),"")</f>
        <v>3</v>
      </c>
      <c r="J140" s="44">
        <f ca="1">IF($D140="Finalizado",_xlfn.XLOOKUP(G140,Resumen!$A$6:$A$22,Resumen!BT$6:BT$22,0)+_xlfn.XLOOKUP(G140,Resumen!$A$6:$A$22,Resumen!BU$6:BU$22,0),"")</f>
        <v>0</v>
      </c>
      <c r="K140" s="44">
        <f t="shared" ca="1" si="168"/>
        <v>1</v>
      </c>
      <c r="L140" s="44">
        <f t="shared" ca="1" si="256"/>
        <v>0</v>
      </c>
      <c r="M140" s="44">
        <f t="shared" ca="1" si="257"/>
        <v>0</v>
      </c>
      <c r="N140" s="44">
        <f t="shared" ca="1" si="258"/>
        <v>1</v>
      </c>
      <c r="O140" s="45">
        <f t="shared" ca="1" si="259"/>
        <v>15</v>
      </c>
      <c r="P140" s="42" t="str">
        <f>IF(VLOOKUP(F140,Fixture!$B$2:$F$172,5,FALSE)&lt;&gt;0,VLOOKUP(F140,Fixture!$B$2:$F$172,5,FALSE),"")</f>
        <v>Hojas Anchas</v>
      </c>
      <c r="Q140" s="44">
        <f ca="1">IF($D140="Finalizado",_xlfn.XLOOKUP(P140,Resumen!$A$6:$A$22,Resumen!BR$6:BR$22,0),"")</f>
        <v>2</v>
      </c>
      <c r="R140" s="44">
        <f ca="1">IF($D140="Finalizado",_xlfn.XLOOKUP(P140,Resumen!$A$6:$A$22,Resumen!BS$6:BS$22,0),"")</f>
        <v>1</v>
      </c>
      <c r="S140" s="44">
        <f ca="1">IF($D140="Finalizado",_xlfn.XLOOKUP(P140,Resumen!$A$6:$A$22,Resumen!CC$6:CC$22,0)+_xlfn.XLOOKUP(P140,Resumen!$A$6:$A$22,Resumen!CD$6:CD$22,0),"")</f>
        <v>7</v>
      </c>
      <c r="T140" s="44">
        <f t="shared" ca="1" si="304"/>
        <v>0</v>
      </c>
      <c r="U140" s="44">
        <f t="shared" ref="U140:U172" ca="1" si="307">IF(D140="Finalizado",IF(Q140=H140,1,0),"")</f>
        <v>0</v>
      </c>
      <c r="V140" s="44">
        <f t="shared" ref="V140:V172" ca="1" si="308">IF(D140="Finalizado",IF(Q140&lt;H140,1,0),"")</f>
        <v>1</v>
      </c>
      <c r="W140" s="44">
        <f t="shared" ca="1" si="305"/>
        <v>1</v>
      </c>
      <c r="X140" s="45">
        <f t="shared" ca="1" si="306"/>
        <v>75</v>
      </c>
      <c r="Y140" s="198"/>
      <c r="AA140" s="19">
        <v>7</v>
      </c>
      <c r="AB140" s="19">
        <f ca="1">AJ140*1000+IF($D$123="Finalizado",AA134*10,0)+(AG140)+(AI140/10)+(AD140/1000)+IF(AL140&gt;0,(0.1/AL140),0)</f>
        <v>3012.721</v>
      </c>
      <c r="AC140" s="46" t="s">
        <v>330</v>
      </c>
      <c r="AD140">
        <f t="shared" ca="1" si="287"/>
        <v>1</v>
      </c>
      <c r="AE140">
        <f t="shared" ca="1" si="288"/>
        <v>0</v>
      </c>
      <c r="AF140">
        <f t="shared" ca="1" si="289"/>
        <v>5</v>
      </c>
      <c r="AG140">
        <f t="shared" ca="1" si="290"/>
        <v>5</v>
      </c>
      <c r="AH140">
        <f t="shared" ca="1" si="291"/>
        <v>28</v>
      </c>
      <c r="AI140">
        <f t="shared" ca="1" si="292"/>
        <v>-23</v>
      </c>
      <c r="AJ140">
        <f t="shared" ca="1" si="293"/>
        <v>3</v>
      </c>
      <c r="AK140">
        <f t="shared" ca="1" si="301"/>
        <v>6</v>
      </c>
      <c r="AL140">
        <f t="shared" ca="1" si="294"/>
        <v>5</v>
      </c>
      <c r="AM140">
        <f t="shared" ca="1" si="295"/>
        <v>52.400645161290321</v>
      </c>
    </row>
    <row r="141" spans="1:40" ht="16.5" thickBot="1" x14ac:dyDescent="0.3">
      <c r="A141" s="210"/>
      <c r="B141" s="60">
        <f>IF(Fixture!C140,Fixture!C140,"")</f>
        <v>45830</v>
      </c>
      <c r="C141" s="58">
        <v>0.375</v>
      </c>
      <c r="D141" s="82" t="str">
        <f t="shared" ca="1" si="286"/>
        <v>Finalizado</v>
      </c>
      <c r="E141" s="198"/>
      <c r="F141" s="43">
        <f>+Fixture!B140</f>
        <v>139</v>
      </c>
      <c r="G141" s="42" t="str">
        <f>IF(VLOOKUP(F141,Fixture!$B$2:$F$172,3,FALSE)&lt;&gt;0,VLOOKUP(F141,Fixture!$B$2:$F$172,3,FALSE),"")</f>
        <v>Konami</v>
      </c>
      <c r="H141" s="44">
        <f ca="1">IF($D141="Finalizado",_xlfn.XLOOKUP(G141,Resumen!$A$6:$A$22,Resumen!BR$6:BR$22,0),"")</f>
        <v>2</v>
      </c>
      <c r="I141" s="44">
        <f ca="1">IF($D141="Finalizado",_xlfn.XLOOKUP(G141,Resumen!$A$6:$A$22,Resumen!BS$6:BS$22,0),"")</f>
        <v>1</v>
      </c>
      <c r="J141" s="44">
        <f ca="1">IF($D141="Finalizado",_xlfn.XLOOKUP(G141,Resumen!$A$6:$A$22,Resumen!BT$6:BT$22,0)+_xlfn.XLOOKUP(G141,Resumen!$A$6:$A$22,Resumen!BU$6:BU$22,0),"")</f>
        <v>0</v>
      </c>
      <c r="K141" s="44">
        <f t="shared" ca="1" si="168"/>
        <v>1</v>
      </c>
      <c r="L141" s="44">
        <f t="shared" ca="1" si="256"/>
        <v>0</v>
      </c>
      <c r="M141" s="44">
        <f t="shared" ca="1" si="257"/>
        <v>0</v>
      </c>
      <c r="N141" s="44">
        <f t="shared" ca="1" si="258"/>
        <v>1</v>
      </c>
      <c r="O141" s="45">
        <f t="shared" ca="1" si="259"/>
        <v>5</v>
      </c>
      <c r="P141" s="42" t="str">
        <f>IF(VLOOKUP(F141,Fixture!$B$2:$F$172,5,FALSE)&lt;&gt;0,VLOOKUP(F141,Fixture!$B$2:$F$172,5,FALSE),"")</f>
        <v>La Nueva Era</v>
      </c>
      <c r="Q141" s="44">
        <f ca="1">IF($D141="Finalizado",_xlfn.XLOOKUP(P141,Resumen!$A$6:$A$22,Resumen!BR$6:BR$22,0),"")</f>
        <v>1</v>
      </c>
      <c r="R141" s="44">
        <f ca="1">IF($D141="Finalizado",_xlfn.XLOOKUP(P141,Resumen!$A$6:$A$22,Resumen!BS$6:BS$22,0),"")</f>
        <v>1</v>
      </c>
      <c r="S141" s="44">
        <f ca="1">IF($D141="Finalizado",_xlfn.XLOOKUP(P141,Resumen!$A$6:$A$22,Resumen!CC$6:CC$22,0)+_xlfn.XLOOKUP(P141,Resumen!$A$6:$A$22,Resumen!CD$6:CD$22,0),"")</f>
        <v>0</v>
      </c>
      <c r="T141" s="44">
        <f t="shared" ca="1" si="304"/>
        <v>0</v>
      </c>
      <c r="U141" s="44">
        <f t="shared" ca="1" si="307"/>
        <v>0</v>
      </c>
      <c r="V141" s="44">
        <f t="shared" ca="1" si="308"/>
        <v>1</v>
      </c>
      <c r="W141" s="44">
        <f t="shared" ca="1" si="305"/>
        <v>1</v>
      </c>
      <c r="X141" s="45">
        <f t="shared" ref="X141:X144" ca="1" si="309">IF(D141="Finalizado",SUM(R141*5,S141*10),"")</f>
        <v>5</v>
      </c>
      <c r="Y141" s="198"/>
      <c r="AC141" s="46"/>
    </row>
    <row r="142" spans="1:40" ht="16.5" thickBot="1" x14ac:dyDescent="0.3">
      <c r="A142" s="210"/>
      <c r="B142" s="60">
        <f>IF(Fixture!C141,Fixture!C141,"")</f>
        <v>45830</v>
      </c>
      <c r="C142" s="58">
        <v>0.42708333333333331</v>
      </c>
      <c r="D142" s="82" t="str">
        <f t="shared" ca="1" si="286"/>
        <v>Finalizado</v>
      </c>
      <c r="E142" s="198"/>
      <c r="F142" s="43">
        <f>+Fixture!B141</f>
        <v>140</v>
      </c>
      <c r="G142" s="42" t="str">
        <f>IF(VLOOKUP(F142,Fixture!$B$2:$F$172,3,FALSE)&lt;&gt;0,VLOOKUP(F142,Fixture!$B$2:$F$172,3,FALSE),"")</f>
        <v>Deportivo Fénix</v>
      </c>
      <c r="H142" s="44">
        <f ca="1">IF($D142="Finalizado",_xlfn.XLOOKUP(G142,Resumen!$A$6:$A$22,Resumen!BR$6:BR$22,0),"")</f>
        <v>3</v>
      </c>
      <c r="I142" s="44">
        <f ca="1">IF($D142="Finalizado",_xlfn.XLOOKUP(G142,Resumen!$A$6:$A$22,Resumen!BS$6:BS$22,0),"")</f>
        <v>2</v>
      </c>
      <c r="J142" s="44">
        <f ca="1">IF($D142="Finalizado",_xlfn.XLOOKUP(G142,Resumen!$A$6:$A$22,Resumen!BT$6:BT$22,0)+_xlfn.XLOOKUP(G142,Resumen!$A$6:$A$22,Resumen!BU$6:BU$22,0),"")</f>
        <v>0</v>
      </c>
      <c r="K142" s="44">
        <f t="shared" ref="K142:K148" ca="1" si="310">IF(D142="Finalizado",IF(H142&gt;Q142,1,0),"")</f>
        <v>0</v>
      </c>
      <c r="L142" s="44">
        <f t="shared" ref="L142:L148" ca="1" si="311">IF(D142="Finalizado",IF(H142=Q142,1,0),"")</f>
        <v>0</v>
      </c>
      <c r="M142" s="44">
        <f t="shared" ref="M142:M148" ca="1" si="312">IF(D142="Finalizado",IF(H142&lt;Q142,1,0),"")</f>
        <v>1</v>
      </c>
      <c r="N142" s="44">
        <f t="shared" ref="N142:N148" ca="1" si="313">IF(D142="Finalizado",1,"")</f>
        <v>1</v>
      </c>
      <c r="O142" s="45">
        <f t="shared" ref="O142:O148" ca="1" si="314">IF(D142="Finalizado",SUM(I142*5,J142*10),"")</f>
        <v>10</v>
      </c>
      <c r="P142" s="42" t="str">
        <f>IF(VLOOKUP(F142,Fixture!$B$2:$F$172,5,FALSE)&lt;&gt;0,VLOOKUP(F142,Fixture!$B$2:$F$172,5,FALSE),"")</f>
        <v>La Amistad</v>
      </c>
      <c r="Q142" s="44">
        <f ca="1">IF($D142="Finalizado",_xlfn.XLOOKUP(P142,Resumen!$A$6:$A$22,Resumen!BR$6:BR$22,0),"")</f>
        <v>7</v>
      </c>
      <c r="R142" s="44">
        <f ca="1">IF($D142="Finalizado",_xlfn.XLOOKUP(P142,Resumen!$A$6:$A$22,Resumen!BS$6:BS$22,0),"")</f>
        <v>2</v>
      </c>
      <c r="S142" s="44">
        <f ca="1">IF($D142="Finalizado",_xlfn.XLOOKUP(P142,Resumen!$A$6:$A$22,Resumen!CC$6:CC$22,0)+_xlfn.XLOOKUP(P142,Resumen!$A$6:$A$22,Resumen!CD$6:CD$22,0),"")</f>
        <v>3</v>
      </c>
      <c r="T142" s="44">
        <f t="shared" ca="1" si="304"/>
        <v>1</v>
      </c>
      <c r="U142" s="44">
        <f t="shared" ca="1" si="307"/>
        <v>0</v>
      </c>
      <c r="V142" s="44">
        <f t="shared" ca="1" si="308"/>
        <v>0</v>
      </c>
      <c r="W142" s="44">
        <f t="shared" ca="1" si="305"/>
        <v>1</v>
      </c>
      <c r="X142" s="45">
        <f t="shared" ca="1" si="309"/>
        <v>40</v>
      </c>
      <c r="Y142" s="198"/>
      <c r="AC142" s="46"/>
    </row>
    <row r="143" spans="1:40" ht="16.5" thickBot="1" x14ac:dyDescent="0.3">
      <c r="A143" s="210"/>
      <c r="B143" s="60">
        <f>IF(Fixture!C142,Fixture!C142,"")</f>
        <v>45830</v>
      </c>
      <c r="C143" s="59">
        <v>0.47916666666666669</v>
      </c>
      <c r="D143" s="82" t="str">
        <f t="shared" ca="1" si="286"/>
        <v>Finalizado</v>
      </c>
      <c r="E143" s="198"/>
      <c r="F143" s="43">
        <f>+Fixture!B142</f>
        <v>141</v>
      </c>
      <c r="G143" s="42" t="str">
        <f>IF(VLOOKUP(F143,Fixture!$B$2:$F$172,3,FALSE)&lt;&gt;0,VLOOKUP(F143,Fixture!$B$2:$F$172,3,FALSE),"")</f>
        <v>Villanueva</v>
      </c>
      <c r="H143" s="48">
        <f ca="1">IF($D143="Finalizado",_xlfn.XLOOKUP(G143,Resumen!$A$6:$A$22,Resumen!BR$6:BR$22,0),"")</f>
        <v>3</v>
      </c>
      <c r="I143" s="48">
        <f ca="1">IF($D143="Finalizado",_xlfn.XLOOKUP(G143,Resumen!$A$6:$A$22,Resumen!BS$6:BS$22,0),"")</f>
        <v>0</v>
      </c>
      <c r="J143" s="48">
        <f ca="1">IF($D143="Finalizado",_xlfn.XLOOKUP(G143,Resumen!$A$6:$A$22,Resumen!BT$6:BT$22,0)+_xlfn.XLOOKUP(G143,Resumen!$A$6:$A$22,Resumen!BU$6:BU$22,0),"")</f>
        <v>0</v>
      </c>
      <c r="K143" s="48">
        <f t="shared" ca="1" si="310"/>
        <v>1</v>
      </c>
      <c r="L143" s="48">
        <f t="shared" ca="1" si="311"/>
        <v>0</v>
      </c>
      <c r="M143" s="48">
        <f t="shared" ca="1" si="312"/>
        <v>0</v>
      </c>
      <c r="N143" s="48">
        <f t="shared" ca="1" si="313"/>
        <v>1</v>
      </c>
      <c r="O143" s="49">
        <f t="shared" ca="1" si="314"/>
        <v>0</v>
      </c>
      <c r="P143" s="42" t="str">
        <f>IF(VLOOKUP(F143,Fixture!$B$2:$F$172,5,FALSE)&lt;&gt;0,VLOOKUP(F143,Fixture!$B$2:$F$172,5,FALSE),"")</f>
        <v>CD El Corozo</v>
      </c>
      <c r="Q143" s="44">
        <f ca="1">IF($D143="Finalizado",_xlfn.XLOOKUP(P143,Resumen!$A$6:$A$22,Resumen!BR$6:BR$22,0),"")</f>
        <v>2</v>
      </c>
      <c r="R143" s="44">
        <f ca="1">IF($D143="Finalizado",_xlfn.XLOOKUP(P143,Resumen!$A$6:$A$22,Resumen!BS$6:BS$22,0),"")</f>
        <v>0</v>
      </c>
      <c r="S143" s="44">
        <f ca="1">IF($D143="Finalizado",_xlfn.XLOOKUP(P143,Resumen!$A$6:$A$22,Resumen!CC$6:CC$22,0)+_xlfn.XLOOKUP(P143,Resumen!$A$6:$A$22,Resumen!CD$6:CD$22,0),"")</f>
        <v>3</v>
      </c>
      <c r="T143" s="48">
        <f t="shared" ca="1" si="304"/>
        <v>0</v>
      </c>
      <c r="U143" s="48">
        <f t="shared" ca="1" si="307"/>
        <v>0</v>
      </c>
      <c r="V143" s="48">
        <f t="shared" ca="1" si="308"/>
        <v>1</v>
      </c>
      <c r="W143" s="48">
        <f t="shared" ca="1" si="305"/>
        <v>1</v>
      </c>
      <c r="X143" s="49">
        <f t="shared" ca="1" si="309"/>
        <v>30</v>
      </c>
      <c r="Y143" s="198"/>
      <c r="AC143" s="46"/>
    </row>
    <row r="144" spans="1:40" ht="16.5" thickBot="1" x14ac:dyDescent="0.3">
      <c r="A144" s="210" t="s">
        <v>83</v>
      </c>
      <c r="B144" s="60">
        <f>IF(Fixture!C143,Fixture!C143,"")</f>
        <v>45837</v>
      </c>
      <c r="C144" s="58">
        <v>0.53125</v>
      </c>
      <c r="D144" s="82" t="str">
        <f t="shared" ca="1" si="286"/>
        <v>Finalizado</v>
      </c>
      <c r="E144" s="198" t="s">
        <v>114</v>
      </c>
      <c r="F144" s="43">
        <f>+Fixture!B143</f>
        <v>142</v>
      </c>
      <c r="G144" s="42" t="str">
        <f>IF(VLOOKUP(F144,Fixture!$B$2:$F$172,3,FALSE)&lt;&gt;0,VLOOKUP(F144,Fixture!$B$2:$F$172,3,FALSE),"")</f>
        <v>CD El Corozo</v>
      </c>
      <c r="H144" s="44">
        <f ca="1">IF($D144="Finalizado",_xlfn.XLOOKUP(G144,Resumen!$A$6:$A$22,Resumen!BV$6:BV$22,0),"")</f>
        <v>0</v>
      </c>
      <c r="I144" s="44">
        <f ca="1">IF($D144="Finalizado",_xlfn.XLOOKUP(G144,Resumen!$A$6:$A$22,Resumen!BW$6:BW$22,0),"")</f>
        <v>0</v>
      </c>
      <c r="J144" s="44">
        <f ca="1">IF($D144="Finalizado",_xlfn.XLOOKUP(G144,Resumen!$A$6:$A$22,Resumen!BX$6:BX$22,0)+_xlfn.XLOOKUP(G144,Resumen!$A$6:$A$22,Resumen!BY$6:BY$22,0),"")</f>
        <v>3</v>
      </c>
      <c r="K144" s="44">
        <f t="shared" ca="1" si="310"/>
        <v>0</v>
      </c>
      <c r="L144" s="44">
        <f t="shared" ca="1" si="311"/>
        <v>0</v>
      </c>
      <c r="M144" s="44">
        <f t="shared" ca="1" si="312"/>
        <v>1</v>
      </c>
      <c r="N144" s="44">
        <f t="shared" ca="1" si="313"/>
        <v>1</v>
      </c>
      <c r="O144" s="45">
        <f t="shared" ca="1" si="314"/>
        <v>30</v>
      </c>
      <c r="P144" s="42" t="str">
        <f>IF(VLOOKUP(F144,Fixture!$B$2:$F$172,5,FALSE)&lt;&gt;0,VLOOKUP(F144,Fixture!$B$2:$F$172,5,FALSE),"")</f>
        <v>Deportivo Fénix</v>
      </c>
      <c r="Q144" s="44">
        <f ca="1">IF($D144="Finalizado",_xlfn.XLOOKUP(P144,Resumen!$A$6:$A$22,Resumen!BV$6:BV$22,0),"")</f>
        <v>3</v>
      </c>
      <c r="R144" s="44">
        <f ca="1">IF($D144="Finalizado",_xlfn.XLOOKUP(P144,Resumen!$A$6:$A$22,Resumen!BW$6:BW$22,0),"")</f>
        <v>0</v>
      </c>
      <c r="S144" s="44">
        <f ca="1">IF($D144="Finalizado",_xlfn.XLOOKUP(P144,Resumen!$A$6:$A$22,Resumen!BX$6:BX$22,0)+_xlfn.XLOOKUP(P144,Resumen!$A$6:$A$22,Resumen!BY$6:BY$22,0),"")</f>
        <v>0</v>
      </c>
      <c r="T144" s="44">
        <f t="shared" ca="1" si="304"/>
        <v>1</v>
      </c>
      <c r="U144" s="44">
        <f t="shared" ca="1" si="307"/>
        <v>0</v>
      </c>
      <c r="V144" s="44">
        <f t="shared" ca="1" si="308"/>
        <v>0</v>
      </c>
      <c r="W144" s="44">
        <f t="shared" ca="1" si="305"/>
        <v>1</v>
      </c>
      <c r="X144" s="45">
        <f t="shared" ca="1" si="309"/>
        <v>0</v>
      </c>
      <c r="Y144" s="198"/>
      <c r="AA144" s="40" t="s">
        <v>122</v>
      </c>
      <c r="AB144" s="40"/>
      <c r="AC144" s="41" t="s">
        <v>2</v>
      </c>
      <c r="AD144" s="40" t="s">
        <v>115</v>
      </c>
      <c r="AE144" s="40" t="s">
        <v>116</v>
      </c>
      <c r="AF144" s="40" t="s">
        <v>117</v>
      </c>
      <c r="AG144" s="40" t="s">
        <v>123</v>
      </c>
      <c r="AH144" s="40" t="s">
        <v>124</v>
      </c>
      <c r="AI144" s="40" t="s">
        <v>125</v>
      </c>
      <c r="AJ144" s="40" t="s">
        <v>126</v>
      </c>
      <c r="AK144" s="40" t="s">
        <v>127</v>
      </c>
      <c r="AL144" s="40" t="s">
        <v>119</v>
      </c>
    </row>
    <row r="145" spans="1:39" ht="16.5" thickBot="1" x14ac:dyDescent="0.3">
      <c r="A145" s="210"/>
      <c r="B145" s="60">
        <f>IF(Fixture!C144,Fixture!C144,"")</f>
        <v>45837</v>
      </c>
      <c r="C145" s="58">
        <v>0.58333333333333337</v>
      </c>
      <c r="D145" s="82" t="str">
        <f t="shared" ca="1" si="286"/>
        <v>Finalizado</v>
      </c>
      <c r="E145" s="198"/>
      <c r="F145" s="43">
        <f>+Fixture!B144</f>
        <v>143</v>
      </c>
      <c r="G145" s="42" t="str">
        <f>IF(VLOOKUP(F145,Fixture!$B$2:$F$172,3,FALSE)&lt;&gt;0,VLOOKUP(F145,Fixture!$B$2:$F$172,3,FALSE),"")</f>
        <v>Los Amigos</v>
      </c>
      <c r="H145" s="44">
        <f ca="1">IF($D145="Finalizado",_xlfn.XLOOKUP(G145,Resumen!$A$6:$A$22,Resumen!BV$6:BV$22,0),"")</f>
        <v>8</v>
      </c>
      <c r="I145" s="44">
        <f ca="1">IF($D145="Finalizado",_xlfn.XLOOKUP(G145,Resumen!$A$6:$A$22,Resumen!BW$6:BW$22,0),"")</f>
        <v>1</v>
      </c>
      <c r="J145" s="44">
        <f ca="1">IF($D145="Finalizado",_xlfn.XLOOKUP(G145,Resumen!$A$6:$A$22,Resumen!BX$6:BX$22,0)+_xlfn.XLOOKUP(G145,Resumen!$A$6:$A$22,Resumen!BY$6:BY$22,0),"")</f>
        <v>0</v>
      </c>
      <c r="K145" s="44">
        <f t="shared" ca="1" si="310"/>
        <v>1</v>
      </c>
      <c r="L145" s="44">
        <f t="shared" ca="1" si="311"/>
        <v>0</v>
      </c>
      <c r="M145" s="44">
        <f t="shared" ca="1" si="312"/>
        <v>0</v>
      </c>
      <c r="N145" s="44">
        <f t="shared" ca="1" si="313"/>
        <v>1</v>
      </c>
      <c r="O145" s="45">
        <f t="shared" ca="1" si="314"/>
        <v>5</v>
      </c>
      <c r="P145" s="42" t="str">
        <f>IF(VLOOKUP(F145,Fixture!$B$2:$F$172,5,FALSE)&lt;&gt;0,VLOOKUP(F145,Fixture!$B$2:$F$172,5,FALSE),"")</f>
        <v>Los Aliados</v>
      </c>
      <c r="Q145" s="44">
        <f ca="1">IF($D145="Finalizado",_xlfn.XLOOKUP(P145,Resumen!$A$6:$A$22,Resumen!BV$6:BV$22,0),"")</f>
        <v>2</v>
      </c>
      <c r="R145" s="44">
        <f ca="1">IF($D145="Finalizado",_xlfn.XLOOKUP(P145,Resumen!$A$6:$A$22,Resumen!BW$6:BW$22,0),"")</f>
        <v>0</v>
      </c>
      <c r="S145" s="44">
        <f ca="1">IF($D145="Finalizado",_xlfn.XLOOKUP(P145,Resumen!$A$6:$A$22,Resumen!BX$6:BX$22,0)+_xlfn.XLOOKUP(P145,Resumen!$A$6:$A$22,Resumen!BY$6:BY$22,0),"")</f>
        <v>0</v>
      </c>
      <c r="T145" s="44">
        <f t="shared" ref="T145:T150" ca="1" si="315">IF(D145="Finalizado",IF(Q145&gt;H145,1,0),"")</f>
        <v>0</v>
      </c>
      <c r="U145" s="44">
        <f t="shared" ref="U145:U150" ca="1" si="316">IF(D145="Finalizado",IF(Q145=H145,1,0),"")</f>
        <v>0</v>
      </c>
      <c r="V145" s="44">
        <f t="shared" ref="V145:V150" ca="1" si="317">IF(D145="Finalizado",IF(Q145&lt;H145,1,0),"")</f>
        <v>1</v>
      </c>
      <c r="W145" s="44">
        <f t="shared" ref="W145:W150" ca="1" si="318">IF(D145="Finalizado",1,"")</f>
        <v>1</v>
      </c>
      <c r="X145" s="45">
        <f t="shared" ref="X145:X150" ca="1" si="319">IF(D145="Finalizado",SUM(R145*5,S145*10),"")</f>
        <v>0</v>
      </c>
      <c r="Y145" s="197" t="str">
        <f>+A144</f>
        <v>Fecha 19</v>
      </c>
      <c r="AA145" s="19">
        <v>1</v>
      </c>
      <c r="AB145" s="19">
        <f ca="1">AJ145*1000+IF($D$123="Finalizado",AA150*10,0)+(AG145)+(AI145/10)+(AD145/1000)+IF(AL145&gt;0,(0.1/AL145),0)</f>
        <v>4004.2049999999999</v>
      </c>
      <c r="AC145" s="46" t="str">
        <f ca="1">+AC56</f>
        <v>Valentín FC</v>
      </c>
      <c r="AD145">
        <f ca="1">SUMIF($G$172:$G$178,AC145,$K$172:$K$178)+SUMIF($P$172:$P$178,AC145,$T$172:$T$178)</f>
        <v>1</v>
      </c>
      <c r="AE145">
        <f ca="1">SUMIF($G$172:$G$179,AC145,$L$172:$L$179)+SUMIF($P$172:$P$179,AC145,$U$172:$U$179)</f>
        <v>1</v>
      </c>
      <c r="AF145">
        <f ca="1">SUMIF($G$172:$G$179,AC145,$M$172:$M$179)+SUMIF($P$172:$P$179,AC145,$V$172:$V$179)</f>
        <v>0</v>
      </c>
      <c r="AG145">
        <f ca="1">SUMIF($G$172:$G$179,AC145,$H$172:$H$179)+SUMIF($P$172:$P$179,AC145,$Q$172:$Q$179)</f>
        <v>4</v>
      </c>
      <c r="AH145">
        <f ca="1">SUMIF($G$172:$G$179,AC145,$Q$172:$Q$179)+SUMIF($P$172:$P$179,AC145,$H$172:$H$179)</f>
        <v>2</v>
      </c>
      <c r="AI145">
        <f ca="1">+AG145-AH145</f>
        <v>2</v>
      </c>
      <c r="AJ145">
        <f ca="1">AD145*3+AE145*1</f>
        <v>4</v>
      </c>
      <c r="AK145">
        <f ca="1">SUMIF($G$169:$G$179,AC145,$N$169:$N$179)+SUMIF($P$169:$P$179,AC145,$W$169:$W$179)</f>
        <v>2</v>
      </c>
      <c r="AL145">
        <f ca="1">SUMIF($G$172:$G$182,AC145,$O$172:$O$182)+SUMIF($P$172:$P$182,AC145,$X$172:$X$182)</f>
        <v>25</v>
      </c>
      <c r="AM145">
        <f ca="1">LARGE($AB$145:$AB$148,AA145)</f>
        <v>6007.5086666666675</v>
      </c>
    </row>
    <row r="146" spans="1:39" ht="16.5" thickBot="1" x14ac:dyDescent="0.3">
      <c r="A146" s="210"/>
      <c r="B146" s="60">
        <f>IF(Fixture!C145,Fixture!C145,"")</f>
        <v>45837</v>
      </c>
      <c r="C146" s="58">
        <v>0.63541666666666663</v>
      </c>
      <c r="D146" s="82" t="str">
        <f t="shared" ca="1" si="286"/>
        <v>Finalizado</v>
      </c>
      <c r="E146" s="198"/>
      <c r="F146" s="43">
        <f>+Fixture!B145</f>
        <v>144</v>
      </c>
      <c r="G146" s="42" t="str">
        <f>IF(VLOOKUP(F146,Fixture!$B$2:$F$172,3,FALSE)&lt;&gt;0,VLOOKUP(F146,Fixture!$B$2:$F$172,3,FALSE),"")</f>
        <v>Amenadim</v>
      </c>
      <c r="H146" s="44">
        <f ca="1">IF($D146="Finalizado",_xlfn.XLOOKUP(G146,Resumen!$A$6:$A$22,Resumen!BV$6:BV$22,0),"")</f>
        <v>1</v>
      </c>
      <c r="I146" s="44">
        <f ca="1">IF($D146="Finalizado",_xlfn.XLOOKUP(G146,Resumen!$A$6:$A$22,Resumen!BW$6:BW$22,0),"")</f>
        <v>0</v>
      </c>
      <c r="J146" s="44">
        <f ca="1">IF($D146="Finalizado",_xlfn.XLOOKUP(G146,Resumen!$A$6:$A$22,Resumen!BX$6:BX$22,0)+_xlfn.XLOOKUP(G146,Resumen!$A$6:$A$22,Resumen!BY$6:BY$22,0),"")</f>
        <v>0</v>
      </c>
      <c r="K146" s="44">
        <f t="shared" ca="1" si="310"/>
        <v>0</v>
      </c>
      <c r="L146" s="44">
        <f t="shared" ca="1" si="311"/>
        <v>0</v>
      </c>
      <c r="M146" s="44">
        <f t="shared" ca="1" si="312"/>
        <v>1</v>
      </c>
      <c r="N146" s="44">
        <f t="shared" ca="1" si="313"/>
        <v>1</v>
      </c>
      <c r="O146" s="45">
        <f t="shared" ca="1" si="314"/>
        <v>0</v>
      </c>
      <c r="P146" s="42" t="str">
        <f>IF(VLOOKUP(F146,Fixture!$B$2:$F$172,5,FALSE)&lt;&gt;0,VLOOKUP(F146,Fixture!$B$2:$F$172,5,FALSE),"")</f>
        <v>Konami</v>
      </c>
      <c r="Q146" s="44">
        <f ca="1">IF($D146="Finalizado",_xlfn.XLOOKUP(P146,Resumen!$A$6:$A$22,Resumen!BV$6:BV$22,0),"")</f>
        <v>2</v>
      </c>
      <c r="R146" s="44">
        <f ca="1">IF($D146="Finalizado",_xlfn.XLOOKUP(P146,Resumen!$A$6:$A$22,Resumen!BW$6:BW$22,0),"")</f>
        <v>1</v>
      </c>
      <c r="S146" s="44">
        <f ca="1">IF($D146="Finalizado",_xlfn.XLOOKUP(P146,Resumen!$A$6:$A$22,Resumen!BX$6:BX$22,0)+_xlfn.XLOOKUP(P146,Resumen!$A$6:$A$22,Resumen!BY$6:BY$22,0),"")</f>
        <v>0</v>
      </c>
      <c r="T146" s="44">
        <f t="shared" ca="1" si="315"/>
        <v>1</v>
      </c>
      <c r="U146" s="44">
        <f t="shared" ca="1" si="316"/>
        <v>0</v>
      </c>
      <c r="V146" s="44">
        <f t="shared" ca="1" si="317"/>
        <v>0</v>
      </c>
      <c r="W146" s="44">
        <f t="shared" ca="1" si="318"/>
        <v>1</v>
      </c>
      <c r="X146" s="45">
        <f t="shared" ca="1" si="319"/>
        <v>5</v>
      </c>
      <c r="Y146" s="198"/>
      <c r="AA146" s="19">
        <v>2</v>
      </c>
      <c r="AB146" s="19">
        <f ca="1">AJ146*1000+IF($D$123="Finalizado",AA149*10,0)+(AG146)+(AI146/10)+(AD146/1000)+IF(AL146&gt;0,(0.1/AL146),0)</f>
        <v>6007.5086666666675</v>
      </c>
      <c r="AC146" s="46" t="str">
        <f ca="1">+AC59</f>
        <v>Ron Star</v>
      </c>
      <c r="AD146">
        <f t="shared" ref="AD146:AD148" ca="1" si="320">SUMIF($G$172:$G$178,AC146,$K$172:$K$178)+SUMIF($P$172:$P$178,AC146,$T$172:$T$178)</f>
        <v>2</v>
      </c>
      <c r="AE146">
        <f t="shared" ref="AE146:AE148" ca="1" si="321">SUMIF($G$172:$G$179,AC146,$L$172:$L$179)+SUMIF($P$172:$P$179,AC146,$U$172:$U$179)</f>
        <v>0</v>
      </c>
      <c r="AF146">
        <f t="shared" ref="AF146:AF148" ca="1" si="322">SUMIF($G$172:$G$179,AC146,$M$172:$M$179)+SUMIF($P$172:$P$179,AC146,$V$172:$V$179)</f>
        <v>0</v>
      </c>
      <c r="AG146">
        <f t="shared" ref="AG146:AG148" ca="1" si="323">SUMIF($G$172:$G$179,AC146,$H$172:$H$179)+SUMIF($P$172:$P$179,AC146,$Q$172:$Q$179)</f>
        <v>7</v>
      </c>
      <c r="AH146">
        <f t="shared" ref="AH146:AH148" ca="1" si="324">SUMIF($G$172:$G$179,AC146,$Q$172:$Q$179)+SUMIF($P$172:$P$179,AC146,$H$172:$H$179)</f>
        <v>2</v>
      </c>
      <c r="AI146">
        <f t="shared" ref="AI146:AI148" ca="1" si="325">+AG146-AH146</f>
        <v>5</v>
      </c>
      <c r="AJ146">
        <f t="shared" ref="AJ146:AJ148" ca="1" si="326">AD146*3+AE146*1</f>
        <v>6</v>
      </c>
      <c r="AK146">
        <f t="shared" ref="AK146:AK148" ca="1" si="327">SUMIF($G$169:$G$179,AC146,$N$169:$N$179)+SUMIF($P$169:$P$179,AC146,$W$169:$W$179)</f>
        <v>2</v>
      </c>
      <c r="AL146">
        <f t="shared" ref="AL146:AL148" ca="1" si="328">SUMIF($G$172:$G$182,AC146,$O$172:$O$182)+SUMIF($P$172:$P$182,AC146,$X$172:$X$182)</f>
        <v>15</v>
      </c>
      <c r="AM146">
        <f t="shared" ref="AM146:AM148" ca="1" si="329">LARGE($AB$145:$AB$148,AA146)</f>
        <v>4036.4110000000005</v>
      </c>
    </row>
    <row r="147" spans="1:39" ht="16.5" thickBot="1" x14ac:dyDescent="0.3">
      <c r="A147" s="210"/>
      <c r="B147" s="60">
        <f>IF(Fixture!C146,Fixture!C146,"")</f>
        <v>45837</v>
      </c>
      <c r="C147" s="58">
        <v>0.67708333333333337</v>
      </c>
      <c r="D147" s="82" t="str">
        <f t="shared" ca="1" si="286"/>
        <v>Finalizado</v>
      </c>
      <c r="E147" s="198"/>
      <c r="F147" s="43">
        <f>+Fixture!B146</f>
        <v>145</v>
      </c>
      <c r="G147" s="42" t="str">
        <f>IF(VLOOKUP(F147,Fixture!$B$2:$F$172,3,FALSE)&lt;&gt;0,VLOOKUP(F147,Fixture!$B$2:$F$172,3,FALSE),"")</f>
        <v>Hojas Anchas</v>
      </c>
      <c r="H147" s="44">
        <f ca="1">IF($D147="Finalizado",_xlfn.XLOOKUP(G147,Resumen!$A$6:$A$22,Resumen!BV$6:BV$22,0),"")</f>
        <v>2</v>
      </c>
      <c r="I147" s="44">
        <f ca="1">IF($D147="Finalizado",_xlfn.XLOOKUP(G147,Resumen!$A$6:$A$22,Resumen!BW$6:BW$22,0),"")</f>
        <v>2</v>
      </c>
      <c r="J147" s="44">
        <f ca="1">IF($D147="Finalizado",_xlfn.XLOOKUP(G147,Resumen!$A$6:$A$22,Resumen!BX$6:BX$22,0)+_xlfn.XLOOKUP(G147,Resumen!$A$6:$A$22,Resumen!BY$6:BY$22,0),"")</f>
        <v>0</v>
      </c>
      <c r="K147" s="44">
        <f t="shared" ca="1" si="310"/>
        <v>0</v>
      </c>
      <c r="L147" s="44">
        <f t="shared" ca="1" si="311"/>
        <v>0</v>
      </c>
      <c r="M147" s="44">
        <f t="shared" ca="1" si="312"/>
        <v>1</v>
      </c>
      <c r="N147" s="44">
        <f t="shared" ca="1" si="313"/>
        <v>1</v>
      </c>
      <c r="O147" s="45">
        <f t="shared" ca="1" si="314"/>
        <v>10</v>
      </c>
      <c r="P147" s="42" t="str">
        <f>IF(VLOOKUP(F147,Fixture!$B$2:$F$172,5,FALSE)&lt;&gt;0,VLOOKUP(F147,Fixture!$B$2:$F$172,5,FALSE),"")</f>
        <v>Ron Star</v>
      </c>
      <c r="Q147" s="44">
        <f ca="1">IF($D147="Finalizado",_xlfn.XLOOKUP(P147,Resumen!$A$6:$A$22,Resumen!BV$6:BV$22,0),"")</f>
        <v>5</v>
      </c>
      <c r="R147" s="44">
        <f ca="1">IF($D147="Finalizado",_xlfn.XLOOKUP(P147,Resumen!$A$6:$A$22,Resumen!BW$6:BW$22,0),"")</f>
        <v>0</v>
      </c>
      <c r="S147" s="44">
        <f ca="1">IF($D147="Finalizado",_xlfn.XLOOKUP(P147,Resumen!$A$6:$A$22,Resumen!BX$6:BX$22,0)+_xlfn.XLOOKUP(P147,Resumen!$A$6:$A$22,Resumen!BY$6:BY$22,0),"")</f>
        <v>0</v>
      </c>
      <c r="T147" s="44">
        <f t="shared" ca="1" si="315"/>
        <v>1</v>
      </c>
      <c r="U147" s="44">
        <f t="shared" ca="1" si="316"/>
        <v>0</v>
      </c>
      <c r="V147" s="44">
        <f t="shared" ca="1" si="317"/>
        <v>0</v>
      </c>
      <c r="W147" s="44">
        <f t="shared" ca="1" si="318"/>
        <v>1</v>
      </c>
      <c r="X147" s="45">
        <f t="shared" ca="1" si="319"/>
        <v>0</v>
      </c>
      <c r="Y147" s="198"/>
      <c r="AA147" s="19">
        <v>3</v>
      </c>
      <c r="AB147" s="19">
        <f ca="1">AJ147*1000+IF($D$123="Finalizado",AA148*10,0)+(AG147)+(AI147/10)+(AD147/1000)+IF(AL147&gt;0,(0.1/AL147),0)</f>
        <v>3045.9010000000003</v>
      </c>
      <c r="AC147" s="46" t="str">
        <f ca="1">+AC69</f>
        <v>Konami</v>
      </c>
      <c r="AD147">
        <f t="shared" ca="1" si="320"/>
        <v>1</v>
      </c>
      <c r="AE147">
        <f t="shared" ca="1" si="321"/>
        <v>0</v>
      </c>
      <c r="AF147">
        <f t="shared" ca="1" si="322"/>
        <v>1</v>
      </c>
      <c r="AG147">
        <f t="shared" ca="1" si="323"/>
        <v>6</v>
      </c>
      <c r="AH147">
        <f t="shared" ca="1" si="324"/>
        <v>7</v>
      </c>
      <c r="AI147">
        <f t="shared" ca="1" si="325"/>
        <v>-1</v>
      </c>
      <c r="AJ147">
        <f t="shared" ca="1" si="326"/>
        <v>3</v>
      </c>
      <c r="AK147">
        <f t="shared" ca="1" si="327"/>
        <v>2</v>
      </c>
      <c r="AL147">
        <f t="shared" ca="1" si="328"/>
        <v>0</v>
      </c>
      <c r="AM147">
        <f t="shared" ca="1" si="329"/>
        <v>4004.2049999999999</v>
      </c>
    </row>
    <row r="148" spans="1:39" ht="16.5" thickBot="1" x14ac:dyDescent="0.3">
      <c r="A148" s="210"/>
      <c r="B148" s="60">
        <f>IF(Fixture!C147,Fixture!C147,"")</f>
        <v>45837</v>
      </c>
      <c r="C148" s="58">
        <v>0.375</v>
      </c>
      <c r="D148" s="82" t="str">
        <f t="shared" ca="1" si="286"/>
        <v>Finalizado</v>
      </c>
      <c r="E148" s="198"/>
      <c r="F148" s="43">
        <f>+Fixture!B147</f>
        <v>146</v>
      </c>
      <c r="G148" s="42" t="str">
        <f>IF(VLOOKUP(F148,Fixture!$B$2:$F$172,3,FALSE)&lt;&gt;0,VLOOKUP(F148,Fixture!$B$2:$F$172,3,FALSE),"")</f>
        <v>Villanueva</v>
      </c>
      <c r="H148" s="44">
        <f ca="1">IF($D148="Finalizado",_xlfn.XLOOKUP(G148,Resumen!$A$6:$A$22,Resumen!BV$6:BV$22,0),"")</f>
        <v>6</v>
      </c>
      <c r="I148" s="44">
        <f ca="1">IF($D148="Finalizado",_xlfn.XLOOKUP(G148,Resumen!$A$6:$A$22,Resumen!BW$6:BW$22,0),"")</f>
        <v>0</v>
      </c>
      <c r="J148" s="44">
        <f ca="1">IF($D148="Finalizado",_xlfn.XLOOKUP(G148,Resumen!$A$6:$A$22,Resumen!BX$6:BX$22,0)+_xlfn.XLOOKUP(G148,Resumen!$A$6:$A$22,Resumen!BY$6:BY$22,0),"")</f>
        <v>0</v>
      </c>
      <c r="K148" s="44">
        <f t="shared" ca="1" si="310"/>
        <v>1</v>
      </c>
      <c r="L148" s="44">
        <f t="shared" ca="1" si="311"/>
        <v>0</v>
      </c>
      <c r="M148" s="44">
        <f t="shared" ca="1" si="312"/>
        <v>0</v>
      </c>
      <c r="N148" s="44">
        <f t="shared" ca="1" si="313"/>
        <v>1</v>
      </c>
      <c r="O148" s="45">
        <f t="shared" ca="1" si="314"/>
        <v>0</v>
      </c>
      <c r="P148" s="42" t="str">
        <f>IF(VLOOKUP(F148,Fixture!$B$2:$F$172,5,FALSE)&lt;&gt;0,VLOOKUP(F148,Fixture!$B$2:$F$172,5,FALSE),"")</f>
        <v>La Nueva Era</v>
      </c>
      <c r="Q148" s="44">
        <f ca="1">IF($D148="Finalizado",_xlfn.XLOOKUP(P148,Resumen!$A$6:$A$22,Resumen!BV$6:BV$22,0),"")</f>
        <v>0</v>
      </c>
      <c r="R148" s="44">
        <f ca="1">IF($D148="Finalizado",_xlfn.XLOOKUP(P148,Resumen!$A$6:$A$22,Resumen!BW$6:BW$22,0),"")</f>
        <v>0</v>
      </c>
      <c r="S148" s="44">
        <f ca="1">IF($D148="Finalizado",_xlfn.XLOOKUP(P148,Resumen!$A$6:$A$22,Resumen!BX$6:BX$22,0)+_xlfn.XLOOKUP(P148,Resumen!$A$6:$A$22,Resumen!BY$6:BY$22,0),"")</f>
        <v>0</v>
      </c>
      <c r="T148" s="44">
        <f t="shared" ca="1" si="315"/>
        <v>0</v>
      </c>
      <c r="U148" s="44">
        <f t="shared" ca="1" si="316"/>
        <v>0</v>
      </c>
      <c r="V148" s="44">
        <f t="shared" ca="1" si="317"/>
        <v>1</v>
      </c>
      <c r="W148" s="44">
        <f t="shared" ca="1" si="318"/>
        <v>1</v>
      </c>
      <c r="X148" s="45">
        <f t="shared" ca="1" si="319"/>
        <v>0</v>
      </c>
      <c r="Y148" s="198"/>
      <c r="AA148" s="19">
        <v>4</v>
      </c>
      <c r="AB148" s="19">
        <f ca="1">AJ148*1000+IF($D$123="Finalizado",AA147*10,0)+(AG148)+(AI148/10)+(AD148/1000)+IF(AL148&gt;0,(0.1/AL148),0)</f>
        <v>4036.4110000000005</v>
      </c>
      <c r="AC148" s="46" t="str">
        <f ca="1">+AC58</f>
        <v>Los Amigos</v>
      </c>
      <c r="AD148">
        <f t="shared" ca="1" si="320"/>
        <v>1</v>
      </c>
      <c r="AE148">
        <f t="shared" ca="1" si="321"/>
        <v>1</v>
      </c>
      <c r="AF148">
        <f t="shared" ca="1" si="322"/>
        <v>0</v>
      </c>
      <c r="AG148">
        <f t="shared" ca="1" si="323"/>
        <v>6</v>
      </c>
      <c r="AH148">
        <f t="shared" ca="1" si="324"/>
        <v>2</v>
      </c>
      <c r="AI148">
        <f t="shared" ca="1" si="325"/>
        <v>4</v>
      </c>
      <c r="AJ148">
        <f t="shared" ca="1" si="326"/>
        <v>4</v>
      </c>
      <c r="AK148">
        <f t="shared" ca="1" si="327"/>
        <v>2</v>
      </c>
      <c r="AL148">
        <f t="shared" ca="1" si="328"/>
        <v>10</v>
      </c>
      <c r="AM148">
        <f t="shared" ca="1" si="329"/>
        <v>3045.9010000000003</v>
      </c>
    </row>
    <row r="149" spans="1:39" ht="16.5" thickBot="1" x14ac:dyDescent="0.3">
      <c r="A149" s="210"/>
      <c r="B149" s="60">
        <f>IF(Fixture!C148,Fixture!C148,"")</f>
        <v>45837</v>
      </c>
      <c r="C149" s="58">
        <v>0.42708333333333331</v>
      </c>
      <c r="D149" s="82" t="str">
        <f t="shared" ca="1" si="286"/>
        <v>Finalizado</v>
      </c>
      <c r="E149" s="198"/>
      <c r="F149" s="43">
        <f>+Fixture!B148</f>
        <v>147</v>
      </c>
      <c r="G149" s="42" t="str">
        <f>IF(VLOOKUP(F149,Fixture!$B$2:$F$172,3,FALSE)&lt;&gt;0,VLOOKUP(F149,Fixture!$B$2:$F$172,3,FALSE),"")</f>
        <v>Boca Juniors</v>
      </c>
      <c r="H149" s="44">
        <f ca="1">IF($D149="Finalizado",_xlfn.XLOOKUP(G149,Resumen!$A$6:$A$22,Resumen!BV$6:BV$22,0),"")</f>
        <v>2</v>
      </c>
      <c r="I149" s="44">
        <f ca="1">IF($D149="Finalizado",_xlfn.XLOOKUP(G149,Resumen!$A$6:$A$22,Resumen!BW$6:BW$22,0),"")</f>
        <v>2</v>
      </c>
      <c r="J149" s="44">
        <f ca="1">IF($D149="Finalizado",_xlfn.XLOOKUP(G149,Resumen!$A$6:$A$22,Resumen!BX$6:BX$22,0)+_xlfn.XLOOKUP(G149,Resumen!$A$6:$A$22,Resumen!BY$6:BY$22,0),"")</f>
        <v>0</v>
      </c>
      <c r="K149" s="44">
        <f t="shared" ref="K149:K150" ca="1" si="330">IF(D149="Finalizado",IF(H149&gt;Q149,1,0),"")</f>
        <v>0</v>
      </c>
      <c r="L149" s="44">
        <f t="shared" ref="L149:L150" ca="1" si="331">IF(D149="Finalizado",IF(H149=Q149,1,0),"")</f>
        <v>1</v>
      </c>
      <c r="M149" s="44">
        <f t="shared" ref="M149:M150" ca="1" si="332">IF(D149="Finalizado",IF(H149&lt;Q149,1,0),"")</f>
        <v>0</v>
      </c>
      <c r="N149" s="44">
        <f t="shared" ref="N149:N150" ca="1" si="333">IF(D149="Finalizado",1,"")</f>
        <v>1</v>
      </c>
      <c r="O149" s="45">
        <f t="shared" ref="O149:O150" ca="1" si="334">IF(D149="Finalizado",SUM(I149*5,J149*10),"")</f>
        <v>10</v>
      </c>
      <c r="P149" s="42" t="str">
        <f>IF(VLOOKUP(F149,Fixture!$B$2:$F$172,5,FALSE)&lt;&gt;0,VLOOKUP(F149,Fixture!$B$2:$F$172,5,FALSE),"")</f>
        <v>Atalanta</v>
      </c>
      <c r="Q149" s="44">
        <f ca="1">IF($D149="Finalizado",_xlfn.XLOOKUP(P149,Resumen!$A$6:$A$22,Resumen!BV$6:BV$22,0),"")</f>
        <v>2</v>
      </c>
      <c r="R149" s="44">
        <f ca="1">IF($D149="Finalizado",_xlfn.XLOOKUP(P149,Resumen!$A$6:$A$22,Resumen!BW$6:BW$22,0),"")</f>
        <v>0</v>
      </c>
      <c r="S149" s="44">
        <f ca="1">IF($D149="Finalizado",_xlfn.XLOOKUP(P149,Resumen!$A$6:$A$22,Resumen!BX$6:BX$22,0)+_xlfn.XLOOKUP(P149,Resumen!$A$6:$A$22,Resumen!BY$6:BY$22,0),"")</f>
        <v>1</v>
      </c>
      <c r="T149" s="44">
        <f t="shared" ca="1" si="315"/>
        <v>0</v>
      </c>
      <c r="U149" s="44">
        <f t="shared" ca="1" si="316"/>
        <v>1</v>
      </c>
      <c r="V149" s="44">
        <f t="shared" ca="1" si="317"/>
        <v>0</v>
      </c>
      <c r="W149" s="44">
        <f t="shared" ca="1" si="318"/>
        <v>1</v>
      </c>
      <c r="X149" s="45">
        <f t="shared" ca="1" si="319"/>
        <v>10</v>
      </c>
      <c r="Y149" s="198"/>
    </row>
    <row r="150" spans="1:39" ht="16.5" thickBot="1" x14ac:dyDescent="0.3">
      <c r="A150" s="211"/>
      <c r="B150" s="60">
        <f>IF(Fixture!C149,Fixture!C149,"")</f>
        <v>45837</v>
      </c>
      <c r="C150" s="59">
        <v>0.47916666666666669</v>
      </c>
      <c r="D150" s="82" t="str">
        <f t="shared" ca="1" si="286"/>
        <v>Finalizado</v>
      </c>
      <c r="E150" s="199"/>
      <c r="F150" s="43">
        <f>+Fixture!B149</f>
        <v>148</v>
      </c>
      <c r="G150" s="42" t="str">
        <f>IF(VLOOKUP(F150,Fixture!$B$2:$F$172,3,FALSE)&lt;&gt;0,VLOOKUP(F150,Fixture!$B$2:$F$172,3,FALSE),"")</f>
        <v>Valentín FC</v>
      </c>
      <c r="H150" s="44">
        <f ca="1">IF($D150="Finalizado",_xlfn.XLOOKUP(G150,Resumen!$A$6:$A$22,Resumen!BV$6:BV$22,0),"")</f>
        <v>3</v>
      </c>
      <c r="I150" s="44">
        <f ca="1">IF($D150="Finalizado",_xlfn.XLOOKUP(G150,Resumen!$A$6:$A$22,Resumen!BW$6:BW$22,0),"")</f>
        <v>2</v>
      </c>
      <c r="J150" s="44">
        <f ca="1">IF($D150="Finalizado",_xlfn.XLOOKUP(G150,Resumen!$A$6:$A$22,Resumen!BX$6:BX$22,0)+_xlfn.XLOOKUP(G150,Resumen!$A$6:$A$22,Resumen!BY$6:BY$22,0),"")</f>
        <v>0</v>
      </c>
      <c r="K150" s="48">
        <f t="shared" ca="1" si="330"/>
        <v>1</v>
      </c>
      <c r="L150" s="48">
        <f t="shared" ca="1" si="331"/>
        <v>0</v>
      </c>
      <c r="M150" s="48">
        <f t="shared" ca="1" si="332"/>
        <v>0</v>
      </c>
      <c r="N150" s="48">
        <f t="shared" ca="1" si="333"/>
        <v>1</v>
      </c>
      <c r="O150" s="49">
        <f t="shared" ca="1" si="334"/>
        <v>10</v>
      </c>
      <c r="P150" s="42" t="str">
        <f>IF(VLOOKUP(F150,Fixture!$B$2:$F$172,5,FALSE)&lt;&gt;0,VLOOKUP(F150,Fixture!$B$2:$F$172,5,FALSE),"")</f>
        <v>La Unión FC</v>
      </c>
      <c r="Q150" s="44">
        <f ca="1">IF($D150="Finalizado",_xlfn.XLOOKUP(P150,Resumen!$A$6:$A$22,Resumen!BV$6:BV$22,0),"")</f>
        <v>0</v>
      </c>
      <c r="R150" s="44">
        <f ca="1">IF($D150="Finalizado",_xlfn.XLOOKUP(P150,Resumen!$A$6:$A$22,Resumen!BW$6:BW$22,0),"")</f>
        <v>4</v>
      </c>
      <c r="S150" s="44">
        <f ca="1">IF($D150="Finalizado",_xlfn.XLOOKUP(P150,Resumen!$A$6:$A$22,Resumen!BX$6:BX$22,0)+_xlfn.XLOOKUP(P150,Resumen!$A$6:$A$22,Resumen!BY$6:BY$22,0),"")</f>
        <v>0</v>
      </c>
      <c r="T150" s="44">
        <f t="shared" ca="1" si="315"/>
        <v>0</v>
      </c>
      <c r="U150" s="44">
        <f t="shared" ca="1" si="316"/>
        <v>0</v>
      </c>
      <c r="V150" s="44">
        <f t="shared" ca="1" si="317"/>
        <v>1</v>
      </c>
      <c r="W150" s="44">
        <f t="shared" ca="1" si="318"/>
        <v>1</v>
      </c>
      <c r="X150" s="45">
        <f t="shared" ca="1" si="319"/>
        <v>20</v>
      </c>
      <c r="Y150" s="198"/>
    </row>
    <row r="151" spans="1:39" ht="16.5" thickBot="1" x14ac:dyDescent="0.3">
      <c r="A151" s="209" t="s">
        <v>84</v>
      </c>
      <c r="B151" s="60">
        <f>IF(Fixture!C150,Fixture!C150,"")</f>
        <v>45844</v>
      </c>
      <c r="C151" s="58">
        <v>0.53125</v>
      </c>
      <c r="D151" s="82" t="str">
        <f t="shared" ca="1" si="286"/>
        <v>Finalizado</v>
      </c>
      <c r="E151" s="197" t="s">
        <v>114</v>
      </c>
      <c r="F151" s="43">
        <f>+Fixture!B150</f>
        <v>149</v>
      </c>
      <c r="G151" s="42" t="str">
        <f>IF(VLOOKUP(F151,Fixture!$B$2:$F$172,3,FALSE)&lt;&gt;0,VLOOKUP(F151,Fixture!$B$2:$F$172,3,FALSE),"")</f>
        <v>Amenadim</v>
      </c>
      <c r="H151" s="44">
        <f ca="1">IF($D151="Finalizado",_xlfn.XLOOKUP(G151,Resumen!$A$6:$A$22,Resumen!BZ$6:BZ$22,0),"")</f>
        <v>2</v>
      </c>
      <c r="I151" s="44">
        <f ca="1">IF($D151="Finalizado",_xlfn.XLOOKUP(G151,Resumen!$A$6:$A$22,Resumen!CA$6:CA$22,0),"")</f>
        <v>2</v>
      </c>
      <c r="J151" s="44">
        <f ca="1">IF($D151="Finalizado",_xlfn.XLOOKUP(G151,Resumen!$A$6:$A$22,Resumen!CB$6:CB$22,0)+_xlfn.XLOOKUP(G151,Resumen!$A$6:$A$22,Resumen!CC$6:CC$22,0),"")</f>
        <v>0</v>
      </c>
      <c r="K151" s="44">
        <f t="shared" ref="K151:K156" ca="1" si="335">IF(D151="Finalizado",IF(H151&gt;Q151,1,0),"")</f>
        <v>0</v>
      </c>
      <c r="L151" s="44">
        <f t="shared" ref="L151:L162" ca="1" si="336">IF(D151="Finalizado",IF(H151=Q151,1,0),"")</f>
        <v>0</v>
      </c>
      <c r="M151" s="44">
        <f t="shared" ref="M151:M162" ca="1" si="337">IF(D151="Finalizado",IF(H151&lt;Q151,1,0),"")</f>
        <v>1</v>
      </c>
      <c r="N151" s="44">
        <f t="shared" ref="N151:N162" ca="1" si="338">IF(D151="Finalizado",1,"")</f>
        <v>1</v>
      </c>
      <c r="O151" s="45">
        <f t="shared" ref="O151:O162" ca="1" si="339">IF(D151="Finalizado",SUM(I151*5,J151*10),"")</f>
        <v>10</v>
      </c>
      <c r="P151" s="42" t="str">
        <f>IF(VLOOKUP(F151,Fixture!$B$2:$F$172,5,FALSE)&lt;&gt;0,VLOOKUP(F151,Fixture!$B$2:$F$172,5,FALSE),"")</f>
        <v>La Amistad</v>
      </c>
      <c r="Q151" s="44">
        <f ca="1">IF($D151="Finalizado",_xlfn.XLOOKUP(P151,Resumen!$A$6:$A$22,Resumen!BZ$6:BZ$22,0),"")</f>
        <v>7</v>
      </c>
      <c r="R151" s="44">
        <f ca="1">IF($D151="Finalizado",_xlfn.XLOOKUP(P151,Resumen!$A$6:$A$22,Resumen!CA$6:CA$22,0),"")</f>
        <v>1</v>
      </c>
      <c r="S151" s="44">
        <f ca="1">IF($D151="Finalizado",_xlfn.XLOOKUP(P151,Resumen!$A$6:$A$22,Resumen!CB$6:CB$22,0)+_xlfn.XLOOKUP(P151,Resumen!$A$6:$A$22,Resumen!CC$6:CC$22,0),"")</f>
        <v>0</v>
      </c>
      <c r="T151" s="44">
        <f t="shared" ca="1" si="304"/>
        <v>1</v>
      </c>
      <c r="U151" s="44">
        <f t="shared" ca="1" si="307"/>
        <v>0</v>
      </c>
      <c r="V151" s="44">
        <f t="shared" ca="1" si="308"/>
        <v>0</v>
      </c>
      <c r="W151" s="44">
        <f t="shared" ca="1" si="305"/>
        <v>1</v>
      </c>
      <c r="X151" s="45">
        <f t="shared" ref="X151:X154" ca="1" si="340">IF(D151="Finalizado",SUM(R151*5,S151*10),"")</f>
        <v>5</v>
      </c>
      <c r="Y151" s="197" t="str">
        <f t="shared" ref="Y151" si="341">+A151</f>
        <v>Fecha 20</v>
      </c>
    </row>
    <row r="152" spans="1:39" ht="16.5" thickBot="1" x14ac:dyDescent="0.3">
      <c r="A152" s="210"/>
      <c r="B152" s="60">
        <f>IF(Fixture!C151,Fixture!C151,"")</f>
        <v>45844</v>
      </c>
      <c r="C152" s="58">
        <v>0.58333333333333337</v>
      </c>
      <c r="D152" s="82" t="str">
        <f t="shared" ca="1" si="286"/>
        <v>Finalizado</v>
      </c>
      <c r="E152" s="198"/>
      <c r="F152" s="43">
        <f>+Fixture!B151</f>
        <v>150</v>
      </c>
      <c r="G152" s="42" t="str">
        <f>IF(VLOOKUP(F152,Fixture!$B$2:$F$172,3,FALSE)&lt;&gt;0,VLOOKUP(F152,Fixture!$B$2:$F$172,3,FALSE),"")</f>
        <v>Los Amigos</v>
      </c>
      <c r="H152" s="44">
        <f ca="1">IF($D152="Finalizado",_xlfn.XLOOKUP(G152,Resumen!$A$6:$A$22,Resumen!BZ$6:BZ$22,0),"")</f>
        <v>8</v>
      </c>
      <c r="I152" s="44">
        <f ca="1">IF($D152="Finalizado",_xlfn.XLOOKUP(G152,Resumen!$A$6:$A$22,Resumen!CA$6:CA$22,0),"")</f>
        <v>0</v>
      </c>
      <c r="J152" s="44">
        <f ca="1">IF($D152="Finalizado",_xlfn.XLOOKUP(G152,Resumen!$A$6:$A$22,Resumen!CB$6:CB$22,0)+_xlfn.XLOOKUP(G152,Resumen!$A$6:$A$22,Resumen!CC$6:CC$22,0),"")</f>
        <v>0</v>
      </c>
      <c r="K152" s="44">
        <f t="shared" ca="1" si="335"/>
        <v>1</v>
      </c>
      <c r="L152" s="44">
        <f t="shared" ca="1" si="336"/>
        <v>0</v>
      </c>
      <c r="M152" s="44">
        <f t="shared" ca="1" si="337"/>
        <v>0</v>
      </c>
      <c r="N152" s="44">
        <f t="shared" ca="1" si="338"/>
        <v>1</v>
      </c>
      <c r="O152" s="45">
        <f t="shared" ca="1" si="339"/>
        <v>0</v>
      </c>
      <c r="P152" s="42" t="str">
        <f>IF(VLOOKUP(F152,Fixture!$B$2:$F$172,5,FALSE)&lt;&gt;0,VLOOKUP(F152,Fixture!$B$2:$F$172,5,FALSE),"")</f>
        <v>Atalanta</v>
      </c>
      <c r="Q152" s="44">
        <f ca="1">IF($D152="Finalizado",_xlfn.XLOOKUP(P152,Resumen!$A$6:$A$22,Resumen!BZ$6:BZ$22,0),"")</f>
        <v>2</v>
      </c>
      <c r="R152" s="44">
        <f ca="1">IF($D152="Finalizado",_xlfn.XLOOKUP(P152,Resumen!$A$6:$A$22,Resumen!CA$6:CA$22,0),"")</f>
        <v>0</v>
      </c>
      <c r="S152" s="44">
        <f ca="1">IF($D152="Finalizado",_xlfn.XLOOKUP(P152,Resumen!$A$6:$A$22,Resumen!CB$6:CB$22,0)+_xlfn.XLOOKUP(P152,Resumen!$A$6:$A$22,Resumen!CC$6:CC$22,0),"")</f>
        <v>0</v>
      </c>
      <c r="T152" s="44">
        <f t="shared" ca="1" si="304"/>
        <v>0</v>
      </c>
      <c r="U152" s="44">
        <f t="shared" ca="1" si="307"/>
        <v>0</v>
      </c>
      <c r="V152" s="44">
        <f t="shared" ca="1" si="308"/>
        <v>1</v>
      </c>
      <c r="W152" s="44">
        <f t="shared" ca="1" si="305"/>
        <v>1</v>
      </c>
      <c r="X152" s="45">
        <f t="shared" ca="1" si="340"/>
        <v>0</v>
      </c>
      <c r="Y152" s="198"/>
    </row>
    <row r="153" spans="1:39" ht="16.5" thickBot="1" x14ac:dyDescent="0.3">
      <c r="A153" s="210"/>
      <c r="B153" s="60">
        <f>IF(Fixture!C152,Fixture!C152,"")</f>
        <v>45844</v>
      </c>
      <c r="C153" s="58">
        <v>0.63541666666666663</v>
      </c>
      <c r="D153" s="82" t="str">
        <f t="shared" ca="1" si="286"/>
        <v>Finalizado</v>
      </c>
      <c r="E153" s="198"/>
      <c r="F153" s="43">
        <f>+Fixture!B152</f>
        <v>151</v>
      </c>
      <c r="G153" s="42" t="str">
        <f>IF(VLOOKUP(F153,Fixture!$B$2:$F$172,3,FALSE)&lt;&gt;0,VLOOKUP(F153,Fixture!$B$2:$F$172,3,FALSE),"")</f>
        <v>Deportivo Fénix</v>
      </c>
      <c r="H153" s="44">
        <f ca="1">IF($D153="Finalizado",_xlfn.XLOOKUP(G153,Resumen!$A$6:$A$22,Resumen!BZ$6:BZ$22,0),"")</f>
        <v>0</v>
      </c>
      <c r="I153" s="44">
        <f ca="1">IF($D153="Finalizado",_xlfn.XLOOKUP(G153,Resumen!$A$6:$A$22,Resumen!CA$6:CA$22,0),"")</f>
        <v>0</v>
      </c>
      <c r="J153" s="44">
        <f ca="1">IF($D153="Finalizado",_xlfn.XLOOKUP(G153,Resumen!$A$6:$A$22,Resumen!CB$6:CB$22,0)+_xlfn.XLOOKUP(G153,Resumen!$A$6:$A$22,Resumen!CC$6:CC$22,0),"")</f>
        <v>0</v>
      </c>
      <c r="K153" s="44">
        <f t="shared" ca="1" si="335"/>
        <v>0</v>
      </c>
      <c r="L153" s="44">
        <f t="shared" ca="1" si="336"/>
        <v>0</v>
      </c>
      <c r="M153" s="44">
        <f t="shared" ca="1" si="337"/>
        <v>1</v>
      </c>
      <c r="N153" s="44">
        <f t="shared" ca="1" si="338"/>
        <v>1</v>
      </c>
      <c r="O153" s="45">
        <f t="shared" ca="1" si="339"/>
        <v>0</v>
      </c>
      <c r="P153" s="42" t="str">
        <f>IF(VLOOKUP(F153,Fixture!$B$2:$F$172,5,FALSE)&lt;&gt;0,VLOOKUP(F153,Fixture!$B$2:$F$172,5,FALSE),"")</f>
        <v>Konami</v>
      </c>
      <c r="Q153" s="44">
        <f ca="1">IF($D153="Finalizado",_xlfn.XLOOKUP(P153,Resumen!$A$6:$A$22,Resumen!BZ$6:BZ$22,0),"")</f>
        <v>5</v>
      </c>
      <c r="R153" s="44">
        <f ca="1">IF($D153="Finalizado",_xlfn.XLOOKUP(P153,Resumen!$A$6:$A$22,Resumen!CA$6:CA$22,0),"")</f>
        <v>0</v>
      </c>
      <c r="S153" s="44">
        <f ca="1">IF($D153="Finalizado",_xlfn.XLOOKUP(P153,Resumen!$A$6:$A$22,Resumen!CB$6:CB$22,0)+_xlfn.XLOOKUP(P153,Resumen!$A$6:$A$22,Resumen!CC$6:CC$22,0),"")</f>
        <v>0</v>
      </c>
      <c r="T153" s="44">
        <f t="shared" ca="1" si="304"/>
        <v>1</v>
      </c>
      <c r="U153" s="44">
        <f t="shared" ca="1" si="307"/>
        <v>0</v>
      </c>
      <c r="V153" s="44">
        <f t="shared" ca="1" si="308"/>
        <v>0</v>
      </c>
      <c r="W153" s="44">
        <f t="shared" ca="1" si="305"/>
        <v>1</v>
      </c>
      <c r="X153" s="45">
        <f t="shared" ca="1" si="340"/>
        <v>0</v>
      </c>
      <c r="Y153" s="198"/>
    </row>
    <row r="154" spans="1:39" ht="16.5" thickBot="1" x14ac:dyDescent="0.3">
      <c r="A154" s="210"/>
      <c r="B154" s="60">
        <f>IF(Fixture!C153,Fixture!C153,"")</f>
        <v>45844</v>
      </c>
      <c r="C154" s="58">
        <v>0.67708333333333337</v>
      </c>
      <c r="D154" s="82" t="str">
        <f t="shared" ca="1" si="286"/>
        <v>Finalizado</v>
      </c>
      <c r="E154" s="198"/>
      <c r="F154" s="43">
        <f>+Fixture!B153</f>
        <v>152</v>
      </c>
      <c r="G154" s="42" t="str">
        <f>IF(VLOOKUP(F154,Fixture!$B$2:$F$172,3,FALSE)&lt;&gt;0,VLOOKUP(F154,Fixture!$B$2:$F$172,3,FALSE),"")</f>
        <v>Los Aliados</v>
      </c>
      <c r="H154" s="44">
        <f ca="1">IF($D154="Finalizado",_xlfn.XLOOKUP(G154,Resumen!$A$6:$A$22,Resumen!BZ$6:BZ$22,0),"")</f>
        <v>0</v>
      </c>
      <c r="I154" s="44">
        <f ca="1">IF($D154="Finalizado",_xlfn.XLOOKUP(G154,Resumen!$A$6:$A$22,Resumen!CA$6:CA$22,0),"")</f>
        <v>1</v>
      </c>
      <c r="J154" s="44">
        <f ca="1">IF($D154="Finalizado",_xlfn.XLOOKUP(G154,Resumen!$A$6:$A$22,Resumen!CB$6:CB$22,0)+_xlfn.XLOOKUP(G154,Resumen!$A$6:$A$22,Resumen!CC$6:CC$22,0),"")</f>
        <v>3</v>
      </c>
      <c r="K154" s="44">
        <f t="shared" ca="1" si="335"/>
        <v>0</v>
      </c>
      <c r="L154" s="44">
        <f t="shared" ca="1" si="336"/>
        <v>0</v>
      </c>
      <c r="M154" s="44">
        <f t="shared" ca="1" si="337"/>
        <v>1</v>
      </c>
      <c r="N154" s="44">
        <f t="shared" ca="1" si="338"/>
        <v>1</v>
      </c>
      <c r="O154" s="45">
        <f t="shared" ca="1" si="339"/>
        <v>35</v>
      </c>
      <c r="P154" s="42" t="str">
        <f>IF(VLOOKUP(F154,Fixture!$B$2:$F$172,5,FALSE)&lt;&gt;0,VLOOKUP(F154,Fixture!$B$2:$F$172,5,FALSE),"")</f>
        <v>Ron Star</v>
      </c>
      <c r="Q154" s="44">
        <f ca="1">IF($D154="Finalizado",_xlfn.XLOOKUP(P154,Resumen!$A$6:$A$22,Resumen!BZ$6:BZ$22,0),"")</f>
        <v>2</v>
      </c>
      <c r="R154" s="44">
        <f ca="1">IF($D154="Finalizado",_xlfn.XLOOKUP(P154,Resumen!$A$6:$A$22,Resumen!CA$6:CA$22,0),"")</f>
        <v>0</v>
      </c>
      <c r="S154" s="44">
        <f ca="1">IF($D154="Finalizado",_xlfn.XLOOKUP(P154,Resumen!$A$6:$A$22,Resumen!CB$6:CB$22,0)+_xlfn.XLOOKUP(P154,Resumen!$A$6:$A$22,Resumen!CC$6:CC$22,0),"")</f>
        <v>0</v>
      </c>
      <c r="T154" s="44">
        <f t="shared" ca="1" si="304"/>
        <v>1</v>
      </c>
      <c r="U154" s="44">
        <f t="shared" ca="1" si="307"/>
        <v>0</v>
      </c>
      <c r="V154" s="44">
        <f t="shared" ca="1" si="308"/>
        <v>0</v>
      </c>
      <c r="W154" s="48">
        <f t="shared" ca="1" si="305"/>
        <v>1</v>
      </c>
      <c r="X154" s="45">
        <f t="shared" ca="1" si="340"/>
        <v>0</v>
      </c>
      <c r="Y154" s="198"/>
    </row>
    <row r="155" spans="1:39" ht="16.5" thickBot="1" x14ac:dyDescent="0.3">
      <c r="A155" s="210"/>
      <c r="B155" s="60">
        <f>IF(Fixture!C154,Fixture!C154,"")</f>
        <v>45844</v>
      </c>
      <c r="C155" s="58">
        <v>0.375</v>
      </c>
      <c r="D155" s="82" t="str">
        <f t="shared" ca="1" si="286"/>
        <v>Finalizado</v>
      </c>
      <c r="E155" s="198"/>
      <c r="F155" s="43">
        <f>+Fixture!B154</f>
        <v>153</v>
      </c>
      <c r="G155" s="42" t="str">
        <f>IF(VLOOKUP(F155,Fixture!$B$2:$F$172,3,FALSE)&lt;&gt;0,VLOOKUP(F155,Fixture!$B$2:$F$172,3,FALSE),"")</f>
        <v>Valentín FC</v>
      </c>
      <c r="H155" s="44">
        <f ca="1">IF($D155="Finalizado",_xlfn.XLOOKUP(G155,Resumen!$A$6:$A$22,Resumen!BZ$6:BZ$22,0),"")</f>
        <v>5</v>
      </c>
      <c r="I155" s="44">
        <f ca="1">IF($D155="Finalizado",_xlfn.XLOOKUP(G155,Resumen!$A$6:$A$22,Resumen!CA$6:CA$22,0),"")</f>
        <v>0</v>
      </c>
      <c r="J155" s="44">
        <f ca="1">IF($D155="Finalizado",_xlfn.XLOOKUP(G155,Resumen!$A$6:$A$22,Resumen!CB$6:CB$22,0)+_xlfn.XLOOKUP(G155,Resumen!$A$6:$A$22,Resumen!CC$6:CC$22,0),"")</f>
        <v>0</v>
      </c>
      <c r="K155" s="44">
        <f t="shared" ca="1" si="335"/>
        <v>1</v>
      </c>
      <c r="L155" s="44">
        <f t="shared" ca="1" si="336"/>
        <v>0</v>
      </c>
      <c r="M155" s="44">
        <f t="shared" ca="1" si="337"/>
        <v>0</v>
      </c>
      <c r="N155" s="44">
        <f t="shared" ca="1" si="338"/>
        <v>1</v>
      </c>
      <c r="O155" s="45">
        <f t="shared" ca="1" si="339"/>
        <v>0</v>
      </c>
      <c r="P155" s="42" t="str">
        <f>IF(VLOOKUP(F155,Fixture!$B$2:$F$172,5,FALSE)&lt;&gt;0,VLOOKUP(F155,Fixture!$B$2:$F$172,5,FALSE),"")</f>
        <v>Boca Juniors</v>
      </c>
      <c r="Q155" s="44">
        <f ca="1">IF($D155="Finalizado",_xlfn.XLOOKUP(P155,Resumen!$A$6:$A$22,Resumen!BZ$6:BZ$22,0),"")</f>
        <v>0</v>
      </c>
      <c r="R155" s="44">
        <f ca="1">IF($D155="Finalizado",_xlfn.XLOOKUP(P155,Resumen!$A$6:$A$22,Resumen!CA$6:CA$22,0),"")</f>
        <v>0</v>
      </c>
      <c r="S155" s="44">
        <f ca="1">IF($D155="Finalizado",_xlfn.XLOOKUP(P155,Resumen!$A$6:$A$22,Resumen!CB$6:CB$22,0)+_xlfn.XLOOKUP(P155,Resumen!$A$6:$A$22,Resumen!CC$6:CC$22,0),"")</f>
        <v>3</v>
      </c>
      <c r="T155" s="44">
        <f t="shared" ca="1" si="304"/>
        <v>0</v>
      </c>
      <c r="U155" s="44">
        <f t="shared" ca="1" si="307"/>
        <v>0</v>
      </c>
      <c r="V155" s="44">
        <f t="shared" ca="1" si="308"/>
        <v>1</v>
      </c>
      <c r="W155" s="44">
        <f t="shared" ca="1" si="305"/>
        <v>1</v>
      </c>
      <c r="X155" s="45">
        <f t="shared" ref="X155:X162" ca="1" si="342">IF(D155="Finalizado",SUM(R155*5,S155*10),"")</f>
        <v>30</v>
      </c>
      <c r="Y155" s="198"/>
    </row>
    <row r="156" spans="1:39" ht="16.5" thickBot="1" x14ac:dyDescent="0.3">
      <c r="A156" s="211"/>
      <c r="B156" s="60">
        <f>IF(Fixture!C155,Fixture!C155,"")</f>
        <v>45844</v>
      </c>
      <c r="C156" s="59">
        <v>0.42708333333333331</v>
      </c>
      <c r="D156" s="82" t="str">
        <f t="shared" ca="1" si="286"/>
        <v>Finalizado</v>
      </c>
      <c r="E156" s="199"/>
      <c r="F156" s="43">
        <f>+Fixture!B155</f>
        <v>154</v>
      </c>
      <c r="G156" s="42" t="str">
        <f>IF(VLOOKUP(F156,Fixture!$B$2:$F$172,3,FALSE)&lt;&gt;0,VLOOKUP(F156,Fixture!$B$2:$F$172,3,FALSE),"")</f>
        <v>Hojas Anchas</v>
      </c>
      <c r="H156" s="44">
        <f ca="1">IF($D156="Finalizado",_xlfn.XLOOKUP(G156,Resumen!$A$6:$A$22,Resumen!BZ$6:BZ$22,0),"")</f>
        <v>1</v>
      </c>
      <c r="I156" s="44">
        <f ca="1">IF($D156="Finalizado",_xlfn.XLOOKUP(G156,Resumen!$A$6:$A$22,Resumen!CA$6:CA$22,0),"")</f>
        <v>0</v>
      </c>
      <c r="J156" s="44">
        <f ca="1">IF($D156="Finalizado",_xlfn.XLOOKUP(G156,Resumen!$A$6:$A$22,Resumen!CB$6:CB$22,0)+_xlfn.XLOOKUP(G156,Resumen!$A$6:$A$22,Resumen!CC$6:CC$22,0),"")</f>
        <v>2</v>
      </c>
      <c r="K156" s="48">
        <f t="shared" ca="1" si="335"/>
        <v>0</v>
      </c>
      <c r="L156" s="48">
        <f t="shared" ca="1" si="336"/>
        <v>0</v>
      </c>
      <c r="M156" s="48">
        <f t="shared" ca="1" si="337"/>
        <v>1</v>
      </c>
      <c r="N156" s="48">
        <f t="shared" ca="1" si="338"/>
        <v>1</v>
      </c>
      <c r="O156" s="49">
        <f t="shared" ca="1" si="339"/>
        <v>20</v>
      </c>
      <c r="P156" s="42" t="str">
        <f>IF(VLOOKUP(F156,Fixture!$B$2:$F$172,5,FALSE)&lt;&gt;0,VLOOKUP(F156,Fixture!$B$2:$F$172,5,FALSE),"")</f>
        <v>La Unión FC</v>
      </c>
      <c r="Q156" s="44">
        <f ca="1">IF($D156="Finalizado",_xlfn.XLOOKUP(P156,Resumen!$A$6:$A$22,Resumen!BZ$6:BZ$22,0),"")</f>
        <v>10</v>
      </c>
      <c r="R156" s="44">
        <f ca="1">IF($D156="Finalizado",_xlfn.XLOOKUP(P156,Resumen!$A$6:$A$22,Resumen!CA$6:CA$22,0),"")</f>
        <v>4</v>
      </c>
      <c r="S156" s="44">
        <f ca="1">IF($D156="Finalizado",_xlfn.XLOOKUP(P156,Resumen!$A$6:$A$22,Resumen!CB$6:CB$22,0)+_xlfn.XLOOKUP(P156,Resumen!$A$6:$A$22,Resumen!CC$6:CC$22,0),"")</f>
        <v>0</v>
      </c>
      <c r="T156" s="48">
        <f t="shared" ca="1" si="304"/>
        <v>1</v>
      </c>
      <c r="U156" s="48">
        <f t="shared" ca="1" si="307"/>
        <v>0</v>
      </c>
      <c r="V156" s="48">
        <f t="shared" ca="1" si="308"/>
        <v>0</v>
      </c>
      <c r="W156" s="48">
        <f t="shared" ca="1" si="305"/>
        <v>1</v>
      </c>
      <c r="X156" s="49">
        <f t="shared" ca="1" si="342"/>
        <v>20</v>
      </c>
      <c r="Y156" s="198"/>
    </row>
    <row r="157" spans="1:39" ht="16.5" thickBot="1" x14ac:dyDescent="0.3">
      <c r="A157" s="202" t="s">
        <v>85</v>
      </c>
      <c r="B157" s="60">
        <f>IF(Fixture!C156,Fixture!C156,"")</f>
        <v>45844</v>
      </c>
      <c r="C157" s="58">
        <v>0.375</v>
      </c>
      <c r="D157" s="82" t="str">
        <f t="shared" ca="1" si="286"/>
        <v>Finalizado</v>
      </c>
      <c r="E157" s="197" t="s">
        <v>114</v>
      </c>
      <c r="F157" s="43">
        <f>+Fixture!B156</f>
        <v>155</v>
      </c>
      <c r="G157" s="42" t="str">
        <f>IF(VLOOKUP(F157,Fixture!$B$2:$F$172,3,FALSE)&lt;&gt;0,VLOOKUP(F157,Fixture!$B$2:$F$172,3,FALSE),"")</f>
        <v>CD El Corozo</v>
      </c>
      <c r="H157" s="44">
        <f ca="1">IF($D157="Finalizado",_xlfn.XLOOKUP(G157,Resumen!$A$6:$A$22,Resumen!BZ$6:BZ$22,0),"")</f>
        <v>0</v>
      </c>
      <c r="I157" s="44">
        <f ca="1">IF($D157="Finalizado",_xlfn.XLOOKUP(G157,Resumen!$A$6:$A$22,Resumen!CA$6:CA$22,0),"")</f>
        <v>0</v>
      </c>
      <c r="J157" s="44">
        <f ca="1">IF($D157="Finalizado",_xlfn.XLOOKUP(G157,Resumen!$A$6:$A$22,Resumen!CB$6:CB$22,0)+_xlfn.XLOOKUP(G157,Resumen!$A$6:$A$22,Resumen!CC$6:CC$22,0),"")</f>
        <v>3</v>
      </c>
      <c r="K157" s="48">
        <f t="shared" ref="K157" ca="1" si="343">IF(D157="Finalizado",IF(H157&gt;Q157,1,0),"")</f>
        <v>0</v>
      </c>
      <c r="L157" s="48">
        <f t="shared" ref="L157" ca="1" si="344">IF(D157="Finalizado",IF(H157=Q157,1,0),"")</f>
        <v>0</v>
      </c>
      <c r="M157" s="48">
        <f t="shared" ref="M157" ca="1" si="345">IF(D157="Finalizado",IF(H157&lt;Q157,1,0),"")</f>
        <v>1</v>
      </c>
      <c r="N157" s="48">
        <f t="shared" ref="N157" ca="1" si="346">IF(D157="Finalizado",1,"")</f>
        <v>1</v>
      </c>
      <c r="O157" s="49">
        <f t="shared" ref="O157" ca="1" si="347">IF(D157="Finalizado",SUM(I157*5,J157*10),"")</f>
        <v>30</v>
      </c>
      <c r="P157" s="42" t="str">
        <f>IF(VLOOKUP(F157,Fixture!$B$2:$F$172,5,FALSE)&lt;&gt;0,VLOOKUP(F157,Fixture!$B$2:$F$172,5,FALSE),"")</f>
        <v>La Nueva Era</v>
      </c>
      <c r="Q157" s="44">
        <f ca="1">IF($D157="Finalizado",_xlfn.XLOOKUP(P157,Resumen!$A$6:$A$22,Resumen!BZ$6:BZ$22,0),"")</f>
        <v>3</v>
      </c>
      <c r="R157" s="44">
        <f ca="1">IF($D157="Finalizado",_xlfn.XLOOKUP(P157,Resumen!$A$6:$A$22,Resumen!CA$6:CA$22,0),"")</f>
        <v>0</v>
      </c>
      <c r="S157" s="44">
        <f ca="1">IF($D157="Finalizado",_xlfn.XLOOKUP(P157,Resumen!$A$6:$A$22,Resumen!CB$6:CB$22,0)+_xlfn.XLOOKUP(P157,Resumen!$A$6:$A$22,Resumen!CC$6:CC$22,0),"")</f>
        <v>0</v>
      </c>
      <c r="T157" s="48">
        <f t="shared" ref="T157" ca="1" si="348">IF(D157="Finalizado",IF(Q157&gt;H157,1,0),"")</f>
        <v>1</v>
      </c>
      <c r="U157" s="48">
        <f t="shared" ref="U157" ca="1" si="349">IF(D157="Finalizado",IF(Q157=H157,1,0),"")</f>
        <v>0</v>
      </c>
      <c r="V157" s="48">
        <f t="shared" ref="V157" ca="1" si="350">IF(D157="Finalizado",IF(Q157&lt;H157,1,0),"")</f>
        <v>0</v>
      </c>
      <c r="W157" s="48">
        <f t="shared" ref="W157" ca="1" si="351">IF(D157="Finalizado",1,"")</f>
        <v>1</v>
      </c>
      <c r="X157" s="49">
        <f t="shared" ref="X157" ca="1" si="352">IF(D157="Finalizado",SUM(R157*5,S157*10),"")</f>
        <v>0</v>
      </c>
      <c r="Y157" s="197" t="str">
        <f t="shared" ref="Y157" si="353">+A157</f>
        <v>Fecha 21</v>
      </c>
    </row>
    <row r="158" spans="1:39" ht="16.5" thickBot="1" x14ac:dyDescent="0.3">
      <c r="A158" s="203"/>
      <c r="B158" s="60">
        <f>IF(Fixture!C157,Fixture!C157,"")</f>
        <v>45851</v>
      </c>
      <c r="C158" s="58">
        <v>0.42708333333333331</v>
      </c>
      <c r="D158" s="82" t="str">
        <f t="shared" ca="1" si="286"/>
        <v>Finalizado</v>
      </c>
      <c r="E158" s="198"/>
      <c r="F158" s="43">
        <f>+Fixture!B157</f>
        <v>156</v>
      </c>
      <c r="G158" s="42" t="str">
        <f>IF(VLOOKUP(F158,Fixture!$B$2:$F$172,3,FALSE)&lt;&gt;0,VLOOKUP(F158,Fixture!$B$2:$F$172,3,FALSE),"")</f>
        <v>Valentín FC</v>
      </c>
      <c r="H158" s="44">
        <f ca="1">IF($D158="Finalizado",_xlfn.XLOOKUP(G158,Resumen!$A$6:$A$22,Resumen!CD$6:CD$22,0),"")</f>
        <v>7</v>
      </c>
      <c r="I158" s="44">
        <f ca="1">IF($D158="Finalizado",_xlfn.XLOOKUP(G158,Resumen!$A$6:$A$22,Resumen!CE$6:CE$22,0),"")</f>
        <v>1</v>
      </c>
      <c r="J158" s="44">
        <f ca="1">IF($D158="Finalizado",_xlfn.XLOOKUP(G158,Resumen!$A$6:$A$22,Resumen!CF$6:CF$22,0)+_xlfn.XLOOKUP(G158,Resumen!$A$6:$A$22,Resumen!CG$6:CG$22,0),"")</f>
        <v>0</v>
      </c>
      <c r="K158" s="44">
        <f ca="1">IF(D158="Finalizado",IF(H158&gt;Q158,1,0),"")</f>
        <v>1</v>
      </c>
      <c r="L158" s="44">
        <f t="shared" ref="L158" ca="1" si="354">IF(D158="Finalizado",IF(H158=Q158,1,0),"")</f>
        <v>0</v>
      </c>
      <c r="M158" s="44">
        <f t="shared" ref="M158" ca="1" si="355">IF(D158="Finalizado",IF(H158&lt;Q158,1,0),"")</f>
        <v>0</v>
      </c>
      <c r="N158" s="44">
        <f t="shared" ref="N158" ca="1" si="356">IF(D158="Finalizado",1,"")</f>
        <v>1</v>
      </c>
      <c r="O158" s="45">
        <f ca="1">IF(D158="Finalizado",SUM(I158*5,J158*10),"")</f>
        <v>5</v>
      </c>
      <c r="P158" s="42" t="str">
        <f>IF(VLOOKUP(F158,Fixture!$B$2:$F$229,5,FALSE)&lt;&gt;0,VLOOKUP(F158,Fixture!$B$2:$F$229,5,FALSE),"")</f>
        <v>Los Aliados</v>
      </c>
      <c r="Q158" s="44">
        <f ca="1">IF($D158="Finalizado",_xlfn.XLOOKUP(P158,Resumen!$A$6:$A$22,Resumen!CD$6:CD$22,0),"")</f>
        <v>0</v>
      </c>
      <c r="R158" s="44">
        <f ca="1">IF($D158="Finalizado",_xlfn.XLOOKUP(P158,Resumen!$A$6:$A$22,Resumen!CE$6:CE$22,0),"")</f>
        <v>0</v>
      </c>
      <c r="S158" s="44">
        <f ca="1">IF($D158="Finalizado",_xlfn.XLOOKUP(P158,Resumen!$A$6:$A$22,Resumen!CF$6:CF$22,0)+_xlfn.XLOOKUP(P158,Resumen!$A$6:$A$22,Resumen!CG$6:CG$22,0),"")</f>
        <v>3</v>
      </c>
      <c r="T158" s="44">
        <f t="shared" ref="T158" ca="1" si="357">IF(D158="Finalizado",IF(Q158&gt;H158,1,0),"")</f>
        <v>0</v>
      </c>
      <c r="U158" s="44">
        <f t="shared" ref="U158" ca="1" si="358">IF(D158="Finalizado",IF(Q158=H158,1,0),"")</f>
        <v>0</v>
      </c>
      <c r="V158" s="44">
        <f t="shared" ref="V158" ca="1" si="359">IF(D158="Finalizado",IF(Q158&lt;H158,1,0),"")</f>
        <v>1</v>
      </c>
      <c r="W158" s="44">
        <f t="shared" ref="W158" ca="1" si="360">IF(D158="Finalizado",1,"")</f>
        <v>1</v>
      </c>
      <c r="X158" s="45">
        <f t="shared" ref="X158" ca="1" si="361">IF(D158="Finalizado",SUM(R158*5,S158*10),"")</f>
        <v>30</v>
      </c>
      <c r="Y158" s="198"/>
    </row>
    <row r="159" spans="1:39" ht="16.5" thickBot="1" x14ac:dyDescent="0.3">
      <c r="A159" s="203"/>
      <c r="B159" s="60">
        <f>IF(Fixture!C158,Fixture!C158,"")</f>
        <v>45851</v>
      </c>
      <c r="C159" s="58">
        <v>0.47916666666666669</v>
      </c>
      <c r="D159" s="82" t="str">
        <f t="shared" ca="1" si="286"/>
        <v>Finalizado</v>
      </c>
      <c r="E159" s="198"/>
      <c r="F159" s="43">
        <f>+Fixture!B158</f>
        <v>157</v>
      </c>
      <c r="G159" s="42" t="str">
        <f>IF(VLOOKUP(F159,Fixture!$B$2:$F$172,3,FALSE)&lt;&gt;0,VLOOKUP(F159,Fixture!$B$2:$F$172,3,FALSE),"")</f>
        <v>Amenadim</v>
      </c>
      <c r="H159" s="44">
        <f ca="1">IF($D159="Finalizado",_xlfn.XLOOKUP(G159,Resumen!$A$6:$A$22,Resumen!CD$6:CD$22,0),"")</f>
        <v>8</v>
      </c>
      <c r="I159" s="44">
        <f ca="1">IF($D159="Finalizado",_xlfn.XLOOKUP(G159,Resumen!$A$6:$A$22,Resumen!CE$6:CE$22,0),"")</f>
        <v>0</v>
      </c>
      <c r="J159" s="44">
        <f ca="1">IF($D159="Finalizado",_xlfn.XLOOKUP(G159,Resumen!$A$6:$A$22,Resumen!CF$6:CF$22,0)+_xlfn.XLOOKUP(G159,Resumen!$A$6:$A$22,Resumen!CG$6:CG$22,0),"")</f>
        <v>0</v>
      </c>
      <c r="K159" s="44">
        <f t="shared" ref="K159:K164" ca="1" si="362">IF(D159="Finalizado",IF(H159&gt;Q159,1,0),"")</f>
        <v>1</v>
      </c>
      <c r="L159" s="44">
        <f t="shared" ca="1" si="336"/>
        <v>0</v>
      </c>
      <c r="M159" s="44">
        <f t="shared" ca="1" si="337"/>
        <v>0</v>
      </c>
      <c r="N159" s="44">
        <f t="shared" ca="1" si="338"/>
        <v>1</v>
      </c>
      <c r="O159" s="45">
        <f t="shared" ca="1" si="339"/>
        <v>0</v>
      </c>
      <c r="P159" s="42" t="str">
        <f>IF(VLOOKUP(F159,Fixture!$B$2:$F$229,5,FALSE)&lt;&gt;0,VLOOKUP(F159,Fixture!$B$2:$F$229,5,FALSE),"")</f>
        <v>La Nueva Era</v>
      </c>
      <c r="Q159" s="44">
        <f ca="1">IF($D159="Finalizado",_xlfn.XLOOKUP(P159,Resumen!$A$6:$A$22,Resumen!CD$6:CD$22,0),"")</f>
        <v>0</v>
      </c>
      <c r="R159" s="44">
        <f ca="1">IF($D159="Finalizado",_xlfn.XLOOKUP(P159,Resumen!$A$6:$A$22,Resumen!CE$6:CE$22,0),"")</f>
        <v>0</v>
      </c>
      <c r="S159" s="44">
        <f ca="1">IF($D159="Finalizado",_xlfn.XLOOKUP(P159,Resumen!$A$6:$A$22,Resumen!CF$6:CF$22,0)+_xlfn.XLOOKUP(P159,Resumen!$A$6:$A$22,Resumen!CG$6:CG$22,0),"")</f>
        <v>0</v>
      </c>
      <c r="T159" s="44">
        <f t="shared" ca="1" si="304"/>
        <v>0</v>
      </c>
      <c r="U159" s="44">
        <f t="shared" ca="1" si="307"/>
        <v>0</v>
      </c>
      <c r="V159" s="44">
        <f t="shared" ca="1" si="308"/>
        <v>1</v>
      </c>
      <c r="W159" s="44">
        <f t="shared" ca="1" si="305"/>
        <v>1</v>
      </c>
      <c r="X159" s="45">
        <f t="shared" ca="1" si="342"/>
        <v>0</v>
      </c>
      <c r="Y159" s="198"/>
    </row>
    <row r="160" spans="1:39" ht="16.5" thickBot="1" x14ac:dyDescent="0.3">
      <c r="A160" s="203"/>
      <c r="B160" s="60">
        <f>IF(Fixture!C159,Fixture!C159,"")</f>
        <v>45851</v>
      </c>
      <c r="C160" s="58">
        <v>0.52083333333333304</v>
      </c>
      <c r="D160" s="82" t="str">
        <f t="shared" ca="1" si="286"/>
        <v>Finalizado</v>
      </c>
      <c r="E160" s="198"/>
      <c r="F160" s="43">
        <f>+Fixture!B159</f>
        <v>158</v>
      </c>
      <c r="G160" s="42" t="str">
        <f>IF(VLOOKUP(F160,Fixture!$B$2:$F$172,3,FALSE)&lt;&gt;0,VLOOKUP(F160,Fixture!$B$2:$F$172,3,FALSE),"")</f>
        <v>Villanueva</v>
      </c>
      <c r="H160" s="44">
        <f ca="1">IF($D160="Finalizado",_xlfn.XLOOKUP(G160,Resumen!$A$6:$A$22,Resumen!CD$6:CD$22,0),"")</f>
        <v>2</v>
      </c>
      <c r="I160" s="44">
        <f ca="1">IF($D160="Finalizado",_xlfn.XLOOKUP(G160,Resumen!$A$6:$A$22,Resumen!CE$6:CE$22,0),"")</f>
        <v>2</v>
      </c>
      <c r="J160" s="44">
        <f ca="1">IF($D160="Finalizado",_xlfn.XLOOKUP(G160,Resumen!$A$6:$A$22,Resumen!CF$6:CF$22,0)+_xlfn.XLOOKUP(G160,Resumen!$A$6:$A$22,Resumen!CG$6:CG$22,0),"")</f>
        <v>0</v>
      </c>
      <c r="K160" s="44">
        <f t="shared" ca="1" si="362"/>
        <v>0</v>
      </c>
      <c r="L160" s="44">
        <f t="shared" ca="1" si="336"/>
        <v>0</v>
      </c>
      <c r="M160" s="44">
        <f t="shared" ca="1" si="337"/>
        <v>1</v>
      </c>
      <c r="N160" s="44">
        <f t="shared" ca="1" si="338"/>
        <v>1</v>
      </c>
      <c r="O160" s="45">
        <f t="shared" ca="1" si="339"/>
        <v>10</v>
      </c>
      <c r="P160" s="42" t="str">
        <f>IF(VLOOKUP(F160,Fixture!$B$2:$F$229,5,FALSE)&lt;&gt;0,VLOOKUP(F160,Fixture!$B$2:$F$229,5,FALSE),"")</f>
        <v>La Amistad</v>
      </c>
      <c r="Q160" s="44">
        <f ca="1">IF($D160="Finalizado",_xlfn.XLOOKUP(P160,Resumen!$A$6:$A$22,Resumen!CD$6:CD$22,0),"")</f>
        <v>3</v>
      </c>
      <c r="R160" s="44">
        <f ca="1">IF($D160="Finalizado",_xlfn.XLOOKUP(P160,Resumen!$A$6:$A$22,Resumen!CE$6:CE$22,0),"")</f>
        <v>3</v>
      </c>
      <c r="S160" s="44">
        <f ca="1">IF($D160="Finalizado",_xlfn.XLOOKUP(P160,Resumen!$A$6:$A$22,Resumen!CF$6:CF$22,0)+_xlfn.XLOOKUP(P160,Resumen!$A$6:$A$22,Resumen!CG$6:CG$22,0),"")</f>
        <v>0</v>
      </c>
      <c r="T160" s="44">
        <f t="shared" ca="1" si="304"/>
        <v>1</v>
      </c>
      <c r="U160" s="44">
        <f t="shared" ca="1" si="307"/>
        <v>0</v>
      </c>
      <c r="V160" s="44">
        <f t="shared" ca="1" si="308"/>
        <v>0</v>
      </c>
      <c r="W160" s="44">
        <f t="shared" ca="1" si="305"/>
        <v>1</v>
      </c>
      <c r="X160" s="45">
        <f t="shared" ca="1" si="342"/>
        <v>15</v>
      </c>
      <c r="Y160" s="198"/>
    </row>
    <row r="161" spans="1:25" ht="16.5" thickBot="1" x14ac:dyDescent="0.3">
      <c r="A161" s="203"/>
      <c r="B161" s="60">
        <f>IF(Fixture!C160,Fixture!C160,"")</f>
        <v>45851</v>
      </c>
      <c r="C161" s="58">
        <v>0.5625</v>
      </c>
      <c r="D161" s="82" t="str">
        <f t="shared" ca="1" si="286"/>
        <v>Finalizado</v>
      </c>
      <c r="E161" s="198"/>
      <c r="F161" s="43">
        <f>+Fixture!B160</f>
        <v>159</v>
      </c>
      <c r="G161" s="42" t="str">
        <f>IF(VLOOKUP(F161,Fixture!$B$2:$F$172,3,FALSE)&lt;&gt;0,VLOOKUP(F161,Fixture!$B$2:$F$172,3,FALSE),"")</f>
        <v>Hojas Anchas</v>
      </c>
      <c r="H161" s="44">
        <f ca="1">IF($D161="Finalizado",_xlfn.XLOOKUP(G161,Resumen!$A$6:$A$22,Resumen!CD$6:CD$22,0),"")</f>
        <v>5</v>
      </c>
      <c r="I161" s="44">
        <f ca="1">IF($D161="Finalizado",_xlfn.XLOOKUP(G161,Resumen!$A$6:$A$22,Resumen!CE$6:CE$22,0),"")</f>
        <v>0</v>
      </c>
      <c r="J161" s="44">
        <f ca="1">IF($D161="Finalizado",_xlfn.XLOOKUP(G161,Resumen!$A$6:$A$22,Resumen!CF$6:CF$22,0)+_xlfn.XLOOKUP(G161,Resumen!$A$6:$A$22,Resumen!CG$6:CG$22,0),"")</f>
        <v>0</v>
      </c>
      <c r="K161" s="44">
        <f t="shared" ca="1" si="362"/>
        <v>0</v>
      </c>
      <c r="L161" s="44">
        <f t="shared" ca="1" si="336"/>
        <v>0</v>
      </c>
      <c r="M161" s="44">
        <f t="shared" ca="1" si="337"/>
        <v>1</v>
      </c>
      <c r="N161" s="44">
        <f t="shared" ca="1" si="338"/>
        <v>1</v>
      </c>
      <c r="O161" s="45">
        <f t="shared" ca="1" si="339"/>
        <v>0</v>
      </c>
      <c r="P161" s="42" t="str">
        <f>IF(VLOOKUP(F161,Fixture!$B$2:$F$229,5,FALSE)&lt;&gt;0,VLOOKUP(F161,Fixture!$B$2:$F$229,5,FALSE),"")</f>
        <v>Atalanta</v>
      </c>
      <c r="Q161" s="44">
        <f ca="1">IF($D161="Finalizado",_xlfn.XLOOKUP(P161,Resumen!$A$6:$A$22,Resumen!CD$6:CD$22,0),"")</f>
        <v>7</v>
      </c>
      <c r="R161" s="44">
        <f ca="1">IF($D161="Finalizado",_xlfn.XLOOKUP(P161,Resumen!$A$6:$A$22,Resumen!CE$6:CE$22,0),"")</f>
        <v>0</v>
      </c>
      <c r="S161" s="44">
        <f ca="1">IF($D161="Finalizado",_xlfn.XLOOKUP(P161,Resumen!$A$6:$A$22,Resumen!CF$6:CF$22,0)+_xlfn.XLOOKUP(P161,Resumen!$A$6:$A$22,Resumen!CG$6:CG$22,0),"")</f>
        <v>0</v>
      </c>
      <c r="T161" s="44">
        <f t="shared" ca="1" si="304"/>
        <v>1</v>
      </c>
      <c r="U161" s="44">
        <f t="shared" ca="1" si="307"/>
        <v>0</v>
      </c>
      <c r="V161" s="44">
        <f t="shared" ca="1" si="308"/>
        <v>0</v>
      </c>
      <c r="W161" s="44">
        <f t="shared" ca="1" si="305"/>
        <v>1</v>
      </c>
      <c r="X161" s="45">
        <f t="shared" ca="1" si="342"/>
        <v>0</v>
      </c>
      <c r="Y161" s="198"/>
    </row>
    <row r="162" spans="1:25" ht="16.5" thickBot="1" x14ac:dyDescent="0.3">
      <c r="A162" s="203"/>
      <c r="B162" s="60">
        <f>IF(Fixture!C161,Fixture!C161,"")</f>
        <v>45851</v>
      </c>
      <c r="C162" s="59">
        <v>0.60416666666666696</v>
      </c>
      <c r="D162" s="82" t="str">
        <f t="shared" ca="1" si="286"/>
        <v>Finalizado</v>
      </c>
      <c r="E162" s="198"/>
      <c r="F162" s="43">
        <f>+Fixture!B161</f>
        <v>160</v>
      </c>
      <c r="G162" s="42" t="str">
        <f>IF(VLOOKUP(F162,Fixture!$B$2:$F$172,3,FALSE)&lt;&gt;0,VLOOKUP(F162,Fixture!$B$2:$F$172,3,FALSE),"")</f>
        <v>Los Amigos</v>
      </c>
      <c r="H162" s="44">
        <f ca="1">IF($D162="Finalizado",_xlfn.XLOOKUP(G162,Resumen!$A$6:$A$22,Resumen!CD$6:CD$22,0),"")</f>
        <v>1</v>
      </c>
      <c r="I162" s="44">
        <f ca="1">IF($D162="Finalizado",_xlfn.XLOOKUP(G162,Resumen!$A$6:$A$22,Resumen!CE$6:CE$22,0),"")</f>
        <v>2</v>
      </c>
      <c r="J162" s="44">
        <f ca="1">IF($D162="Finalizado",_xlfn.XLOOKUP(G162,Resumen!$A$6:$A$22,Resumen!CF$6:CF$22,0)+_xlfn.XLOOKUP(G162,Resumen!$A$6:$A$22,Resumen!CG$6:CG$22,0),"")</f>
        <v>0</v>
      </c>
      <c r="K162" s="44">
        <f t="shared" ca="1" si="362"/>
        <v>0</v>
      </c>
      <c r="L162" s="48">
        <f t="shared" ca="1" si="336"/>
        <v>1</v>
      </c>
      <c r="M162" s="48">
        <f t="shared" ca="1" si="337"/>
        <v>0</v>
      </c>
      <c r="N162" s="48">
        <f t="shared" ca="1" si="338"/>
        <v>1</v>
      </c>
      <c r="O162" s="49">
        <f t="shared" ca="1" si="339"/>
        <v>10</v>
      </c>
      <c r="P162" s="42" t="str">
        <f>IF(VLOOKUP(F162,Fixture!$B$2:$F$229,5,FALSE)&lt;&gt;0,VLOOKUP(F162,Fixture!$B$2:$F$229,5,FALSE),"")</f>
        <v>Ron Star</v>
      </c>
      <c r="Q162" s="44">
        <f ca="1">IF($D162="Finalizado",_xlfn.XLOOKUP(P162,Resumen!$A$6:$A$22,Resumen!CD$6:CD$22,0),"")</f>
        <v>1</v>
      </c>
      <c r="R162" s="44">
        <f ca="1">IF($D162="Finalizado",_xlfn.XLOOKUP(P162,Resumen!$A$6:$A$22,Resumen!CE$6:CE$22,0),"")</f>
        <v>2</v>
      </c>
      <c r="S162" s="44">
        <f ca="1">IF($D162="Finalizado",_xlfn.XLOOKUP(P162,Resumen!$A$6:$A$22,Resumen!CF$6:CF$22,0)+_xlfn.XLOOKUP(P162,Resumen!$A$6:$A$22,Resumen!CG$6:CG$22,0),"")</f>
        <v>0</v>
      </c>
      <c r="T162" s="44">
        <f t="shared" ca="1" si="304"/>
        <v>0</v>
      </c>
      <c r="U162" s="44">
        <f t="shared" ca="1" si="307"/>
        <v>1</v>
      </c>
      <c r="V162" s="44">
        <f t="shared" ca="1" si="308"/>
        <v>0</v>
      </c>
      <c r="W162" s="48">
        <f t="shared" ca="1" si="305"/>
        <v>1</v>
      </c>
      <c r="X162" s="49">
        <f t="shared" ca="1" si="342"/>
        <v>10</v>
      </c>
      <c r="Y162" s="198"/>
    </row>
    <row r="163" spans="1:25" ht="16.5" thickBot="1" x14ac:dyDescent="0.3">
      <c r="A163" s="203"/>
      <c r="B163" s="60">
        <f>IF(Fixture!C162,Fixture!C162,"")</f>
        <v>45851</v>
      </c>
      <c r="C163" s="58">
        <v>0.42708333333333331</v>
      </c>
      <c r="D163" s="82" t="str">
        <f t="shared" ca="1" si="286"/>
        <v>Finalizado</v>
      </c>
      <c r="E163" s="198"/>
      <c r="F163" s="43">
        <f>+Fixture!B162</f>
        <v>161</v>
      </c>
      <c r="G163" s="42" t="str">
        <f>IF(VLOOKUP(F163,Fixture!$B$2:$F$172,3,FALSE)&lt;&gt;0,VLOOKUP(F163,Fixture!$B$2:$F$172,3,FALSE),"")</f>
        <v>Boca Juniors</v>
      </c>
      <c r="H163" s="44">
        <f ca="1">IF($D163="Finalizado",_xlfn.XLOOKUP(G163,Resumen!$A$6:$A$22,Resumen!CD$6:CD$22,0),"")</f>
        <v>0</v>
      </c>
      <c r="I163" s="44">
        <f ca="1">IF($D163="Finalizado",_xlfn.XLOOKUP(G163,Resumen!$A$6:$A$22,Resumen!CE$6:CE$22,0),"")</f>
        <v>0</v>
      </c>
      <c r="J163" s="44">
        <f ca="1">IF($D163="Finalizado",_xlfn.XLOOKUP(G163,Resumen!$A$6:$A$22,Resumen!CF$6:CF$22,0)+_xlfn.XLOOKUP(G163,Resumen!$A$6:$A$22,Resumen!CG$6:CG$22,0),"")</f>
        <v>3</v>
      </c>
      <c r="K163" s="44">
        <f t="shared" ca="1" si="362"/>
        <v>0</v>
      </c>
      <c r="L163" s="44">
        <f t="shared" ref="L163:L165" ca="1" si="363">IF(D163="Finalizado",IF(H163=Q163,1,0),"")</f>
        <v>0</v>
      </c>
      <c r="M163" s="44">
        <f t="shared" ref="M163:M165" ca="1" si="364">IF(D163="Finalizado",IF(H163&lt;Q163,1,0),"")</f>
        <v>1</v>
      </c>
      <c r="N163" s="44">
        <f t="shared" ref="N163:N165" ca="1" si="365">IF(D163="Finalizado",1,"")</f>
        <v>1</v>
      </c>
      <c r="O163" s="45">
        <f t="shared" ref="O163:O165" ca="1" si="366">IF(D163="Finalizado",SUM(I163*5,J163*10),"")</f>
        <v>30</v>
      </c>
      <c r="P163" s="42" t="str">
        <f>IF(VLOOKUP(F163,Fixture!$B$2:$F$229,5,FALSE)&lt;&gt;0,VLOOKUP(F163,Fixture!$B$2:$F$229,5,FALSE),"")</f>
        <v>La Unión FC</v>
      </c>
      <c r="Q163" s="44">
        <f ca="1">IF($D163="Finalizado",_xlfn.XLOOKUP(P163,Resumen!$A$6:$A$22,Resumen!CD$6:CD$22,0),"")</f>
        <v>3</v>
      </c>
      <c r="R163" s="44">
        <f ca="1">IF($D163="Finalizado",_xlfn.XLOOKUP(P163,Resumen!$A$6:$A$22,Resumen!CE$6:CE$22,0),"")</f>
        <v>0</v>
      </c>
      <c r="S163" s="44">
        <f ca="1">IF($D163="Finalizado",_xlfn.XLOOKUP(P163,Resumen!$A$6:$A$22,Resumen!CF$6:CF$22,0)+_xlfn.XLOOKUP(P163,Resumen!$A$6:$A$22,Resumen!CG$6:CG$22,0),"")</f>
        <v>0</v>
      </c>
      <c r="T163" s="44">
        <f t="shared" ca="1" si="304"/>
        <v>1</v>
      </c>
      <c r="U163" s="44">
        <f t="shared" ca="1" si="307"/>
        <v>0</v>
      </c>
      <c r="V163" s="44">
        <f t="shared" ca="1" si="308"/>
        <v>0</v>
      </c>
      <c r="W163" s="44">
        <f t="shared" ca="1" si="305"/>
        <v>1</v>
      </c>
      <c r="X163" s="45">
        <f t="shared" ref="X163:X165" ca="1" si="367">IF(D163="Finalizado",SUM(R163*5,S163*10),"")</f>
        <v>0</v>
      </c>
      <c r="Y163" s="198"/>
    </row>
    <row r="164" spans="1:25" ht="16.5" thickBot="1" x14ac:dyDescent="0.3">
      <c r="A164" s="220"/>
      <c r="B164" s="60">
        <f>IF(Fixture!C163,Fixture!C163,"")</f>
        <v>45851</v>
      </c>
      <c r="C164" s="58">
        <v>0.47916666666666669</v>
      </c>
      <c r="D164" s="82" t="str">
        <f t="shared" ca="1" si="286"/>
        <v>Finalizado</v>
      </c>
      <c r="E164" s="199"/>
      <c r="F164" s="43">
        <f>+Fixture!B163</f>
        <v>162</v>
      </c>
      <c r="G164" s="42" t="str">
        <f>IF(VLOOKUP(F164,Fixture!$B$2:$F$172,3,FALSE)&lt;&gt;0,VLOOKUP(F164,Fixture!$B$2:$F$172,3,FALSE),"")</f>
        <v>CD El Corozo</v>
      </c>
      <c r="H164" s="44">
        <f ca="1">IF($D164="Finalizado",_xlfn.XLOOKUP(G164,Resumen!$A$6:$A$22,Resumen!CD$6:CD$22,0),"")</f>
        <v>0</v>
      </c>
      <c r="I164" s="44">
        <f ca="1">IF($D164="Finalizado",_xlfn.XLOOKUP(G164,Resumen!$A$6:$A$22,Resumen!CE$6:CE$22,0),"")</f>
        <v>0</v>
      </c>
      <c r="J164" s="44">
        <f ca="1">IF($D164="Finalizado",_xlfn.XLOOKUP(G164,Resumen!$A$6:$A$22,Resumen!CF$6:CF$22,0)+_xlfn.XLOOKUP(G164,Resumen!$A$6:$A$22,Resumen!CG$6:CG$22,0),"")</f>
        <v>3</v>
      </c>
      <c r="K164" s="44">
        <f t="shared" ca="1" si="362"/>
        <v>0</v>
      </c>
      <c r="L164" s="44">
        <f t="shared" ca="1" si="363"/>
        <v>0</v>
      </c>
      <c r="M164" s="44">
        <f t="shared" ca="1" si="364"/>
        <v>1</v>
      </c>
      <c r="N164" s="44">
        <f t="shared" ca="1" si="365"/>
        <v>1</v>
      </c>
      <c r="O164" s="45">
        <f t="shared" ca="1" si="366"/>
        <v>30</v>
      </c>
      <c r="P164" s="42" t="str">
        <f>IF(VLOOKUP(F164,Fixture!$B$2:$F$229,5,FALSE)&lt;&gt;0,VLOOKUP(F164,Fixture!$B$2:$F$229,5,FALSE),"")</f>
        <v>Konami</v>
      </c>
      <c r="Q164" s="44">
        <f ca="1">IF($D164="Finalizado",_xlfn.XLOOKUP(P164,Resumen!$A$6:$A$22,Resumen!CD$6:CD$22,0),"")</f>
        <v>3</v>
      </c>
      <c r="R164" s="44">
        <f ca="1">IF($D164="Finalizado",_xlfn.XLOOKUP(P164,Resumen!$A$6:$A$22,Resumen!CE$6:CE$22,0),"")</f>
        <v>0</v>
      </c>
      <c r="S164" s="44">
        <f ca="1">IF($D164="Finalizado",_xlfn.XLOOKUP(P164,Resumen!$A$6:$A$22,Resumen!CF$6:CF$22,0)+_xlfn.XLOOKUP(P164,Resumen!$A$6:$A$22,Resumen!CG$6:CG$22,0),"")</f>
        <v>0</v>
      </c>
      <c r="T164" s="44">
        <f t="shared" ca="1" si="304"/>
        <v>1</v>
      </c>
      <c r="U164" s="44">
        <f t="shared" ca="1" si="307"/>
        <v>0</v>
      </c>
      <c r="V164" s="44">
        <f t="shared" ca="1" si="308"/>
        <v>0</v>
      </c>
      <c r="W164" s="44">
        <f t="shared" ca="1" si="305"/>
        <v>1</v>
      </c>
      <c r="X164" s="45">
        <f t="shared" ca="1" si="367"/>
        <v>0</v>
      </c>
      <c r="Y164" s="198"/>
    </row>
    <row r="165" spans="1:25" ht="16.5" thickBot="1" x14ac:dyDescent="0.3">
      <c r="A165" s="202" t="s">
        <v>93</v>
      </c>
      <c r="B165" s="60">
        <f>IF(Fixture!C164,Fixture!C164,"")</f>
        <v>45858</v>
      </c>
      <c r="C165" s="58">
        <v>0.53125</v>
      </c>
      <c r="D165" s="82" t="str">
        <f t="shared" ca="1" si="286"/>
        <v>Finalizado</v>
      </c>
      <c r="E165" s="197" t="s">
        <v>114</v>
      </c>
      <c r="F165" s="43">
        <f>+Fixture!B164</f>
        <v>163</v>
      </c>
      <c r="G165" s="42" t="str">
        <f>IF(VLOOKUP(F165,Fixture!$B$2:$F$177,3,FALSE)&lt;&gt;0,VLOOKUP(F165,Fixture!$B$2:$F$177,3,FALSE),"")</f>
        <v>Valentín FC</v>
      </c>
      <c r="H165" s="44">
        <f ca="1">IF($D165="Finalizado",_xlfn.XLOOKUP(G165,Resumen!$A$6:$A$22,Resumen!CH$6:CH$22,0),"")</f>
        <v>9</v>
      </c>
      <c r="I165" s="44">
        <f ca="1">IF($D165="Finalizado",_xlfn.XLOOKUP(G165,Resumen!$A$6:$A$22,Resumen!CI$6:CI$22,0),"")</f>
        <v>2</v>
      </c>
      <c r="J165" s="44">
        <f ca="1">IF($D165="Finalizado",_xlfn.XLOOKUP(G165,Resumen!$A$6:$A$22,Resumen!CJ$6:CJ$22,0)+_xlfn.XLOOKUP(G165,Resumen!$A$6:$A$22,Resumen!CK$6:CK$22,0),"")</f>
        <v>0</v>
      </c>
      <c r="K165" s="44">
        <f ca="1">IF(D165="Finalizado",IF(H165&gt;Q165,1,0),"")</f>
        <v>1</v>
      </c>
      <c r="L165" s="44">
        <f t="shared" ca="1" si="363"/>
        <v>0</v>
      </c>
      <c r="M165" s="44">
        <f t="shared" ca="1" si="364"/>
        <v>0</v>
      </c>
      <c r="N165" s="44">
        <f t="shared" ca="1" si="365"/>
        <v>1</v>
      </c>
      <c r="O165" s="45">
        <f t="shared" ca="1" si="366"/>
        <v>10</v>
      </c>
      <c r="P165" s="42" t="str">
        <f>IF(VLOOKUP(F165,Fixture!$B$2:$F$229,5,FALSE)&lt;&gt;0,VLOOKUP(F165,Fixture!$B$2:$F$229,5,FALSE),"")</f>
        <v>Atalanta</v>
      </c>
      <c r="Q165" s="44">
        <f ca="1">IF($D165="Finalizado",_xlfn.XLOOKUP(P165,Resumen!$A$6:$A$22,Resumen!CH$6:CH$22,0),"")</f>
        <v>0</v>
      </c>
      <c r="R165" s="44">
        <f ca="1">IF($D165="Finalizado",_xlfn.XLOOKUP(P165,Resumen!$A$6:$A$22,Resumen!CI$6:CI$22,0),"")</f>
        <v>1</v>
      </c>
      <c r="S165" s="44">
        <f ca="1">IF($D165="Finalizado",_xlfn.XLOOKUP(P165,Resumen!$A$6:$A$22,Resumen!CJ$6:CJ$22,0)+_xlfn.XLOOKUP(P165,Resumen!$A$6:$A$22,Resumen!CK$6:CK$22,0),"")</f>
        <v>0</v>
      </c>
      <c r="T165" s="44">
        <f t="shared" ca="1" si="304"/>
        <v>0</v>
      </c>
      <c r="U165" s="44">
        <f t="shared" ca="1" si="307"/>
        <v>0</v>
      </c>
      <c r="V165" s="44">
        <f t="shared" ca="1" si="308"/>
        <v>1</v>
      </c>
      <c r="W165" s="44">
        <f t="shared" ca="1" si="305"/>
        <v>1</v>
      </c>
      <c r="X165" s="45">
        <f t="shared" ca="1" si="367"/>
        <v>5</v>
      </c>
      <c r="Y165" s="128" t="str">
        <f>+A165</f>
        <v>Fecha 22</v>
      </c>
    </row>
    <row r="166" spans="1:25" ht="16.5" thickBot="1" x14ac:dyDescent="0.3">
      <c r="A166" s="203"/>
      <c r="B166" s="60">
        <f>IF(Fixture!C165,Fixture!C165,"")</f>
        <v>45858</v>
      </c>
      <c r="C166" s="58">
        <v>0.58333333333333337</v>
      </c>
      <c r="D166" s="82" t="str">
        <f t="shared" ca="1" si="286"/>
        <v>Finalizado</v>
      </c>
      <c r="E166" s="198"/>
      <c r="F166" s="43">
        <f>+Fixture!B165</f>
        <v>164</v>
      </c>
      <c r="G166" s="42" t="str">
        <f>IF(VLOOKUP(F166,Fixture!$B$2:$F$180,3,FALSE)&lt;&gt;0,VLOOKUP(F166,Fixture!$B$2:$F$180,3,FALSE),"")</f>
        <v>Ron Star</v>
      </c>
      <c r="H166" s="44">
        <f ca="1">IF($D166="Finalizado",_xlfn.XLOOKUP(G166,Resumen!$A$6:$A$22,Resumen!CH$6:CH$22,0),"")</f>
        <v>3</v>
      </c>
      <c r="I166" s="44">
        <f ca="1">IF($D166="Finalizado",_xlfn.XLOOKUP(G166,Resumen!$A$6:$A$22,Resumen!CI$6:CI$22,0),"")</f>
        <v>1</v>
      </c>
      <c r="J166" s="44">
        <f ca="1">IF($D166="Finalizado",_xlfn.XLOOKUP(G166,Resumen!$A$6:$A$22,Resumen!CJ$6:CJ$22,0)+_xlfn.XLOOKUP(G166,Resumen!$A$6:$A$22,Resumen!CK$6:CK$22,0),"")</f>
        <v>0</v>
      </c>
      <c r="K166" s="44">
        <f t="shared" ref="K166:K171" ca="1" si="368">IF(D166="Finalizado",IF(H166&gt;Q166,1,0),"")</f>
        <v>0</v>
      </c>
      <c r="L166" s="44">
        <f t="shared" ref="L166:L171" ca="1" si="369">IF(D166="Finalizado",IF(H166=Q166,1,0),"")</f>
        <v>1</v>
      </c>
      <c r="M166" s="44">
        <f t="shared" ref="M166:M171" ca="1" si="370">IF(D166="Finalizado",IF(H166&lt;Q166,1,0),"")</f>
        <v>0</v>
      </c>
      <c r="N166" s="44">
        <f t="shared" ref="N166:N171" ca="1" si="371">IF(D166="Finalizado",1,"")</f>
        <v>1</v>
      </c>
      <c r="O166" s="45">
        <f t="shared" ref="O166:O171" ca="1" si="372">IF(D166="Finalizado",SUM(I166*5,J166*10),"")</f>
        <v>5</v>
      </c>
      <c r="P166" s="42" t="str">
        <f>IF(VLOOKUP(F166,Fixture!$B$2:$F$229,5,FALSE)&lt;&gt;0,VLOOKUP(F166,Fixture!$B$2:$F$229,5,FALSE),"")</f>
        <v>La Unión FC</v>
      </c>
      <c r="Q166" s="44">
        <f ca="1">IF($D166="Finalizado",_xlfn.XLOOKUP(P166,Resumen!$A$6:$A$22,Resumen!CH$6:CH$22,0),"")</f>
        <v>3</v>
      </c>
      <c r="R166" s="44">
        <f ca="1">IF($D166="Finalizado",_xlfn.XLOOKUP(P166,Resumen!$A$6:$A$22,Resumen!CI$6:CI$22,0),"")</f>
        <v>2</v>
      </c>
      <c r="S166" s="44">
        <f ca="1">IF($D166="Finalizado",_xlfn.XLOOKUP(P166,Resumen!$A$6:$A$22,Resumen!CJ$6:CJ$22,0)+_xlfn.XLOOKUP(P166,Resumen!$A$6:$A$22,Resumen!CK$6:CK$22,0),"")</f>
        <v>0</v>
      </c>
      <c r="T166" s="44">
        <f t="shared" ref="T166:T171" ca="1" si="373">IF(D166="Finalizado",IF(Q166&gt;H166,1,0),"")</f>
        <v>0</v>
      </c>
      <c r="U166" s="44">
        <f t="shared" ref="U166:U171" ca="1" si="374">IF(D166="Finalizado",IF(Q166=H166,1,0),"")</f>
        <v>1</v>
      </c>
      <c r="V166" s="44">
        <f t="shared" ref="V166:V171" ca="1" si="375">IF(D166="Finalizado",IF(Q166&lt;H166,1,0),"")</f>
        <v>0</v>
      </c>
      <c r="W166" s="44">
        <f t="shared" ref="W166:W171" ca="1" si="376">IF(D166="Finalizado",1,"")</f>
        <v>1</v>
      </c>
      <c r="X166" s="45">
        <f t="shared" ref="X166:X171" ca="1" si="377">IF(D166="Finalizado",SUM(R166*5,S166*10),"")</f>
        <v>10</v>
      </c>
      <c r="Y166" s="128"/>
    </row>
    <row r="167" spans="1:25" ht="16.5" thickBot="1" x14ac:dyDescent="0.3">
      <c r="A167" s="203"/>
      <c r="B167" s="60">
        <f>IF(Fixture!C166,Fixture!C166,"")</f>
        <v>45858</v>
      </c>
      <c r="C167" s="58">
        <v>0.63541666666666663</v>
      </c>
      <c r="D167" s="82" t="str">
        <f t="shared" ca="1" si="286"/>
        <v>Finalizado</v>
      </c>
      <c r="E167" s="198"/>
      <c r="F167" s="43">
        <f>+Fixture!B166</f>
        <v>165</v>
      </c>
      <c r="G167" s="42" t="str">
        <f>IF(VLOOKUP(F167,Fixture!$B$2:$F$180,3,FALSE)&lt;&gt;0,VLOOKUP(F167,Fixture!$B$2:$F$180,3,FALSE),"")</f>
        <v>Konami</v>
      </c>
      <c r="H167" s="44">
        <f ca="1">IF($D167="Finalizado",_xlfn.XLOOKUP(G167,Resumen!$A$6:$A$22,Resumen!CH$6:CH$22,0),"")</f>
        <v>0</v>
      </c>
      <c r="I167" s="44">
        <f ca="1">IF($D167="Finalizado",_xlfn.XLOOKUP(G167,Resumen!$A$6:$A$22,Resumen!CI$6:CI$22,0),"")</f>
        <v>0</v>
      </c>
      <c r="J167" s="44">
        <f ca="1">IF($D167="Finalizado",_xlfn.XLOOKUP(G167,Resumen!$A$6:$A$22,Resumen!CJ$6:CJ$22,0)+_xlfn.XLOOKUP(G167,Resumen!$A$6:$A$22,Resumen!CK$6:CK$22,0),"")</f>
        <v>0</v>
      </c>
      <c r="K167" s="44">
        <f t="shared" ca="1" si="368"/>
        <v>0</v>
      </c>
      <c r="L167" s="44">
        <f t="shared" ca="1" si="369"/>
        <v>0</v>
      </c>
      <c r="M167" s="44">
        <f t="shared" ca="1" si="370"/>
        <v>1</v>
      </c>
      <c r="N167" s="44">
        <f t="shared" ca="1" si="371"/>
        <v>1</v>
      </c>
      <c r="O167" s="45">
        <f t="shared" ca="1" si="372"/>
        <v>0</v>
      </c>
      <c r="P167" s="42" t="str">
        <f>IF(VLOOKUP(F167,Fixture!$B$2:$F$229,5,FALSE)&lt;&gt;0,VLOOKUP(F167,Fixture!$B$2:$F$229,5,FALSE),"")</f>
        <v>La Amistad</v>
      </c>
      <c r="Q167" s="44">
        <f ca="1">IF($D167="Finalizado",_xlfn.XLOOKUP(P167,Resumen!$A$6:$A$22,Resumen!CH$6:CH$22,0),"")</f>
        <v>4</v>
      </c>
      <c r="R167" s="44">
        <f ca="1">IF($D167="Finalizado",_xlfn.XLOOKUP(P167,Resumen!$A$6:$A$22,Resumen!CI$6:CI$22,0),"")</f>
        <v>0</v>
      </c>
      <c r="S167" s="44">
        <f ca="1">IF($D167="Finalizado",_xlfn.XLOOKUP(P167,Resumen!$A$6:$A$22,Resumen!CJ$6:CJ$22,0)+_xlfn.XLOOKUP(P167,Resumen!$A$6:$A$22,Resumen!CK$6:CK$22,0),"")</f>
        <v>0</v>
      </c>
      <c r="T167" s="44">
        <f t="shared" ca="1" si="373"/>
        <v>1</v>
      </c>
      <c r="U167" s="44">
        <f t="shared" ca="1" si="374"/>
        <v>0</v>
      </c>
      <c r="V167" s="44">
        <f t="shared" ca="1" si="375"/>
        <v>0</v>
      </c>
      <c r="W167" s="44">
        <f t="shared" ca="1" si="376"/>
        <v>1</v>
      </c>
      <c r="X167" s="45">
        <f t="shared" ca="1" si="377"/>
        <v>0</v>
      </c>
      <c r="Y167" s="128"/>
    </row>
    <row r="168" spans="1:25" ht="16.5" thickBot="1" x14ac:dyDescent="0.3">
      <c r="A168" s="203"/>
      <c r="B168" s="60">
        <f>IF(Fixture!C167,Fixture!C167,"")</f>
        <v>45858</v>
      </c>
      <c r="C168" s="59">
        <v>0.67708333333333337</v>
      </c>
      <c r="D168" s="82" t="str">
        <f t="shared" ca="1" si="286"/>
        <v>Finalizado</v>
      </c>
      <c r="E168" s="198"/>
      <c r="F168" s="43">
        <f>+Fixture!B167</f>
        <v>166</v>
      </c>
      <c r="G168" s="42" t="str">
        <f>IF(VLOOKUP(F168,Fixture!$B$2:$F$180,3,FALSE)&lt;&gt;0,VLOOKUP(F168,Fixture!$B$2:$F$180,3,FALSE),"")</f>
        <v>Hojas Anchas</v>
      </c>
      <c r="H168" s="44">
        <f ca="1">IF($D168="Finalizado",_xlfn.XLOOKUP(G168,Resumen!$A$6:$A$22,Resumen!CH$6:CH$22,0),"")</f>
        <v>1</v>
      </c>
      <c r="I168" s="44">
        <f ca="1">IF($D168="Finalizado",_xlfn.XLOOKUP(G168,Resumen!$A$6:$A$22,Resumen!CI$6:CI$22,0),"")</f>
        <v>2</v>
      </c>
      <c r="J168" s="44">
        <f ca="1">IF($D168="Finalizado",_xlfn.XLOOKUP(G168,Resumen!$A$6:$A$22,Resumen!CJ$6:CJ$22,0)+_xlfn.XLOOKUP(G168,Resumen!$A$6:$A$22,Resumen!CK$6:CK$22,0),"")</f>
        <v>0</v>
      </c>
      <c r="K168" s="44">
        <f t="shared" ca="1" si="368"/>
        <v>0</v>
      </c>
      <c r="L168" s="44">
        <f t="shared" ca="1" si="369"/>
        <v>0</v>
      </c>
      <c r="M168" s="44">
        <f t="shared" ca="1" si="370"/>
        <v>1</v>
      </c>
      <c r="N168" s="44">
        <f t="shared" ca="1" si="371"/>
        <v>1</v>
      </c>
      <c r="O168" s="45">
        <f t="shared" ca="1" si="372"/>
        <v>10</v>
      </c>
      <c r="P168" s="42" t="str">
        <f>IF(VLOOKUP(F168,Fixture!$B$2:$F$229,5,FALSE)&lt;&gt;0,VLOOKUP(F168,Fixture!$B$2:$F$229,5,FALSE),"")</f>
        <v>Los Amigos</v>
      </c>
      <c r="Q168" s="44">
        <f ca="1">IF($D168="Finalizado",_xlfn.XLOOKUP(P168,Resumen!$A$6:$A$22,Resumen!CH$6:CH$22,0),"")</f>
        <v>4</v>
      </c>
      <c r="R168" s="44">
        <f ca="1">IF($D168="Finalizado",_xlfn.XLOOKUP(P168,Resumen!$A$6:$A$22,Resumen!CI$6:CI$22,0),"")</f>
        <v>1</v>
      </c>
      <c r="S168" s="44">
        <f ca="1">IF($D168="Finalizado",_xlfn.XLOOKUP(P168,Resumen!$A$6:$A$22,Resumen!CJ$6:CJ$22,0)+_xlfn.XLOOKUP(P168,Resumen!$A$6:$A$22,Resumen!CK$6:CK$22,0),"")</f>
        <v>0</v>
      </c>
      <c r="T168" s="44">
        <f t="shared" ca="1" si="373"/>
        <v>1</v>
      </c>
      <c r="U168" s="44">
        <f t="shared" ca="1" si="374"/>
        <v>0</v>
      </c>
      <c r="V168" s="44">
        <f t="shared" ca="1" si="375"/>
        <v>0</v>
      </c>
      <c r="W168" s="44">
        <f t="shared" ca="1" si="376"/>
        <v>1</v>
      </c>
      <c r="X168" s="45">
        <f t="shared" ca="1" si="377"/>
        <v>5</v>
      </c>
      <c r="Y168" s="128"/>
    </row>
    <row r="169" spans="1:25" ht="16.5" thickBot="1" x14ac:dyDescent="0.3">
      <c r="A169" s="203"/>
      <c r="B169" s="60">
        <f>IF(Fixture!C168,Fixture!C168,"")</f>
        <v>45858</v>
      </c>
      <c r="C169" s="58">
        <v>0.375</v>
      </c>
      <c r="D169" s="82" t="str">
        <f t="shared" ca="1" si="286"/>
        <v>Finalizado</v>
      </c>
      <c r="E169" s="198"/>
      <c r="F169" s="43">
        <f>+Fixture!B168</f>
        <v>167</v>
      </c>
      <c r="G169" s="42" t="str">
        <f>IF(VLOOKUP(F169,Fixture!$B$2:$F$180,3,FALSE)&lt;&gt;0,VLOOKUP(F169,Fixture!$B$2:$F$180,3,FALSE),"")</f>
        <v>Boca Juniors</v>
      </c>
      <c r="H169" s="44">
        <f ca="1">IF($D169="Finalizado",_xlfn.XLOOKUP(G169,Resumen!$A$6:$A$22,Resumen!CH$6:CH$22,0),"")</f>
        <v>0</v>
      </c>
      <c r="I169" s="44">
        <f ca="1">IF($D169="Finalizado",_xlfn.XLOOKUP(G169,Resumen!$A$6:$A$22,Resumen!CI$6:CI$22,0),"")</f>
        <v>0</v>
      </c>
      <c r="J169" s="44">
        <f ca="1">IF($D169="Finalizado",_xlfn.XLOOKUP(G169,Resumen!$A$6:$A$22,Resumen!CJ$6:CJ$22,0)+_xlfn.XLOOKUP(G169,Resumen!$A$6:$A$22,Resumen!CK$6:CK$22,0),"")</f>
        <v>3</v>
      </c>
      <c r="K169" s="44">
        <f t="shared" ca="1" si="368"/>
        <v>0</v>
      </c>
      <c r="L169" s="44">
        <f t="shared" ca="1" si="369"/>
        <v>0</v>
      </c>
      <c r="M169" s="44">
        <f t="shared" ca="1" si="370"/>
        <v>1</v>
      </c>
      <c r="N169" s="44">
        <f t="shared" ca="1" si="371"/>
        <v>1</v>
      </c>
      <c r="O169" s="45">
        <f t="shared" ca="1" si="372"/>
        <v>30</v>
      </c>
      <c r="P169" s="42" t="str">
        <f>IF(VLOOKUP(F169,Fixture!$B$2:$F$229,5,FALSE)&lt;&gt;0,VLOOKUP(F169,Fixture!$B$2:$F$229,5,FALSE),"")</f>
        <v>Los Aliados</v>
      </c>
      <c r="Q169" s="44">
        <f ca="1">IF($D169="Finalizado",_xlfn.XLOOKUP(P169,Resumen!$A$6:$A$22,Resumen!CH$6:CH$22,0),"")</f>
        <v>3</v>
      </c>
      <c r="R169" s="44">
        <f ca="1">IF($D169="Finalizado",_xlfn.XLOOKUP(P169,Resumen!$A$6:$A$22,Resumen!CI$6:CI$22,0),"")</f>
        <v>0</v>
      </c>
      <c r="S169" s="44">
        <f ca="1">IF($D169="Finalizado",_xlfn.XLOOKUP(P169,Resumen!$A$6:$A$22,Resumen!CJ$6:CJ$22,0)+_xlfn.XLOOKUP(P169,Resumen!$A$6:$A$22,Resumen!CK$6:CK$22,0),"")</f>
        <v>0</v>
      </c>
      <c r="T169" s="44">
        <f t="shared" ca="1" si="373"/>
        <v>1</v>
      </c>
      <c r="U169" s="44">
        <f t="shared" ca="1" si="374"/>
        <v>0</v>
      </c>
      <c r="V169" s="44">
        <f t="shared" ca="1" si="375"/>
        <v>0</v>
      </c>
      <c r="W169" s="44">
        <f t="shared" ca="1" si="376"/>
        <v>1</v>
      </c>
      <c r="X169" s="45">
        <f t="shared" ca="1" si="377"/>
        <v>0</v>
      </c>
      <c r="Y169" s="128"/>
    </row>
    <row r="170" spans="1:25" ht="15.6" customHeight="1" thickBot="1" x14ac:dyDescent="0.3">
      <c r="A170" s="203"/>
      <c r="B170" s="60">
        <f>IF(Fixture!C169,Fixture!C169,"")</f>
        <v>45858</v>
      </c>
      <c r="C170" s="58">
        <v>0.42708333333333331</v>
      </c>
      <c r="D170" s="82" t="str">
        <f t="shared" ca="1" si="286"/>
        <v>Finalizado</v>
      </c>
      <c r="E170" s="198"/>
      <c r="F170" s="43">
        <f>+Fixture!B169</f>
        <v>168</v>
      </c>
      <c r="G170" s="42" t="str">
        <f>IF(VLOOKUP(F170,Fixture!$B$2:$F$180,3,FALSE)&lt;&gt;0,VLOOKUP(F170,Fixture!$B$2:$F$180,3,FALSE),"")</f>
        <v>Villanueva</v>
      </c>
      <c r="H170" s="44">
        <f ca="1">IF($D170="Finalizado",_xlfn.XLOOKUP(G170,Resumen!$A$6:$A$22,Resumen!CH$6:CH$22,0),"")</f>
        <v>4</v>
      </c>
      <c r="I170" s="44">
        <f ca="1">IF($D170="Finalizado",_xlfn.XLOOKUP(G170,Resumen!$A$6:$A$22,Resumen!CI$6:CI$22,0),"")</f>
        <v>0</v>
      </c>
      <c r="J170" s="44">
        <f ca="1">IF($D170="Finalizado",_xlfn.XLOOKUP(G170,Resumen!$A$6:$A$22,Resumen!CJ$6:CJ$22,0)+_xlfn.XLOOKUP(G170,Resumen!$A$6:$A$22,Resumen!CK$6:CK$22,0),"")</f>
        <v>0</v>
      </c>
      <c r="K170" s="44">
        <f t="shared" ca="1" si="368"/>
        <v>1</v>
      </c>
      <c r="L170" s="44">
        <f t="shared" ca="1" si="369"/>
        <v>0</v>
      </c>
      <c r="M170" s="44">
        <f t="shared" ca="1" si="370"/>
        <v>0</v>
      </c>
      <c r="N170" s="44">
        <f t="shared" ca="1" si="371"/>
        <v>1</v>
      </c>
      <c r="O170" s="45">
        <f t="shared" ca="1" si="372"/>
        <v>0</v>
      </c>
      <c r="P170" s="42" t="str">
        <f>IF(VLOOKUP(F170,Fixture!$B$2:$F$229,5,FALSE)&lt;&gt;0,VLOOKUP(F170,Fixture!$B$2:$F$229,5,FALSE),"")</f>
        <v>Deportivo Fénix</v>
      </c>
      <c r="Q170" s="44">
        <f ca="1">IF($D170="Finalizado",_xlfn.XLOOKUP(P170,Resumen!$A$6:$A$22,Resumen!CH$6:CH$22,0),"")</f>
        <v>3</v>
      </c>
      <c r="R170" s="44">
        <f ca="1">IF($D170="Finalizado",_xlfn.XLOOKUP(P170,Resumen!$A$6:$A$22,Resumen!CI$6:CI$22,0),"")</f>
        <v>1</v>
      </c>
      <c r="S170" s="44">
        <f ca="1">IF($D170="Finalizado",_xlfn.XLOOKUP(P170,Resumen!$A$6:$A$22,Resumen!CJ$6:CJ$22,0)+_xlfn.XLOOKUP(P170,Resumen!$A$6:$A$22,Resumen!CK$6:CK$22,0),"")</f>
        <v>0</v>
      </c>
      <c r="T170" s="44">
        <f t="shared" ca="1" si="373"/>
        <v>0</v>
      </c>
      <c r="U170" s="44">
        <f t="shared" ca="1" si="374"/>
        <v>0</v>
      </c>
      <c r="V170" s="44">
        <f t="shared" ca="1" si="375"/>
        <v>1</v>
      </c>
      <c r="W170" s="44">
        <f t="shared" ca="1" si="376"/>
        <v>1</v>
      </c>
      <c r="X170" s="45">
        <f t="shared" ca="1" si="377"/>
        <v>5</v>
      </c>
      <c r="Y170" s="128"/>
    </row>
    <row r="171" spans="1:25" ht="15.6" customHeight="1" thickBot="1" x14ac:dyDescent="0.3">
      <c r="A171" s="203"/>
      <c r="B171" s="60">
        <f>IF(Fixture!C170,Fixture!C170,"")</f>
        <v>45858</v>
      </c>
      <c r="C171" s="58">
        <v>0.47916666666666669</v>
      </c>
      <c r="D171" s="82" t="str">
        <f t="shared" ca="1" si="286"/>
        <v>Finalizado</v>
      </c>
      <c r="E171" s="198"/>
      <c r="F171" s="43">
        <f>+Fixture!B170</f>
        <v>169</v>
      </c>
      <c r="G171" s="42" t="str">
        <f>IF(VLOOKUP(F171,Fixture!$B$2:$F$180,3,FALSE)&lt;&gt;0,VLOOKUP(F171,Fixture!$B$2:$F$180,3,FALSE),"")</f>
        <v>Amenadim</v>
      </c>
      <c r="H171" s="44">
        <f ca="1">IF($D171="Finalizado",_xlfn.XLOOKUP(G171,Resumen!$A$6:$A$22,Resumen!CH$6:CH$22,0),"")</f>
        <v>3</v>
      </c>
      <c r="I171" s="44">
        <f ca="1">IF($D171="Finalizado",_xlfn.XLOOKUP(G171,Resumen!$A$6:$A$22,Resumen!CI$6:CI$22,0),"")</f>
        <v>0</v>
      </c>
      <c r="J171" s="44">
        <f ca="1">IF($D171="Finalizado",_xlfn.XLOOKUP(G171,Resumen!$A$6:$A$22,Resumen!CJ$6:CJ$22,0)+_xlfn.XLOOKUP(G171,Resumen!$A$6:$A$22,Resumen!CK$6:CK$22,0),"")</f>
        <v>0</v>
      </c>
      <c r="K171" s="44">
        <f t="shared" ca="1" si="368"/>
        <v>1</v>
      </c>
      <c r="L171" s="44">
        <f t="shared" ca="1" si="369"/>
        <v>0</v>
      </c>
      <c r="M171" s="44">
        <f t="shared" ca="1" si="370"/>
        <v>0</v>
      </c>
      <c r="N171" s="44">
        <f t="shared" ca="1" si="371"/>
        <v>1</v>
      </c>
      <c r="O171" s="45">
        <f t="shared" ca="1" si="372"/>
        <v>0</v>
      </c>
      <c r="P171" s="42" t="str">
        <f>IF(VLOOKUP(F171,Fixture!$B$2:$F$229,5,FALSE)&lt;&gt;0,VLOOKUP(F171,Fixture!$B$2:$F$229,5,FALSE),"")</f>
        <v>CD El Corozo</v>
      </c>
      <c r="Q171" s="44">
        <f ca="1">IF($D171="Finalizado",_xlfn.XLOOKUP(P171,Resumen!$A$6:$A$22,Resumen!CH$6:CH$22,0),"")</f>
        <v>0</v>
      </c>
      <c r="R171" s="44">
        <f ca="1">IF($D171="Finalizado",_xlfn.XLOOKUP(P171,Resumen!$A$6:$A$22,Resumen!CI$6:CI$22,0),"")</f>
        <v>0</v>
      </c>
      <c r="S171" s="44">
        <f ca="1">IF($D171="Finalizado",_xlfn.XLOOKUP(P171,Resumen!$A$6:$A$22,Resumen!CJ$6:CJ$22,0)+_xlfn.XLOOKUP(P171,Resumen!$A$6:$A$22,Resumen!CK$6:CK$22,0),"")</f>
        <v>3</v>
      </c>
      <c r="T171" s="44">
        <f t="shared" ca="1" si="373"/>
        <v>0</v>
      </c>
      <c r="U171" s="44">
        <f t="shared" ca="1" si="374"/>
        <v>0</v>
      </c>
      <c r="V171" s="44">
        <f t="shared" ca="1" si="375"/>
        <v>1</v>
      </c>
      <c r="W171" s="44">
        <f t="shared" ca="1" si="376"/>
        <v>1</v>
      </c>
      <c r="X171" s="45">
        <f t="shared" ca="1" si="377"/>
        <v>30</v>
      </c>
      <c r="Y171" s="128"/>
    </row>
    <row r="172" spans="1:25" ht="15.6" customHeight="1" thickBot="1" x14ac:dyDescent="0.3">
      <c r="A172" s="203" t="s">
        <v>94</v>
      </c>
      <c r="B172" s="60">
        <f>IF(Fixture!C171,Fixture!C171,"")</f>
        <v>45865</v>
      </c>
      <c r="C172" s="58">
        <v>0.53125</v>
      </c>
      <c r="D172" s="82" t="str">
        <f t="shared" ca="1" si="286"/>
        <v>Finalizado</v>
      </c>
      <c r="E172" s="198" t="s">
        <v>114</v>
      </c>
      <c r="F172" s="43">
        <f>+Fixture!B171</f>
        <v>170</v>
      </c>
      <c r="G172" s="42" t="str">
        <f>IF(VLOOKUP(F172,Fixture!$B$2:$F$180,3,FALSE)&lt;&gt;0,VLOOKUP(F172,Fixture!$B$2:$F$180,3,FALSE),"")</f>
        <v>Valentín FC</v>
      </c>
      <c r="H172" s="44">
        <f ca="1">IF($D172="Finalizado",_xlfn.XLOOKUP(G172,Resumen!$A$6:$A$22,Resumen!CL$6:CL$22,0),"")</f>
        <v>2</v>
      </c>
      <c r="I172" s="44">
        <f ca="1">IF($D172="Finalizado",_xlfn.XLOOKUP(G172,Resumen!$A$6:$A$22,Resumen!CM$6:CM$22,0),"")</f>
        <v>2</v>
      </c>
      <c r="J172" s="44">
        <f ca="1">IF($D172="Finalizado",_xlfn.XLOOKUP(G172,Resumen!$A$6:$A$22,Resumen!CN$6:CN$22,0)+_xlfn.XLOOKUP(G172,Resumen!$A$6:$A$22,Resumen!CO$6:CO$22,0),"")</f>
        <v>0</v>
      </c>
      <c r="K172" s="44">
        <f ca="1">IF(D172="Finalizado",IF(H172&gt;Q172,1,0),"")</f>
        <v>1</v>
      </c>
      <c r="L172" s="44">
        <f t="shared" ref="L172" ca="1" si="378">IF(D172="Finalizado",IF(H172=Q172,1,0),"")</f>
        <v>0</v>
      </c>
      <c r="M172" s="44">
        <f t="shared" ref="M172" ca="1" si="379">IF(D172="Finalizado",IF(H172&lt;Q172,1,0),"")</f>
        <v>0</v>
      </c>
      <c r="N172" s="44">
        <f t="shared" ref="N172" ca="1" si="380">IF(D172="Finalizado",1,"")</f>
        <v>1</v>
      </c>
      <c r="O172" s="45">
        <f t="shared" ref="O172" ca="1" si="381">IF(D172="Finalizado",SUM(I172*5,J172*10),"")</f>
        <v>10</v>
      </c>
      <c r="P172" s="42" t="str">
        <f>IF(VLOOKUP(F172,Fixture!$B$2:$F$229,5,FALSE)&lt;&gt;0,VLOOKUP(F172,Fixture!$B$2:$F$229,5,FALSE),"")</f>
        <v>Amenadim</v>
      </c>
      <c r="Q172" s="48">
        <f ca="1">IF($D172="Finalizado",_xlfn.XLOOKUP(P172,Resumen!$A$6:$A$22,Resumen!CL$6:CL$22,0),"")</f>
        <v>0</v>
      </c>
      <c r="R172" s="48">
        <f ca="1">IF($D172="Finalizado",_xlfn.XLOOKUP(P172,Resumen!$A$6:$A$22,Resumen!CM$6:CM$22,0),"")</f>
        <v>2</v>
      </c>
      <c r="S172" s="48">
        <f ca="1">IF($D172="Finalizado",_xlfn.XLOOKUP(P172,Resumen!$A$6:$A$22,Resumen!CN$6:CN$22,0)+_xlfn.XLOOKUP(P172,Resumen!$A$6:$A$22,Resumen!CO$6:CO$22,0),"")</f>
        <v>0</v>
      </c>
      <c r="T172" s="44">
        <f t="shared" ca="1" si="304"/>
        <v>0</v>
      </c>
      <c r="U172" s="44">
        <f t="shared" ca="1" si="307"/>
        <v>0</v>
      </c>
      <c r="V172" s="44">
        <f t="shared" ca="1" si="308"/>
        <v>1</v>
      </c>
      <c r="W172" s="44">
        <f t="shared" ca="1" si="305"/>
        <v>1</v>
      </c>
      <c r="X172" s="49">
        <f t="shared" ref="X172" ca="1" si="382">IF(D172="Finalizado",SUM(R172*5,S172*10),"")</f>
        <v>10</v>
      </c>
      <c r="Y172" s="204" t="str">
        <f>A172</f>
        <v>Fecha 23</v>
      </c>
    </row>
    <row r="173" spans="1:25" ht="15.6" customHeight="1" thickBot="1" x14ac:dyDescent="0.3">
      <c r="A173" s="203"/>
      <c r="B173" s="60">
        <f>IF(Fixture!C172,Fixture!C172,"")</f>
        <v>45865</v>
      </c>
      <c r="C173" s="58">
        <v>0.58333333333333404</v>
      </c>
      <c r="D173" s="82" t="str">
        <f t="shared" ca="1" si="286"/>
        <v>Finalizado</v>
      </c>
      <c r="E173" s="198"/>
      <c r="F173" s="43">
        <f>+Fixture!B172</f>
        <v>171</v>
      </c>
      <c r="G173" s="42" t="str">
        <f>IF(VLOOKUP(F173,Fixture!$B$2:$F$180,3,FALSE)&lt;&gt;0,VLOOKUP(F173,Fixture!$B$2:$F$180,3,FALSE),"")</f>
        <v>Villanueva</v>
      </c>
      <c r="H173" s="44">
        <f ca="1">IF($D173="Finalizado",_xlfn.XLOOKUP(G173,Resumen!$A$6:$A$22,Resumen!CL$6:CL$22,0),"")</f>
        <v>0</v>
      </c>
      <c r="I173" s="44">
        <f ca="1">IF($D173="Finalizado",_xlfn.XLOOKUP(G173,Resumen!$A$6:$A$22,Resumen!CM$6:CM$22,0),"")</f>
        <v>3</v>
      </c>
      <c r="J173" s="44">
        <f ca="1">IF($D173="Finalizado",_xlfn.XLOOKUP(G173,Resumen!$A$6:$A$22,Resumen!CN$6:CN$22,0)+_xlfn.XLOOKUP(G173,Resumen!$A$6:$A$22,Resumen!CO$6:CO$22,0),"")</f>
        <v>1</v>
      </c>
      <c r="K173" s="44">
        <f t="shared" ref="K173:K175" ca="1" si="383">IF(D173="Finalizado",IF(H173&gt;Q173,1,0),"")</f>
        <v>0</v>
      </c>
      <c r="L173" s="44">
        <f t="shared" ref="L173:L175" ca="1" si="384">IF(D173="Finalizado",IF(H173=Q173,1,0),"")</f>
        <v>0</v>
      </c>
      <c r="M173" s="44">
        <f t="shared" ref="M173:M175" ca="1" si="385">IF(D173="Finalizado",IF(H173&lt;Q173,1,0),"")</f>
        <v>1</v>
      </c>
      <c r="N173" s="44">
        <f t="shared" ref="N173:N175" ca="1" si="386">IF(D173="Finalizado",1,"")</f>
        <v>1</v>
      </c>
      <c r="O173" s="45">
        <f t="shared" ref="O173:O175" ca="1" si="387">IF(D173="Finalizado",SUM(I173*5,J173*10),"")</f>
        <v>25</v>
      </c>
      <c r="P173" s="42" t="str">
        <f>IF(VLOOKUP(F173,Fixture!$B$2:$F$229,5,FALSE)&lt;&gt;0,VLOOKUP(F173,Fixture!$B$2:$F$229,5,FALSE),"")</f>
        <v>Los Amigos</v>
      </c>
      <c r="Q173" s="48">
        <f ca="1">IF($D173="Finalizado",_xlfn.XLOOKUP(P173,Resumen!$A$6:$A$22,Resumen!CL$6:CL$22,0),"")</f>
        <v>4</v>
      </c>
      <c r="R173" s="48">
        <f ca="1">IF($D173="Finalizado",_xlfn.XLOOKUP(P173,Resumen!$A$6:$A$22,Resumen!CM$6:CM$22,0),"")</f>
        <v>2</v>
      </c>
      <c r="S173" s="48">
        <f ca="1">IF($D173="Finalizado",_xlfn.XLOOKUP(P173,Resumen!$A$6:$A$22,Resumen!CN$6:CN$22,0)+_xlfn.XLOOKUP(P173,Resumen!$A$6:$A$22,Resumen!CO$6:CO$22,0),"")</f>
        <v>0</v>
      </c>
      <c r="T173" s="44">
        <f t="shared" ref="T173:T175" ca="1" si="388">IF(D173="Finalizado",IF(Q173&gt;H173,1,0),"")</f>
        <v>1</v>
      </c>
      <c r="U173" s="44">
        <f t="shared" ref="U173:U175" ca="1" si="389">IF(D173="Finalizado",IF(Q173=H173,1,0),"")</f>
        <v>0</v>
      </c>
      <c r="V173" s="44">
        <f t="shared" ref="V173:V175" ca="1" si="390">IF(D173="Finalizado",IF(Q173&lt;H173,1,0),"")</f>
        <v>0</v>
      </c>
      <c r="W173" s="44">
        <f t="shared" ref="W173:W175" ca="1" si="391">IF(D173="Finalizado",1,"")</f>
        <v>1</v>
      </c>
      <c r="X173" s="49">
        <f t="shared" ref="X173:X175" ca="1" si="392">IF(D173="Finalizado",SUM(R173*5,S173*10),"")</f>
        <v>10</v>
      </c>
      <c r="Y173" s="204"/>
    </row>
    <row r="174" spans="1:25" ht="16.149999999999999" customHeight="1" thickBot="1" x14ac:dyDescent="0.3">
      <c r="A174" s="203"/>
      <c r="B174" s="60">
        <f>IF(Fixture!C173,Fixture!C173,"")</f>
        <v>45865</v>
      </c>
      <c r="C174" s="58">
        <v>0.63541666666666696</v>
      </c>
      <c r="D174" s="82" t="str">
        <f t="shared" ca="1" si="286"/>
        <v>Finalizado</v>
      </c>
      <c r="E174" s="198"/>
      <c r="F174" s="43">
        <f>+Fixture!B173</f>
        <v>172</v>
      </c>
      <c r="G174" s="42" t="str">
        <f>IF(VLOOKUP(F174,Fixture!$B$2:$F$180,3,FALSE)&lt;&gt;0,VLOOKUP(F174,Fixture!$B$2:$F$180,3,FALSE),"")</f>
        <v>La Unión FC</v>
      </c>
      <c r="H174" s="44">
        <f ca="1">IF($D174="Finalizado",_xlfn.XLOOKUP(G174,Resumen!$A$6:$A$22,Resumen!CL$6:CL$22,0),"")</f>
        <v>3</v>
      </c>
      <c r="I174" s="44">
        <f ca="1">IF($D174="Finalizado",_xlfn.XLOOKUP(G174,Resumen!$A$6:$A$22,Resumen!CM$6:CM$22,0),"")</f>
        <v>1</v>
      </c>
      <c r="J174" s="44">
        <f ca="1">IF($D174="Finalizado",_xlfn.XLOOKUP(G174,Resumen!$A$6:$A$22,Resumen!CN$6:CN$22,0)+_xlfn.XLOOKUP(G174,Resumen!$A$6:$A$22,Resumen!CO$6:CO$22,0),"")</f>
        <v>0</v>
      </c>
      <c r="K174" s="44">
        <f t="shared" ca="1" si="383"/>
        <v>0</v>
      </c>
      <c r="L174" s="44">
        <f t="shared" ca="1" si="384"/>
        <v>0</v>
      </c>
      <c r="M174" s="44">
        <f t="shared" ca="1" si="385"/>
        <v>1</v>
      </c>
      <c r="N174" s="44">
        <f t="shared" ca="1" si="386"/>
        <v>1</v>
      </c>
      <c r="O174" s="45">
        <f t="shared" ca="1" si="387"/>
        <v>5</v>
      </c>
      <c r="P174" s="42" t="str">
        <f>IF(VLOOKUP(F174,Fixture!$B$2:$F$229,5,FALSE)&lt;&gt;0,VLOOKUP(F174,Fixture!$B$2:$F$229,5,FALSE),"")</f>
        <v>Konami</v>
      </c>
      <c r="Q174" s="48">
        <f ca="1">IF($D174="Finalizado",_xlfn.XLOOKUP(P174,Resumen!$A$6:$A$22,Resumen!CL$6:CL$22,0),"")</f>
        <v>5</v>
      </c>
      <c r="R174" s="48">
        <f ca="1">IF($D174="Finalizado",_xlfn.XLOOKUP(P174,Resumen!$A$6:$A$22,Resumen!CM$6:CM$22,0),"")</f>
        <v>0</v>
      </c>
      <c r="S174" s="48">
        <f ca="1">IF($D174="Finalizado",_xlfn.XLOOKUP(P174,Resumen!$A$6:$A$22,Resumen!CN$6:CN$22,0)+_xlfn.XLOOKUP(P174,Resumen!$A$6:$A$22,Resumen!CO$6:CO$22,0),"")</f>
        <v>0</v>
      </c>
      <c r="T174" s="44">
        <f t="shared" ca="1" si="388"/>
        <v>1</v>
      </c>
      <c r="U174" s="44">
        <f t="shared" ca="1" si="389"/>
        <v>0</v>
      </c>
      <c r="V174" s="44">
        <f t="shared" ca="1" si="390"/>
        <v>0</v>
      </c>
      <c r="W174" s="44">
        <f t="shared" ca="1" si="391"/>
        <v>1</v>
      </c>
      <c r="X174" s="49">
        <f t="shared" ca="1" si="392"/>
        <v>0</v>
      </c>
      <c r="Y174" s="204"/>
    </row>
    <row r="175" spans="1:25" ht="16.149999999999999" customHeight="1" thickBot="1" x14ac:dyDescent="0.3">
      <c r="A175" s="144"/>
      <c r="B175" s="60">
        <f>IF(Fixture!C174,Fixture!C174,"")</f>
        <v>45865</v>
      </c>
      <c r="C175" s="58">
        <v>0.6875</v>
      </c>
      <c r="D175" s="82" t="str">
        <f t="shared" ca="1" si="286"/>
        <v>Finalizado</v>
      </c>
      <c r="E175" s="198"/>
      <c r="F175" s="43">
        <f>+Fixture!B174</f>
        <v>173</v>
      </c>
      <c r="G175" s="42" t="str">
        <f>IF(VLOOKUP(F175,Fixture!$B$2:$F$180,3,FALSE)&lt;&gt;0,VLOOKUP(F175,Fixture!$B$2:$F$180,3,FALSE),"")</f>
        <v>La Amistad</v>
      </c>
      <c r="H175" s="44">
        <f ca="1">IF($D175="Finalizado",_xlfn.XLOOKUP(G175,Resumen!$A$6:$A$22,Resumen!CL$6:CL$22,0),"")</f>
        <v>1</v>
      </c>
      <c r="I175" s="44">
        <f ca="1">IF($D175="Finalizado",_xlfn.XLOOKUP(G175,Resumen!$A$6:$A$22,Resumen!CM$6:CM$22,0),"")</f>
        <v>1</v>
      </c>
      <c r="J175" s="44">
        <f ca="1">IF($D175="Finalizado",_xlfn.XLOOKUP(G175,Resumen!$A$6:$A$22,Resumen!CN$6:CN$22,0)+_xlfn.XLOOKUP(G175,Resumen!$A$6:$A$22,Resumen!CO$6:CO$22,0),"")</f>
        <v>0</v>
      </c>
      <c r="K175" s="44">
        <f t="shared" ca="1" si="383"/>
        <v>0</v>
      </c>
      <c r="L175" s="44">
        <f t="shared" ca="1" si="384"/>
        <v>0</v>
      </c>
      <c r="M175" s="44">
        <f t="shared" ca="1" si="385"/>
        <v>1</v>
      </c>
      <c r="N175" s="44">
        <f t="shared" ca="1" si="386"/>
        <v>1</v>
      </c>
      <c r="O175" s="45">
        <f t="shared" ca="1" si="387"/>
        <v>5</v>
      </c>
      <c r="P175" s="42" t="str">
        <f>IF(VLOOKUP(F175,Fixture!$B$2:$F$229,5,FALSE)&lt;&gt;0,VLOOKUP(F175,Fixture!$B$2:$F$229,5,FALSE),"")</f>
        <v>Ron Star</v>
      </c>
      <c r="Q175" s="48">
        <f ca="1">IF($D175="Finalizado",_xlfn.XLOOKUP(P175,Resumen!$A$6:$A$22,Resumen!CL$6:CL$22,0),"")</f>
        <v>3</v>
      </c>
      <c r="R175" s="48">
        <f ca="1">IF($D175="Finalizado",_xlfn.XLOOKUP(P175,Resumen!$A$6:$A$22,Resumen!CM$6:CM$22,0),"")</f>
        <v>2</v>
      </c>
      <c r="S175" s="48">
        <f ca="1">IF($D175="Finalizado",_xlfn.XLOOKUP(P175,Resumen!$A$6:$A$22,Resumen!CN$6:CN$22,0)+_xlfn.XLOOKUP(P175,Resumen!$A$6:$A$22,Resumen!CO$6:CO$22,0),"")</f>
        <v>0</v>
      </c>
      <c r="T175" s="44">
        <f t="shared" ca="1" si="388"/>
        <v>1</v>
      </c>
      <c r="U175" s="44">
        <f t="shared" ca="1" si="389"/>
        <v>0</v>
      </c>
      <c r="V175" s="44">
        <f t="shared" ca="1" si="390"/>
        <v>0</v>
      </c>
      <c r="W175" s="44">
        <f t="shared" ca="1" si="391"/>
        <v>1</v>
      </c>
      <c r="X175" s="49">
        <f t="shared" ca="1" si="392"/>
        <v>10</v>
      </c>
      <c r="Y175" s="205"/>
    </row>
    <row r="176" spans="1:25" ht="16.149999999999999" customHeight="1" thickBot="1" x14ac:dyDescent="0.3">
      <c r="A176" s="200" t="s">
        <v>95</v>
      </c>
      <c r="B176" s="60">
        <f>IF(Fixture!C175,Fixture!C175,"")</f>
        <v>45872</v>
      </c>
      <c r="C176" s="58">
        <v>0.72916666666666696</v>
      </c>
      <c r="D176" s="82" t="str">
        <f t="shared" ca="1" si="286"/>
        <v>Finalizado</v>
      </c>
      <c r="F176" s="43">
        <f>+Fixture!B175</f>
        <v>174</v>
      </c>
      <c r="G176" s="42" t="str">
        <f>IF(VLOOKUP(F176,Fixture!$B$2:$F$180,3,FALSE)&lt;&gt;0,VLOOKUP(F176,Fixture!$B$2:$F$180,3,FALSE),"")</f>
        <v>Ron Star</v>
      </c>
      <c r="H176" s="44">
        <f ca="1">IF($D176="Finalizado",_xlfn.XLOOKUP(G176,Resumen!$A$6:$A$22,Resumen!CP$6:CP$22,0),"")</f>
        <v>4</v>
      </c>
      <c r="I176" s="44">
        <f ca="1">IF($D176="Finalizado",_xlfn.XLOOKUP(G176,Resumen!$A$6:$A$22,Resumen!CQ$6:CQ$22,0),"")</f>
        <v>1</v>
      </c>
      <c r="J176" s="44">
        <f ca="1">IF($D176="Finalizado",_xlfn.XLOOKUP(G176,Resumen!$A$6:$A$22,Resumen!CR$6:CR$22,0)+_xlfn.XLOOKUP(G176,Resumen!$A$6:$A$22,Resumen!CS$6:CS$22,0),"")</f>
        <v>0</v>
      </c>
      <c r="K176" s="44">
        <f t="shared" ref="K176:K177" ca="1" si="393">IF(D176="Finalizado",IF(H176&gt;Q176,1,0),"")</f>
        <v>1</v>
      </c>
      <c r="L176" s="44">
        <f t="shared" ref="L176:L177" ca="1" si="394">IF(D176="Finalizado",IF(H176=Q176,1,0),"")</f>
        <v>0</v>
      </c>
      <c r="M176" s="44">
        <f t="shared" ref="M176:M177" ca="1" si="395">IF(D176="Finalizado",IF(H176&lt;Q176,1,0),"")</f>
        <v>0</v>
      </c>
      <c r="N176" s="44">
        <f t="shared" ref="N176:N177" ca="1" si="396">IF(D176="Finalizado",1,"")</f>
        <v>1</v>
      </c>
      <c r="O176" s="45">
        <f t="shared" ref="O176:O177" ca="1" si="397">IF(D176="Finalizado",SUM(I176*5,J176*10),"")</f>
        <v>5</v>
      </c>
      <c r="P176" s="42" t="str">
        <f>IF(VLOOKUP(F176,Fixture!$B$2:$F$229,5,FALSE)&lt;&gt;0,VLOOKUP(F176,Fixture!$B$2:$F$229,5,FALSE),"")</f>
        <v>Konami</v>
      </c>
      <c r="Q176" s="44">
        <f ca="1">IF($D176="Finalizado",_xlfn.XLOOKUP(P176,Resumen!$A$6:$A$22,Resumen!CP$6:CP$22,0),"")</f>
        <v>1</v>
      </c>
      <c r="R176" s="44">
        <f ca="1">IF($D176="Finalizado",_xlfn.XLOOKUP(P176,Resumen!$A$6:$A$22,Resumen!CQ$6:CQ$22,0),"")</f>
        <v>0</v>
      </c>
      <c r="S176" s="44">
        <f ca="1">IF($D176="Finalizado",_xlfn.XLOOKUP(P176,Resumen!$A$6:$A$22,Resumen!CR$6:CR$22,0)+_xlfn.XLOOKUP(P176,Resumen!$A$6:$A$22,Resumen!CS$6:CS$22,0),"")</f>
        <v>0</v>
      </c>
      <c r="T176" s="44">
        <f t="shared" ref="T176:T177" ca="1" si="398">IF(D176="Finalizado",IF(Q176&gt;H176,1,0),"")</f>
        <v>0</v>
      </c>
      <c r="U176" s="44">
        <f t="shared" ref="U176:U177" ca="1" si="399">IF(D176="Finalizado",IF(Q176=H176,1,0),"")</f>
        <v>0</v>
      </c>
      <c r="V176" s="44">
        <f t="shared" ref="V176:V177" ca="1" si="400">IF(D176="Finalizado",IF(Q176&lt;H176,1,0),"")</f>
        <v>1</v>
      </c>
      <c r="W176" s="44">
        <f t="shared" ref="W176:W177" ca="1" si="401">IF(D176="Finalizado",1,"")</f>
        <v>1</v>
      </c>
      <c r="X176" s="49">
        <f t="shared" ref="X176:X177" ca="1" si="402">IF(D176="Finalizado",SUM(R176*5,S176*10),"")</f>
        <v>0</v>
      </c>
      <c r="Y176" s="197" t="str">
        <f>A176</f>
        <v>Fecha 24</v>
      </c>
    </row>
    <row r="177" spans="1:25" ht="16.149999999999999" customHeight="1" thickBot="1" x14ac:dyDescent="0.3">
      <c r="A177" s="201"/>
      <c r="B177" s="60">
        <f>IF(Fixture!C176,Fixture!C176,"")</f>
        <v>45872</v>
      </c>
      <c r="C177" s="58">
        <v>0.77083333333333404</v>
      </c>
      <c r="D177" s="82" t="str">
        <f t="shared" ca="1" si="286"/>
        <v>Finalizado</v>
      </c>
      <c r="E177" s="197" t="s">
        <v>114</v>
      </c>
      <c r="F177" s="43">
        <f>+Fixture!B176</f>
        <v>175</v>
      </c>
      <c r="G177" s="42" t="str">
        <f>IF(VLOOKUP(F177,Fixture!$B$2:$F$180,3,FALSE)&lt;&gt;0,VLOOKUP(F177,Fixture!$B$2:$F$180,3,FALSE),"")</f>
        <v>Valentín FC</v>
      </c>
      <c r="H177" s="44">
        <f ca="1">IF($D177="Finalizado",_xlfn.XLOOKUP(G177,Resumen!$A$6:$A$22,Resumen!CP$6:CP$22,0),"")</f>
        <v>2</v>
      </c>
      <c r="I177" s="44">
        <f ca="1">IF($D177="Finalizado",_xlfn.XLOOKUP(G177,Resumen!$A$6:$A$22,Resumen!CQ$6:CQ$22,0),"")</f>
        <v>3</v>
      </c>
      <c r="J177" s="44">
        <f ca="1">IF($D177="Finalizado",_xlfn.XLOOKUP(G177,Resumen!$A$6:$A$22,Resumen!CR$6:CR$22,0)+_xlfn.XLOOKUP(G177,Resumen!$A$6:$A$22,Resumen!CS$6:CS$22,0),"")</f>
        <v>0</v>
      </c>
      <c r="K177" s="44">
        <f t="shared" ca="1" si="393"/>
        <v>0</v>
      </c>
      <c r="L177" s="44">
        <f t="shared" ca="1" si="394"/>
        <v>1</v>
      </c>
      <c r="M177" s="44">
        <f t="shared" ca="1" si="395"/>
        <v>0</v>
      </c>
      <c r="N177" s="44">
        <f t="shared" ca="1" si="396"/>
        <v>1</v>
      </c>
      <c r="O177" s="45">
        <f t="shared" ca="1" si="397"/>
        <v>15</v>
      </c>
      <c r="P177" s="42" t="str">
        <f>IF(VLOOKUP(F177,Fixture!$B$2:$F$229,5,FALSE)&lt;&gt;0,VLOOKUP(F177,Fixture!$B$2:$F$229,5,FALSE),"")</f>
        <v>Los Amigos</v>
      </c>
      <c r="Q177" s="44">
        <f ca="1">IF($D177="Finalizado",_xlfn.XLOOKUP(P177,Resumen!$A$6:$A$22,Resumen!CP$6:CP$22,0),"")</f>
        <v>2</v>
      </c>
      <c r="R177" s="44">
        <f ca="1">IF($D177="Finalizado",_xlfn.XLOOKUP(P177,Resumen!$A$6:$A$22,Resumen!CQ$6:CQ$22,0),"")</f>
        <v>0</v>
      </c>
      <c r="S177" s="44">
        <f ca="1">IF($D177="Finalizado",_xlfn.XLOOKUP(P177,Resumen!$A$6:$A$22,Resumen!CR$6:CR$22,0)+_xlfn.XLOOKUP(P177,Resumen!$A$6:$A$22,Resumen!CS$6:CS$22,0),"")</f>
        <v>0</v>
      </c>
      <c r="T177" s="44">
        <f t="shared" ca="1" si="398"/>
        <v>0</v>
      </c>
      <c r="U177" s="44">
        <f t="shared" ca="1" si="399"/>
        <v>1</v>
      </c>
      <c r="V177" s="44">
        <f t="shared" ca="1" si="400"/>
        <v>0</v>
      </c>
      <c r="W177" s="44">
        <f t="shared" ca="1" si="401"/>
        <v>1</v>
      </c>
      <c r="X177" s="49">
        <f t="shared" ca="1" si="402"/>
        <v>0</v>
      </c>
      <c r="Y177" s="198"/>
    </row>
    <row r="178" spans="1:25" ht="15.6" customHeight="1" thickBot="1" x14ac:dyDescent="0.3">
      <c r="B178" s="61"/>
      <c r="C178" s="58"/>
      <c r="D178" s="82"/>
      <c r="E178" s="198"/>
      <c r="F178" s="43">
        <f>+Fixture!B177</f>
        <v>0</v>
      </c>
      <c r="G178" s="42"/>
      <c r="H178" s="48"/>
      <c r="I178" s="48"/>
      <c r="J178" s="48"/>
      <c r="K178" s="48"/>
      <c r="L178" s="48"/>
      <c r="M178" s="48"/>
      <c r="N178" s="48"/>
      <c r="O178" s="49"/>
      <c r="P178" s="42"/>
      <c r="Q178" s="48"/>
      <c r="R178" s="48"/>
      <c r="S178" s="48"/>
      <c r="T178" s="44"/>
      <c r="U178" s="44"/>
      <c r="V178" s="44"/>
      <c r="W178" s="44"/>
      <c r="X178" s="49"/>
    </row>
    <row r="179" spans="1:25" ht="15.6" customHeight="1" thickBot="1" x14ac:dyDescent="0.3">
      <c r="B179" s="61"/>
      <c r="C179" s="58"/>
      <c r="D179" s="82"/>
      <c r="E179" s="129"/>
      <c r="F179" s="43">
        <f>+Fixture!B178</f>
        <v>0</v>
      </c>
      <c r="G179" s="48"/>
      <c r="H179" s="48"/>
      <c r="I179" s="48"/>
      <c r="J179" s="48"/>
      <c r="K179" s="48"/>
      <c r="L179" s="48"/>
      <c r="M179" s="48"/>
      <c r="N179" s="48"/>
      <c r="O179" s="49"/>
      <c r="P179" s="42"/>
      <c r="Q179" s="48"/>
      <c r="R179" s="48"/>
      <c r="S179" s="48"/>
      <c r="T179" s="44"/>
      <c r="U179" s="44"/>
      <c r="V179" s="44"/>
      <c r="W179" s="44"/>
      <c r="X179" s="49"/>
    </row>
    <row r="180" spans="1:25" x14ac:dyDescent="0.25">
      <c r="A180" s="56"/>
    </row>
  </sheetData>
  <protectedRanges>
    <protectedRange sqref="AC145:AC148 AC78:AC94 AC123:AC130 AC134:AC143" name="PlayerNames" securityDescriptor="O:WDG:WDD:(A;;CC;;;WD)"/>
  </protectedRanges>
  <mergeCells count="76">
    <mergeCell ref="Y91:Y98"/>
    <mergeCell ref="Y99:Y106"/>
    <mergeCell ref="Y107:Y114"/>
    <mergeCell ref="A157:A164"/>
    <mergeCell ref="E157:E164"/>
    <mergeCell ref="Y157:Y164"/>
    <mergeCell ref="E107:E114"/>
    <mergeCell ref="E115:E122"/>
    <mergeCell ref="Y151:Y156"/>
    <mergeCell ref="E123:E129"/>
    <mergeCell ref="E137:E143"/>
    <mergeCell ref="A115:A122"/>
    <mergeCell ref="A91:A98"/>
    <mergeCell ref="A99:A106"/>
    <mergeCell ref="A107:A114"/>
    <mergeCell ref="A151:A156"/>
    <mergeCell ref="AA54:AL54"/>
    <mergeCell ref="AA65:AL65"/>
    <mergeCell ref="E67:E74"/>
    <mergeCell ref="E75:E82"/>
    <mergeCell ref="E83:E90"/>
    <mergeCell ref="E51:E58"/>
    <mergeCell ref="E59:E66"/>
    <mergeCell ref="Y83:Y90"/>
    <mergeCell ref="AA1:AL1"/>
    <mergeCell ref="A19:A26"/>
    <mergeCell ref="A27:A34"/>
    <mergeCell ref="A35:A42"/>
    <mergeCell ref="E3:E10"/>
    <mergeCell ref="Y3:Y10"/>
    <mergeCell ref="A3:A10"/>
    <mergeCell ref="A11:A18"/>
    <mergeCell ref="Z1:Z2"/>
    <mergeCell ref="E27:E34"/>
    <mergeCell ref="E35:E42"/>
    <mergeCell ref="AA34:AL34"/>
    <mergeCell ref="E11:E18"/>
    <mergeCell ref="E19:E26"/>
    <mergeCell ref="Y11:Y18"/>
    <mergeCell ref="Y19:Y26"/>
    <mergeCell ref="A67:A74"/>
    <mergeCell ref="A75:A82"/>
    <mergeCell ref="A83:A90"/>
    <mergeCell ref="A43:A50"/>
    <mergeCell ref="A51:A58"/>
    <mergeCell ref="A59:A66"/>
    <mergeCell ref="A123:A129"/>
    <mergeCell ref="A130:A136"/>
    <mergeCell ref="A137:A143"/>
    <mergeCell ref="A144:A150"/>
    <mergeCell ref="Y27:Y34"/>
    <mergeCell ref="Y35:Y42"/>
    <mergeCell ref="Y43:Y50"/>
    <mergeCell ref="E130:E136"/>
    <mergeCell ref="E144:E150"/>
    <mergeCell ref="E43:E50"/>
    <mergeCell ref="E99:E106"/>
    <mergeCell ref="E91:E98"/>
    <mergeCell ref="Y51:Y58"/>
    <mergeCell ref="Y59:Y66"/>
    <mergeCell ref="Y67:Y74"/>
    <mergeCell ref="Y75:Y82"/>
    <mergeCell ref="Y115:Y122"/>
    <mergeCell ref="Y123:Y130"/>
    <mergeCell ref="Y131:Y138"/>
    <mergeCell ref="Y139:Y144"/>
    <mergeCell ref="Y145:Y150"/>
    <mergeCell ref="E151:E156"/>
    <mergeCell ref="A176:A177"/>
    <mergeCell ref="Y176:Y177"/>
    <mergeCell ref="E177:E178"/>
    <mergeCell ref="A165:A171"/>
    <mergeCell ref="E165:E171"/>
    <mergeCell ref="E172:E175"/>
    <mergeCell ref="A172:A175"/>
    <mergeCell ref="Y172:Y175"/>
  </mergeCells>
  <phoneticPr fontId="9" type="noConversion"/>
  <conditionalFormatting sqref="D3:D179">
    <cfRule type="cellIs" dxfId="5" priority="1" operator="equal">
      <formula>"Proximamente.."</formula>
    </cfRule>
    <cfRule type="cellIs" dxfId="4" priority="2" operator="equal">
      <formula>"Proximamente..."</formula>
    </cfRule>
    <cfRule type="cellIs" dxfId="3" priority="3" operator="equal">
      <formula>"Finalizado"</formula>
    </cfRule>
  </conditionalFormatting>
  <hyperlinks>
    <hyperlink ref="Z1" location="Equipos!A1" display="Volver" xr:uid="{00000000-0004-0000-1300-000000000000}"/>
  </hyperlinks>
  <pageMargins left="0.7" right="0.7" top="0.75" bottom="0.75" header="0.3" footer="0.3"/>
  <pageSetup orientation="portrait" horizontalDpi="4294967293" vertic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9A81-01CE-45AE-8A27-F70ED8583ADF}">
  <dimension ref="A1:BC180"/>
  <sheetViews>
    <sheetView topLeftCell="P1" zoomScaleNormal="100" workbookViewId="0">
      <pane ySplit="2" topLeftCell="A26" activePane="bottomLeft" state="frozen"/>
      <selection pane="bottomLeft" activeCell="Z1" sqref="Z1:Z2"/>
    </sheetView>
  </sheetViews>
  <sheetFormatPr baseColWidth="10" defaultColWidth="11.5703125" defaultRowHeight="15.75" x14ac:dyDescent="0.25"/>
  <cols>
    <col min="1" max="1" width="13" style="1" customWidth="1"/>
    <col min="2" max="2" width="14" style="54" customWidth="1"/>
    <col min="3" max="3" width="7.85546875" style="56" customWidth="1"/>
    <col min="4" max="4" width="16" style="1" customWidth="1"/>
    <col min="5" max="5" width="12.140625" style="1" bestFit="1" customWidth="1"/>
    <col min="6" max="6" width="5.140625" style="1" customWidth="1"/>
    <col min="7" max="7" width="17.7109375" style="1" bestFit="1" customWidth="1"/>
    <col min="8" max="8" width="4.28515625" style="1" customWidth="1"/>
    <col min="9" max="9" width="3.85546875" style="1" bestFit="1" customWidth="1"/>
    <col min="10" max="10" width="4.140625" style="1" customWidth="1"/>
    <col min="11" max="11" width="3.140625" style="1" bestFit="1" customWidth="1"/>
    <col min="12" max="12" width="2.28515625" style="1" bestFit="1" customWidth="1"/>
    <col min="13" max="13" width="4.28515625" style="1" customWidth="1"/>
    <col min="14" max="14" width="2.28515625" style="1" bestFit="1" customWidth="1"/>
    <col min="15" max="15" width="4.85546875" style="1" customWidth="1"/>
    <col min="16" max="16" width="16" style="1" customWidth="1"/>
    <col min="17" max="17" width="5.42578125" style="1" customWidth="1"/>
    <col min="18" max="18" width="3.85546875" style="1" bestFit="1" customWidth="1"/>
    <col min="19" max="19" width="5.7109375" style="1" customWidth="1"/>
    <col min="20" max="20" width="3.140625" style="1" bestFit="1" customWidth="1"/>
    <col min="21" max="23" width="2.5703125" style="1" bestFit="1" customWidth="1"/>
    <col min="24" max="24" width="6.28515625" style="1" customWidth="1"/>
    <col min="25" max="26" width="11.5703125" style="1"/>
    <col min="27" max="27" width="4.140625" style="1" customWidth="1"/>
    <col min="28" max="28" width="5.42578125" style="1" customWidth="1"/>
    <col min="29" max="29" width="17.7109375" style="1" customWidth="1"/>
    <col min="30" max="31" width="5.5703125" style="1" bestFit="1" customWidth="1"/>
    <col min="32" max="32" width="2.7109375" style="1" customWidth="1"/>
    <col min="33" max="33" width="3.42578125" style="1" customWidth="1"/>
    <col min="34" max="34" width="4" style="1" customWidth="1"/>
    <col min="35" max="35" width="4.140625" style="1" customWidth="1"/>
    <col min="36" max="37" width="5.5703125" style="1" bestFit="1" customWidth="1"/>
    <col min="38" max="38" width="6" style="1" customWidth="1"/>
    <col min="39" max="39" width="8.5703125" style="1" customWidth="1"/>
    <col min="40" max="41" width="5.7109375" style="1" customWidth="1"/>
    <col min="42" max="42" width="7.85546875" style="1" customWidth="1"/>
    <col min="43" max="43" width="17.28515625" style="1" customWidth="1"/>
    <col min="44" max="44" width="3.5703125" style="1" customWidth="1"/>
    <col min="45" max="45" width="3.85546875" style="1" customWidth="1"/>
    <col min="46" max="46" width="2.28515625" style="1" bestFit="1" customWidth="1"/>
    <col min="47" max="47" width="3.5703125" style="1" bestFit="1" customWidth="1"/>
    <col min="48" max="48" width="3.7109375" style="1" bestFit="1" customWidth="1"/>
    <col min="49" max="49" width="4.7109375" style="1" customWidth="1"/>
    <col min="50" max="50" width="4.28515625" style="1" bestFit="1" customWidth="1"/>
    <col min="51" max="51" width="4.42578125" style="1" bestFit="1" customWidth="1"/>
    <col min="52" max="52" width="4.140625" style="1" customWidth="1"/>
    <col min="53" max="53" width="10.28515625" style="1" customWidth="1"/>
    <col min="54" max="16384" width="11.5703125" style="1"/>
  </cols>
  <sheetData>
    <row r="1" spans="1:38" s="54" customFormat="1" ht="16.5" thickBot="1" x14ac:dyDescent="0.3">
      <c r="A1" s="54">
        <f ca="1">+TODAY()</f>
        <v>45873</v>
      </c>
      <c r="B1" s="52">
        <f ca="1">NOW()</f>
        <v>45873.932464120371</v>
      </c>
      <c r="C1" s="56" t="str">
        <f ca="1">CONCATENATE(E1,":",F1,":",G1," Horas")</f>
        <v>22:22:45 Horas</v>
      </c>
      <c r="D1" s="55">
        <f ca="1">TIME(E1,F1,0)</f>
        <v>0.93194444444444446</v>
      </c>
      <c r="E1" s="55">
        <f ca="1">HOUR(B1)</f>
        <v>22</v>
      </c>
      <c r="F1" s="55">
        <f ca="1">MINUTE(B1)</f>
        <v>22</v>
      </c>
      <c r="G1" s="55">
        <f ca="1">SECOND(B1)</f>
        <v>45</v>
      </c>
      <c r="Z1" s="218" t="s">
        <v>243</v>
      </c>
      <c r="AA1" s="215" t="s">
        <v>234</v>
      </c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</row>
    <row r="2" spans="1:38" ht="16.5" thickBot="1" x14ac:dyDescent="0.3">
      <c r="A2" s="38" t="s">
        <v>112</v>
      </c>
      <c r="B2" s="53" t="s">
        <v>100</v>
      </c>
      <c r="C2" s="57" t="s">
        <v>108</v>
      </c>
      <c r="D2" s="38" t="s">
        <v>109</v>
      </c>
      <c r="E2" s="38" t="s">
        <v>113</v>
      </c>
      <c r="F2" s="39" t="s">
        <v>107</v>
      </c>
      <c r="G2" s="39" t="s">
        <v>101</v>
      </c>
      <c r="H2" s="39" t="s">
        <v>120</v>
      </c>
      <c r="I2" s="39" t="s">
        <v>110</v>
      </c>
      <c r="J2" s="39" t="s">
        <v>111</v>
      </c>
      <c r="K2" s="39" t="s">
        <v>121</v>
      </c>
      <c r="L2" s="39" t="s">
        <v>116</v>
      </c>
      <c r="M2" s="39" t="s">
        <v>117</v>
      </c>
      <c r="N2" s="39" t="s">
        <v>118</v>
      </c>
      <c r="O2" s="38" t="s">
        <v>119</v>
      </c>
      <c r="P2" s="39" t="s">
        <v>102</v>
      </c>
      <c r="Q2" s="39" t="s">
        <v>120</v>
      </c>
      <c r="R2" s="39" t="s">
        <v>110</v>
      </c>
      <c r="S2" s="39" t="s">
        <v>111</v>
      </c>
      <c r="T2" s="39" t="s">
        <v>121</v>
      </c>
      <c r="U2" s="39" t="s">
        <v>116</v>
      </c>
      <c r="V2" s="39" t="s">
        <v>117</v>
      </c>
      <c r="W2" s="39" t="s">
        <v>118</v>
      </c>
      <c r="X2" s="38" t="s">
        <v>119</v>
      </c>
      <c r="Y2" s="38"/>
      <c r="Z2" s="218"/>
      <c r="AA2" s="40" t="s">
        <v>122</v>
      </c>
      <c r="AB2"/>
      <c r="AC2" s="41" t="s">
        <v>2</v>
      </c>
      <c r="AD2" s="40" t="s">
        <v>127</v>
      </c>
      <c r="AE2" s="40" t="s">
        <v>115</v>
      </c>
      <c r="AF2" s="40" t="s">
        <v>116</v>
      </c>
      <c r="AG2" s="40" t="s">
        <v>117</v>
      </c>
      <c r="AH2" s="40" t="s">
        <v>123</v>
      </c>
      <c r="AI2" s="40" t="s">
        <v>124</v>
      </c>
      <c r="AJ2" s="40" t="s">
        <v>125</v>
      </c>
      <c r="AK2" s="40" t="s">
        <v>119</v>
      </c>
      <c r="AL2" s="40" t="s">
        <v>126</v>
      </c>
    </row>
    <row r="3" spans="1:38" x14ac:dyDescent="0.25">
      <c r="A3" s="217" t="s">
        <v>5</v>
      </c>
      <c r="B3" s="60">
        <f>IF(Fixture!C2,Fixture!C2,"")</f>
        <v>45676</v>
      </c>
      <c r="C3" s="58">
        <v>0.33333333333333331</v>
      </c>
      <c r="D3" s="82" t="str">
        <f ca="1">IF(OR(B3="",C3="",B3&lt;$A$1),"Finalizado",IF(B3=$A$1,IF(AND(C3&lt;=$D$1,$D$1&lt;=(C3+0.08333333333)),"En juego",IF($A$1&lt;C3,"HOY!","Finalizado")),IF($D$1&gt;B3,"Finalizado","Proximamente..")))</f>
        <v>Finalizado</v>
      </c>
      <c r="E3" s="216" t="s">
        <v>114</v>
      </c>
      <c r="F3" s="43">
        <f>+Fixture!B2</f>
        <v>1</v>
      </c>
      <c r="G3" s="42" t="str">
        <f>IF(VLOOKUP(F3,Fixture!$B$2:$F$137,3,FALSE)&lt;&gt;0,VLOOKUP(F3,Fixture!$B$2:$F$137,3,FALSE),"")</f>
        <v>Atalanta</v>
      </c>
      <c r="H3" s="44">
        <f ca="1">IF($D3="Finalizado",_xlfn.XLOOKUP(G3,Resumen!A6:A22,Resumen!B6:B22,0),"")</f>
        <v>1</v>
      </c>
      <c r="I3" s="44">
        <f ca="1">IF($D3="Finalizado",_xlfn.XLOOKUP(G3,Resumen!$A$6:$A$22,Resumen!C$6:C$22,0),"")</f>
        <v>0</v>
      </c>
      <c r="J3" s="44">
        <f ca="1">IF($D3="Finalizado",_xlfn.XLOOKUP(G3,Resumen!$A$6:$A$22,Resumen!D$6:D$22,0)+_xlfn.XLOOKUP(G3,Resumen!$A$6:$A$22,Resumen!E$6:E$22,0),"")</f>
        <v>0</v>
      </c>
      <c r="K3" s="44">
        <f t="shared" ref="K3:K75" ca="1" si="0">IF(D3="Finalizado",IF(H3&gt;Q3,1,0),"")</f>
        <v>0</v>
      </c>
      <c r="L3" s="44">
        <f t="shared" ref="L3:L66" ca="1" si="1">IF(D3="Finalizado",IF(H3=Q3,1,0),"")</f>
        <v>0</v>
      </c>
      <c r="M3" s="44">
        <f t="shared" ref="M3:M66" ca="1" si="2">IF(D3="Finalizado",IF(H3&lt;Q3,1,0),"")</f>
        <v>1</v>
      </c>
      <c r="N3" s="44">
        <f t="shared" ref="N3:N66" ca="1" si="3">IF(D3="Finalizado",1,"")</f>
        <v>1</v>
      </c>
      <c r="O3" s="45">
        <f t="shared" ref="O3:O66" ca="1" si="4">IF(D3="Finalizado",SUM(I3*5,J3*10),"")</f>
        <v>0</v>
      </c>
      <c r="P3" s="42" t="str">
        <f>IF(VLOOKUP(F3,Fixture!$B$2:$F$137,5,FALSE)&lt;&gt;0,VLOOKUP(F3,Fixture!$B$2:$F$137,5,FALSE),"")</f>
        <v>La Amistad</v>
      </c>
      <c r="Q3" s="44">
        <f ca="1">IF($D3="Finalizado",_xlfn.XLOOKUP(P3,Resumen!$A$6:$A$22,Resumen!B$6:B$22,0),"")</f>
        <v>4</v>
      </c>
      <c r="R3" s="44">
        <f ca="1">IF($D3="Finalizado",_xlfn.XLOOKUP(P3,Resumen!$A$6:$A$22,Resumen!C$6:C$22,0),"")</f>
        <v>0</v>
      </c>
      <c r="S3" s="44">
        <f ca="1">IF($D3="Finalizado",_xlfn.XLOOKUP(P3,Resumen!$A$6:$A$22,Resumen!D$6:D$22,0)+_xlfn.XLOOKUP(P3,Resumen!$A$6:$A$22,Resumen!E$6:E$22,0),"")</f>
        <v>0</v>
      </c>
      <c r="T3" s="44">
        <f t="shared" ref="T3:T66" ca="1" si="5">IF(D3="Finalizado",IF(Q3&gt;H3,1,0),"")</f>
        <v>1</v>
      </c>
      <c r="U3" s="44">
        <f ca="1">IF(D3="Finalizado",IF(Q3=H3,1,0),"")</f>
        <v>0</v>
      </c>
      <c r="V3" s="44">
        <f ca="1">IF(D3="Finalizado",IF(Q3&lt;H3,1,0),"")</f>
        <v>0</v>
      </c>
      <c r="W3" s="44">
        <f t="shared" ref="W3:W66" ca="1" si="6">IF(D3="Finalizado",1,"")</f>
        <v>1</v>
      </c>
      <c r="X3" s="45">
        <f t="shared" ref="X3:X66" ca="1" si="7">IF(D3="Finalizado",SUM(R3*5,S3*10),"")</f>
        <v>0</v>
      </c>
      <c r="Y3" s="216" t="str">
        <f>+A3</f>
        <v>Fecha 1</v>
      </c>
      <c r="AA3" s="19" t="s">
        <v>41</v>
      </c>
      <c r="AB3"/>
      <c r="AC3" s="46" t="str">
        <f ca="1">VLOOKUP($AO36,$AO$36:$AQ$51,3,FALSE)</f>
        <v>La Unión FC</v>
      </c>
      <c r="AD3">
        <f ca="1">VLOOKUP($AO36,$AO$36:$AR$51,4,FALSE)</f>
        <v>18</v>
      </c>
      <c r="AE3">
        <f ca="1">VLOOKUP($AO36,$AO$36:$AS$51,5,FALSE)</f>
        <v>14</v>
      </c>
      <c r="AF3">
        <f ca="1">VLOOKUP($AO36,$AO$36:$AT$51,6,FALSE)</f>
        <v>3</v>
      </c>
      <c r="AG3">
        <f ca="1">VLOOKUP($AO36,$AO$36:$AU$51,7,FALSE)</f>
        <v>1</v>
      </c>
      <c r="AH3">
        <f ca="1">VLOOKUP($AO36,$AO$36:$AV$51,8,FALSE)</f>
        <v>104</v>
      </c>
      <c r="AI3">
        <f ca="1">VLOOKUP($AO36,$AO$36:$AW$51,9,FALSE)</f>
        <v>52</v>
      </c>
      <c r="AJ3">
        <f ca="1">VLOOKUP($AO36,$AO$36:$AX$51,10,FALSE)</f>
        <v>52</v>
      </c>
      <c r="AK3">
        <f ca="1">VLOOKUP($AO36,$AO$36:$AY$51,11,FALSE)</f>
        <v>105</v>
      </c>
      <c r="AL3">
        <f ca="1">VLOOKUP($AO36,$AO$36:$AZ$51,12,FALSE)</f>
        <v>45</v>
      </c>
    </row>
    <row r="4" spans="1:38" x14ac:dyDescent="0.25">
      <c r="A4" s="213"/>
      <c r="B4" s="61">
        <f>IF(Fixture!C3,Fixture!C3,"")</f>
        <v>45676</v>
      </c>
      <c r="C4" s="58">
        <v>0.38194444444444442</v>
      </c>
      <c r="D4" s="82" t="str">
        <f t="shared" ref="D4:D8" ca="1" si="8">IF(OR(B4="",C4="",B4&lt;$A$1),"Finalizado",IF(B4=$A$1,IF(AND(C4&lt;=$D$1,$D$1&lt;=(C4+0.08333333333)),"En juego",IF($A$1&lt;C4,"HOY!","Finalizado")),IF($D$1&gt;B4,"Finalizado","Proximamente..")))</f>
        <v>Finalizado</v>
      </c>
      <c r="E4" s="207"/>
      <c r="F4" s="43">
        <f>+Fixture!B3</f>
        <v>2</v>
      </c>
      <c r="G4" s="42" t="str">
        <f>IF(VLOOKUP(F4,Fixture!$B$2:$F$137,3,FALSE)&lt;&gt;0,VLOOKUP(F4,Fixture!$B$2:$F$137,3,FALSE),"")</f>
        <v>Rayos FC</v>
      </c>
      <c r="H4" s="44">
        <f ca="1">IF($D4="Finalizado",_xlfn.XLOOKUP(G4,Resumen!$A$6:$A$22,Resumen!B$6:B$22,0),"")</f>
        <v>0</v>
      </c>
      <c r="I4" s="44">
        <f ca="1">IF($D4="Finalizado",_xlfn.XLOOKUP(G4,Resumen!$A$6:$A$22,Resumen!C$6:C$22,0),"")</f>
        <v>1</v>
      </c>
      <c r="J4" s="44">
        <f ca="1">IF($D4="Finalizado",_xlfn.XLOOKUP(G4,Resumen!$A$6:$A$22,Resumen!D$6:D$22,0)+_xlfn.XLOOKUP(G4,Resumen!$A$6:$A$22,Resumen!E$6:E$22,0),"")</f>
        <v>0</v>
      </c>
      <c r="K4" s="44">
        <f t="shared" ca="1" si="0"/>
        <v>0</v>
      </c>
      <c r="L4" s="44">
        <f t="shared" ca="1" si="1"/>
        <v>0</v>
      </c>
      <c r="M4" s="44">
        <f t="shared" ca="1" si="2"/>
        <v>1</v>
      </c>
      <c r="N4" s="44">
        <f t="shared" ca="1" si="3"/>
        <v>1</v>
      </c>
      <c r="O4" s="45">
        <f t="shared" ca="1" si="4"/>
        <v>5</v>
      </c>
      <c r="P4" s="42" t="str">
        <f>IF(VLOOKUP(F4,Fixture!$B$2:$F$137,5,FALSE)&lt;&gt;0,VLOOKUP(F4,Fixture!$B$2:$F$137,5,FALSE),"")</f>
        <v>Ron Star</v>
      </c>
      <c r="Q4" s="44">
        <f ca="1">IF($D4="Finalizado",_xlfn.XLOOKUP(P4,Resumen!$A$6:$A$22,Resumen!B$6:B$22,0),"")</f>
        <v>3</v>
      </c>
      <c r="R4" s="44">
        <f ca="1">IF($D4="Finalizado",_xlfn.XLOOKUP(P4,Resumen!$A$6:$A$22,Resumen!C$6:C$22,0),"")</f>
        <v>0</v>
      </c>
      <c r="S4" s="44">
        <f ca="1">IF($D4="Finalizado",_xlfn.XLOOKUP(P4,Resumen!$A$6:$A$22,Resumen!D$6:D$22,0)+_xlfn.XLOOKUP(P4,Resumen!$A$6:$A$22,Resumen!E$6:E$22,0),"")</f>
        <v>0</v>
      </c>
      <c r="T4" s="44">
        <f t="shared" ca="1" si="5"/>
        <v>1</v>
      </c>
      <c r="U4" s="44">
        <f t="shared" ref="U4:U67" ca="1" si="9">IF(D4="Finalizado",IF(Q4=H4,1,0),"")</f>
        <v>0</v>
      </c>
      <c r="V4" s="44">
        <f t="shared" ref="V4:V67" ca="1" si="10">IF(D4="Finalizado",IF(Q4&lt;H4,1,0),"")</f>
        <v>0</v>
      </c>
      <c r="W4" s="44">
        <f t="shared" ca="1" si="6"/>
        <v>1</v>
      </c>
      <c r="X4" s="45">
        <f t="shared" ca="1" si="7"/>
        <v>0</v>
      </c>
      <c r="Y4" s="207"/>
      <c r="AA4" s="19" t="s">
        <v>42</v>
      </c>
      <c r="AB4"/>
      <c r="AC4" s="46" t="str">
        <f t="shared" ref="AC4:AC18" ca="1" si="11">VLOOKUP($AO37,$AO$36:$AQ$51,3,FALSE)</f>
        <v>La Amistad</v>
      </c>
      <c r="AD4">
        <f t="shared" ref="AD4:AD18" ca="1" si="12">VLOOKUP($AO37,$AO$36:$AR$51,4,FALSE)</f>
        <v>17</v>
      </c>
      <c r="AE4">
        <f t="shared" ref="AE4:AE18" ca="1" si="13">VLOOKUP($AO37,$AO$36:$AS$51,5,FALSE)</f>
        <v>12</v>
      </c>
      <c r="AF4">
        <f t="shared" ref="AF4:AF18" ca="1" si="14">VLOOKUP($AO37,$AO$36:$AT$51,6,FALSE)</f>
        <v>2</v>
      </c>
      <c r="AG4">
        <f t="shared" ref="AG4:AG18" ca="1" si="15">VLOOKUP($AO37,$AO$36:$AU$51,7,FALSE)</f>
        <v>3</v>
      </c>
      <c r="AH4">
        <f t="shared" ref="AH4:AH18" ca="1" si="16">VLOOKUP($AO37,$AO$36:$AV$51,8,FALSE)</f>
        <v>79</v>
      </c>
      <c r="AI4">
        <f t="shared" ref="AI4:AI18" ca="1" si="17">VLOOKUP($AO37,$AO$36:$AW$51,9,FALSE)</f>
        <v>36</v>
      </c>
      <c r="AJ4">
        <f t="shared" ref="AJ4:AJ18" ca="1" si="18">VLOOKUP($AO37,$AO$36:$AX$51,10,FALSE)</f>
        <v>43</v>
      </c>
      <c r="AK4">
        <f t="shared" ref="AK4:AK18" ca="1" si="19">VLOOKUP($AO37,$AO$36:$AY$51,11,FALSE)</f>
        <v>60</v>
      </c>
      <c r="AL4">
        <f t="shared" ref="AL4:AL18" ca="1" si="20">VLOOKUP($AO37,$AO$36:$AZ$51,12,FALSE)</f>
        <v>38</v>
      </c>
    </row>
    <row r="5" spans="1:38" x14ac:dyDescent="0.25">
      <c r="A5" s="213"/>
      <c r="B5" s="61">
        <f>IF(Fixture!C4,Fixture!C4,"")</f>
        <v>45676</v>
      </c>
      <c r="C5" s="58">
        <v>0.43055555555555602</v>
      </c>
      <c r="D5" s="82" t="str">
        <f t="shared" ca="1" si="8"/>
        <v>Finalizado</v>
      </c>
      <c r="E5" s="207"/>
      <c r="F5" s="43">
        <f>+Fixture!B4</f>
        <v>3</v>
      </c>
      <c r="G5" s="42" t="str">
        <f>IF(VLOOKUP(F5,Fixture!$B$2:$F$137,3,FALSE)&lt;&gt;0,VLOOKUP(F5,Fixture!$B$2:$F$137,3,FALSE),"")</f>
        <v>Deportivo Fénix</v>
      </c>
      <c r="H5" s="44">
        <f ca="1">IF($D5="Finalizado",_xlfn.XLOOKUP(G5,Resumen!$A$6:$A$22,Resumen!B$6:B$22,0),"")</f>
        <v>4</v>
      </c>
      <c r="I5" s="44">
        <f ca="1">IF($D5="Finalizado",_xlfn.XLOOKUP(G5,Resumen!$A$6:$A$22,Resumen!C$6:C$22,0),"")</f>
        <v>0</v>
      </c>
      <c r="J5" s="44">
        <f ca="1">IF($D5="Finalizado",_xlfn.XLOOKUP(G5,Resumen!$A$6:$A$22,Resumen!D$6:D$22,0)+_xlfn.XLOOKUP(G5,Resumen!$A$6:$A$22,Resumen!E$6:E$22,0),"")</f>
        <v>0</v>
      </c>
      <c r="K5" s="44">
        <f t="shared" ca="1" si="0"/>
        <v>1</v>
      </c>
      <c r="L5" s="44">
        <f t="shared" ca="1" si="1"/>
        <v>0</v>
      </c>
      <c r="M5" s="44">
        <f t="shared" ca="1" si="2"/>
        <v>0</v>
      </c>
      <c r="N5" s="44">
        <f t="shared" ca="1" si="3"/>
        <v>1</v>
      </c>
      <c r="O5" s="45">
        <f t="shared" ca="1" si="4"/>
        <v>0</v>
      </c>
      <c r="P5" s="42" t="str">
        <f>IF(VLOOKUP(F5,Fixture!$B$2:$F$137,5,FALSE)&lt;&gt;0,VLOOKUP(F5,Fixture!$B$2:$F$137,5,FALSE),"")</f>
        <v>Amenadim</v>
      </c>
      <c r="Q5" s="44">
        <f ca="1">IF($D5="Finalizado",_xlfn.XLOOKUP(P5,Resumen!$A$6:$A$22,Resumen!B$6:B$22,0),"")</f>
        <v>3</v>
      </c>
      <c r="R5" s="44">
        <f ca="1">IF($D5="Finalizado",_xlfn.XLOOKUP(P5,Resumen!$A$6:$A$22,Resumen!C$6:C$22,0),"")</f>
        <v>0</v>
      </c>
      <c r="S5" s="44">
        <f ca="1">IF($D5="Finalizado",_xlfn.XLOOKUP(P5,Resumen!$A$6:$A$22,Resumen!D$6:D$22,0)+_xlfn.XLOOKUP(P5,Resumen!$A$6:$A$22,Resumen!E$6:E$22,0),"")</f>
        <v>0</v>
      </c>
      <c r="T5" s="44">
        <f t="shared" ca="1" si="5"/>
        <v>0</v>
      </c>
      <c r="U5" s="44">
        <f t="shared" ca="1" si="9"/>
        <v>0</v>
      </c>
      <c r="V5" s="44">
        <f t="shared" ca="1" si="10"/>
        <v>1</v>
      </c>
      <c r="W5" s="44">
        <f t="shared" ca="1" si="6"/>
        <v>1</v>
      </c>
      <c r="X5" s="45">
        <f t="shared" ca="1" si="7"/>
        <v>0</v>
      </c>
      <c r="Y5" s="207"/>
      <c r="AA5" s="19" t="s">
        <v>43</v>
      </c>
      <c r="AB5"/>
      <c r="AC5" s="46" t="str">
        <f t="shared" ca="1" si="11"/>
        <v>Ron Star</v>
      </c>
      <c r="AD5">
        <f t="shared" ca="1" si="12"/>
        <v>17</v>
      </c>
      <c r="AE5">
        <f t="shared" ca="1" si="13"/>
        <v>11</v>
      </c>
      <c r="AF5">
        <f t="shared" ca="1" si="14"/>
        <v>1</v>
      </c>
      <c r="AG5">
        <f t="shared" ca="1" si="15"/>
        <v>5</v>
      </c>
      <c r="AH5">
        <f t="shared" ca="1" si="16"/>
        <v>77</v>
      </c>
      <c r="AI5">
        <f t="shared" ca="1" si="17"/>
        <v>54</v>
      </c>
      <c r="AJ5">
        <f t="shared" ca="1" si="18"/>
        <v>23</v>
      </c>
      <c r="AK5">
        <f t="shared" ca="1" si="19"/>
        <v>65</v>
      </c>
      <c r="AL5">
        <f t="shared" ca="1" si="20"/>
        <v>34</v>
      </c>
    </row>
    <row r="6" spans="1:38" x14ac:dyDescent="0.25">
      <c r="A6" s="213"/>
      <c r="B6" s="61">
        <f>IF(Fixture!C5,Fixture!C5,"")</f>
        <v>45676</v>
      </c>
      <c r="C6" s="58">
        <v>0.47916666666666602</v>
      </c>
      <c r="D6" s="82" t="str">
        <f ca="1">IF(OR(B6="",C6="",B6&lt;$A$1),"Finalizado",IF(B6=$A$1,IF(AND(C6&lt;=$D$1,$D$1&lt;=(C6+0.08333333333)),"En juego",IF($A$1&lt;C6,"HOY!","Finalizado")),IF($D$1&gt;B6,"Finalizado","Proximamente..")))</f>
        <v>Finalizado</v>
      </c>
      <c r="E6" s="207"/>
      <c r="F6" s="43">
        <f>+Fixture!B5</f>
        <v>4</v>
      </c>
      <c r="G6" s="42" t="str">
        <f>IF(VLOOKUP(F6,Fixture!$B$2:$F$137,3,FALSE)&lt;&gt;0,VLOOKUP(F6,Fixture!$B$2:$F$137,3,FALSE),"")</f>
        <v>La Nueva Era</v>
      </c>
      <c r="H6" s="44">
        <f ca="1">IF($D6="Finalizado",_xlfn.XLOOKUP(G6,Resumen!$A$6:$A$22,Resumen!B$6:B$22,0),"")</f>
        <v>2</v>
      </c>
      <c r="I6" s="44">
        <f ca="1">IF($D6="Finalizado",_xlfn.XLOOKUP(G6,Resumen!$A$6:$A$22,Resumen!C$6:C$22,0),"")</f>
        <v>0</v>
      </c>
      <c r="J6" s="44">
        <f ca="1">IF($D6="Finalizado",_xlfn.XLOOKUP(G6,Resumen!$A$6:$A$22,Resumen!D$6:D$22,0)+_xlfn.XLOOKUP(G6,Resumen!$A$6:$A$22,Resumen!E$6:E$22,0),"")</f>
        <v>0</v>
      </c>
      <c r="K6" s="44">
        <f t="shared" ca="1" si="0"/>
        <v>0</v>
      </c>
      <c r="L6" s="44">
        <f t="shared" ca="1" si="1"/>
        <v>0</v>
      </c>
      <c r="M6" s="44">
        <f t="shared" ca="1" si="2"/>
        <v>1</v>
      </c>
      <c r="N6" s="44">
        <f t="shared" ca="1" si="3"/>
        <v>1</v>
      </c>
      <c r="O6" s="45">
        <f t="shared" ca="1" si="4"/>
        <v>0</v>
      </c>
      <c r="P6" s="42" t="str">
        <f>IF(VLOOKUP(F6,Fixture!$B$2:$F$137,5,FALSE)&lt;&gt;0,VLOOKUP(F6,Fixture!$B$2:$F$137,5,FALSE),"")</f>
        <v>Los Amigos</v>
      </c>
      <c r="Q6" s="44">
        <f ca="1">IF($D6="Finalizado",_xlfn.XLOOKUP(P6,Resumen!$A$6:$A$22,Resumen!B$6:B$22,0),"")</f>
        <v>9</v>
      </c>
      <c r="R6" s="44">
        <f ca="1">IF($D6="Finalizado",_xlfn.XLOOKUP(P6,Resumen!$A$6:$A$22,Resumen!C$6:C$22,0),"")</f>
        <v>0</v>
      </c>
      <c r="S6" s="44">
        <f ca="1">IF($D6="Finalizado",_xlfn.XLOOKUP(P6,Resumen!$A$6:$A$22,Resumen!D$6:D$22,0)+_xlfn.XLOOKUP(P6,Resumen!$A$6:$A$22,Resumen!E$6:E$22,0),"")</f>
        <v>0</v>
      </c>
      <c r="T6" s="44">
        <f t="shared" ca="1" si="5"/>
        <v>1</v>
      </c>
      <c r="U6" s="44">
        <f t="shared" ca="1" si="9"/>
        <v>0</v>
      </c>
      <c r="V6" s="44">
        <f t="shared" ca="1" si="10"/>
        <v>0</v>
      </c>
      <c r="W6" s="44">
        <f t="shared" ca="1" si="6"/>
        <v>1</v>
      </c>
      <c r="X6" s="45">
        <f t="shared" ca="1" si="7"/>
        <v>0</v>
      </c>
      <c r="Y6" s="207"/>
      <c r="AA6" s="19" t="s">
        <v>44</v>
      </c>
      <c r="AB6"/>
      <c r="AC6" s="46" t="str">
        <f t="shared" ca="1" si="11"/>
        <v>Los Amigos</v>
      </c>
      <c r="AD6">
        <f t="shared" ca="1" si="12"/>
        <v>17</v>
      </c>
      <c r="AE6">
        <f t="shared" ca="1" si="13"/>
        <v>10</v>
      </c>
      <c r="AF6">
        <f t="shared" ca="1" si="14"/>
        <v>3</v>
      </c>
      <c r="AG6">
        <f t="shared" ca="1" si="15"/>
        <v>4</v>
      </c>
      <c r="AH6">
        <f t="shared" ca="1" si="16"/>
        <v>75</v>
      </c>
      <c r="AI6">
        <f t="shared" ca="1" si="17"/>
        <v>49</v>
      </c>
      <c r="AJ6">
        <f t="shared" ca="1" si="18"/>
        <v>26</v>
      </c>
      <c r="AK6">
        <f t="shared" ca="1" si="19"/>
        <v>130</v>
      </c>
      <c r="AL6">
        <f t="shared" ca="1" si="20"/>
        <v>33</v>
      </c>
    </row>
    <row r="7" spans="1:38" x14ac:dyDescent="0.25">
      <c r="A7" s="213"/>
      <c r="B7" s="61">
        <f>IF(Fixture!C6,Fixture!C6,"")</f>
        <v>45676</v>
      </c>
      <c r="C7" s="58">
        <v>0.52777777777777701</v>
      </c>
      <c r="D7" s="82" t="str">
        <f t="shared" ca="1" si="8"/>
        <v>Finalizado</v>
      </c>
      <c r="E7" s="207"/>
      <c r="F7" s="43">
        <f>+Fixture!B6</f>
        <v>5</v>
      </c>
      <c r="G7" s="42" t="str">
        <f>IF(VLOOKUP(F7,Fixture!$B$2:$F$137,3,FALSE)&lt;&gt;0,VLOOKUP(F7,Fixture!$B$2:$F$137,3,FALSE),"")</f>
        <v>Boca Juniors</v>
      </c>
      <c r="H7" s="44">
        <f ca="1">IF($D7="Finalizado",_xlfn.XLOOKUP(G7,Resumen!$A$6:$A$22,Resumen!B$6:B$22,0),"")</f>
        <v>1</v>
      </c>
      <c r="I7" s="44">
        <f ca="1">IF($D7="Finalizado",_xlfn.XLOOKUP(G7,Resumen!$A$6:$A$22,Resumen!C$6:C$22,0),"")</f>
        <v>1</v>
      </c>
      <c r="J7" s="44">
        <f ca="1">IF($D7="Finalizado",_xlfn.XLOOKUP(G7,Resumen!$A$6:$A$22,Resumen!D$6:D$22,0)+_xlfn.XLOOKUP(G7,Resumen!$A$6:$A$22,Resumen!E$6:E$22,0),"")</f>
        <v>0</v>
      </c>
      <c r="K7" s="44">
        <f ca="1">IF(D7="Finalizado",IF(H7&gt;Q7,1,0),"")</f>
        <v>1</v>
      </c>
      <c r="L7" s="44">
        <f t="shared" ca="1" si="1"/>
        <v>0</v>
      </c>
      <c r="M7" s="44">
        <f t="shared" ca="1" si="2"/>
        <v>0</v>
      </c>
      <c r="N7" s="44">
        <f t="shared" ca="1" si="3"/>
        <v>1</v>
      </c>
      <c r="O7" s="45">
        <f t="shared" ca="1" si="4"/>
        <v>5</v>
      </c>
      <c r="P7" s="42" t="str">
        <f>IF(VLOOKUP(F7,Fixture!$B$2:$F$137,5,FALSE)&lt;&gt;0,VLOOKUP(F7,Fixture!$B$2:$F$137,5,FALSE),"")</f>
        <v>Hojas Anchas</v>
      </c>
      <c r="Q7" s="44">
        <f ca="1">IF($D7="Finalizado",_xlfn.XLOOKUP(P7,Resumen!$A$6:$A$22,Resumen!B$6:B$22,0),"")</f>
        <v>0</v>
      </c>
      <c r="R7" s="44">
        <f ca="1">IF($D7="Finalizado",_xlfn.XLOOKUP(P7,Resumen!$A$6:$A$22,Resumen!C$6:C$22,0),"")</f>
        <v>2</v>
      </c>
      <c r="S7" s="44">
        <f ca="1">IF($D7="Finalizado",_xlfn.XLOOKUP(P7,Resumen!$A$6:$A$22,Resumen!D$6:D$22,0)+_xlfn.XLOOKUP(P7,Resumen!$A$6:$A$22,Resumen!E$6:E$22,0),"")</f>
        <v>0</v>
      </c>
      <c r="T7" s="44">
        <f ca="1">IF(D7="Finalizado",IF(Q7&gt;H7,1,0),"")</f>
        <v>0</v>
      </c>
      <c r="U7" s="44">
        <f t="shared" ca="1" si="9"/>
        <v>0</v>
      </c>
      <c r="V7" s="44">
        <f t="shared" ca="1" si="10"/>
        <v>1</v>
      </c>
      <c r="W7" s="44">
        <f t="shared" ca="1" si="6"/>
        <v>1</v>
      </c>
      <c r="X7" s="45">
        <f t="shared" ca="1" si="7"/>
        <v>10</v>
      </c>
      <c r="Y7" s="207"/>
      <c r="AA7" s="19" t="s">
        <v>45</v>
      </c>
      <c r="AB7"/>
      <c r="AC7" s="46" t="str">
        <f t="shared" ca="1" si="11"/>
        <v>Konami</v>
      </c>
      <c r="AD7">
        <f t="shared" ca="1" si="12"/>
        <v>16</v>
      </c>
      <c r="AE7">
        <f t="shared" ca="1" si="13"/>
        <v>10</v>
      </c>
      <c r="AF7">
        <f t="shared" ca="1" si="14"/>
        <v>1</v>
      </c>
      <c r="AG7">
        <f t="shared" ca="1" si="15"/>
        <v>5</v>
      </c>
      <c r="AH7">
        <f t="shared" ca="1" si="16"/>
        <v>57</v>
      </c>
      <c r="AI7">
        <f t="shared" ca="1" si="17"/>
        <v>29</v>
      </c>
      <c r="AJ7">
        <f t="shared" ca="1" si="18"/>
        <v>28</v>
      </c>
      <c r="AK7">
        <f t="shared" ca="1" si="19"/>
        <v>35</v>
      </c>
      <c r="AL7">
        <f t="shared" ca="1" si="20"/>
        <v>31</v>
      </c>
    </row>
    <row r="8" spans="1:38" x14ac:dyDescent="0.25">
      <c r="A8" s="213"/>
      <c r="B8" s="61">
        <f>IF(Fixture!C7,Fixture!C7,"")</f>
        <v>45676</v>
      </c>
      <c r="C8" s="58">
        <v>0.57638888888888895</v>
      </c>
      <c r="D8" s="82" t="str">
        <f t="shared" ca="1" si="8"/>
        <v>Finalizado</v>
      </c>
      <c r="E8" s="207"/>
      <c r="F8" s="43">
        <f>+Fixture!B7</f>
        <v>6</v>
      </c>
      <c r="G8" s="42" t="str">
        <f>IF(VLOOKUP(F8,Fixture!$B$2:$F$137,3,FALSE)&lt;&gt;0,VLOOKUP(F8,Fixture!$B$2:$F$137,3,FALSE),"")</f>
        <v>La Unión FC</v>
      </c>
      <c r="H8" s="44">
        <f ca="1">IF($D8="Finalizado",_xlfn.XLOOKUP(G8,Resumen!$A$6:$A$22,Resumen!B$6:B$22,0),"")</f>
        <v>7</v>
      </c>
      <c r="I8" s="44">
        <f ca="1">IF($D8="Finalizado",_xlfn.XLOOKUP(G8,Resumen!$A$6:$A$22,Resumen!C$6:C$22,0),"")</f>
        <v>2</v>
      </c>
      <c r="J8" s="44">
        <f ca="1">IF($D8="Finalizado",_xlfn.XLOOKUP(G8,Resumen!$A$6:$A$22,Resumen!D$6:D$22,0)+_xlfn.XLOOKUP(G8,Resumen!$A$6:$A$22,Resumen!E$6:E$22,0),"")</f>
        <v>0</v>
      </c>
      <c r="K8" s="44">
        <f t="shared" ca="1" si="0"/>
        <v>1</v>
      </c>
      <c r="L8" s="44">
        <f t="shared" ca="1" si="1"/>
        <v>0</v>
      </c>
      <c r="M8" s="44">
        <f t="shared" ca="1" si="2"/>
        <v>0</v>
      </c>
      <c r="N8" s="44">
        <f t="shared" ca="1" si="3"/>
        <v>1</v>
      </c>
      <c r="O8" s="45">
        <f t="shared" ca="1" si="4"/>
        <v>10</v>
      </c>
      <c r="P8" s="42" t="str">
        <f>IF(VLOOKUP(F8,Fixture!$B$2:$F$137,5,FALSE)&lt;&gt;0,VLOOKUP(F8,Fixture!$B$2:$F$137,5,FALSE),"")</f>
        <v>Villanueva</v>
      </c>
      <c r="Q8" s="44">
        <f ca="1">IF($D8="Finalizado",_xlfn.XLOOKUP(P8,Resumen!$A$6:$A$22,Resumen!B$6:B$22,0),"")</f>
        <v>3</v>
      </c>
      <c r="R8" s="44">
        <f ca="1">IF($D8="Finalizado",_xlfn.XLOOKUP(P8,Resumen!$A$6:$A$22,Resumen!C$6:C$22,0),"")</f>
        <v>0</v>
      </c>
      <c r="S8" s="44">
        <f ca="1">IF($D8="Finalizado",_xlfn.XLOOKUP(P8,Resumen!$A$6:$A$22,Resumen!D$6:D$22,0)+_xlfn.XLOOKUP(P8,Resumen!$A$6:$A$22,Resumen!E$6:E$22,0),"")</f>
        <v>1</v>
      </c>
      <c r="T8" s="44">
        <f t="shared" ca="1" si="5"/>
        <v>0</v>
      </c>
      <c r="U8" s="44">
        <f t="shared" ca="1" si="9"/>
        <v>0</v>
      </c>
      <c r="V8" s="44">
        <f t="shared" ca="1" si="10"/>
        <v>1</v>
      </c>
      <c r="W8" s="44">
        <f t="shared" ca="1" si="6"/>
        <v>1</v>
      </c>
      <c r="X8" s="45">
        <f t="shared" ca="1" si="7"/>
        <v>10</v>
      </c>
      <c r="Y8" s="207"/>
      <c r="AA8" s="19" t="s">
        <v>46</v>
      </c>
      <c r="AB8"/>
      <c r="AC8" s="46" t="str">
        <f t="shared" ca="1" si="11"/>
        <v>Villanueva</v>
      </c>
      <c r="AD8">
        <f t="shared" ca="1" si="12"/>
        <v>16</v>
      </c>
      <c r="AE8">
        <f t="shared" ca="1" si="13"/>
        <v>9</v>
      </c>
      <c r="AF8">
        <f t="shared" ca="1" si="14"/>
        <v>1</v>
      </c>
      <c r="AG8">
        <f t="shared" ca="1" si="15"/>
        <v>6</v>
      </c>
      <c r="AH8">
        <f t="shared" ca="1" si="16"/>
        <v>56</v>
      </c>
      <c r="AI8">
        <f t="shared" ca="1" si="17"/>
        <v>35</v>
      </c>
      <c r="AJ8">
        <f t="shared" ca="1" si="18"/>
        <v>21</v>
      </c>
      <c r="AK8">
        <f t="shared" ca="1" si="19"/>
        <v>160</v>
      </c>
      <c r="AL8">
        <f t="shared" ca="1" si="20"/>
        <v>28</v>
      </c>
    </row>
    <row r="9" spans="1:38" x14ac:dyDescent="0.25">
      <c r="A9" s="213"/>
      <c r="B9" s="61">
        <f>IF(Fixture!C8,Fixture!C8,"")</f>
        <v>45809</v>
      </c>
      <c r="C9" s="58">
        <v>0.625</v>
      </c>
      <c r="D9" s="82" t="str">
        <f ca="1">IF(OR(B9="",C9="",B9&lt;$A$1),"Finalizado",IF(B9=$A$1,IF(AND(C9&lt;=$D$1,$D$1&lt;=(C9+0.08333333333)),"En juego",IF($A$1&lt;C9,"HOY!","Finalizado")),IF($D$1&gt;B9,"Finalizado","Proximamente..")))</f>
        <v>Finalizado</v>
      </c>
      <c r="E9" s="207"/>
      <c r="F9" s="43">
        <f>+Fixture!B8</f>
        <v>7</v>
      </c>
      <c r="G9" s="42" t="str">
        <f>IF(VLOOKUP(F9,Fixture!$B$2:$F$137,3,FALSE)&lt;&gt;0,VLOOKUP(F9,Fixture!$B$2:$F$137,3,FALSE),"")</f>
        <v>Valentín FC</v>
      </c>
      <c r="H9" s="44">
        <f ca="1">IF($D9="Finalizado",_xlfn.XLOOKUP(G9,Resumen!$A$6:$A$22,Resumen!B$6:B$22,0),"")</f>
        <v>1</v>
      </c>
      <c r="I9" s="44">
        <f ca="1">IF($D9="Finalizado",_xlfn.XLOOKUP(G9,Resumen!$A$6:$A$22,Resumen!C$6:C$22,0),"")</f>
        <v>1</v>
      </c>
      <c r="J9" s="44">
        <f ca="1">IF($D9="Finalizado",_xlfn.XLOOKUP(G9,Resumen!$A$6:$A$22,Resumen!D$6:D$22,0)+_xlfn.XLOOKUP(G9,Resumen!$A$6:$A$22,Resumen!E$6:E$22,0),"")</f>
        <v>0</v>
      </c>
      <c r="K9" s="44">
        <f t="shared" ca="1" si="0"/>
        <v>0</v>
      </c>
      <c r="L9" s="44">
        <f t="shared" ca="1" si="1"/>
        <v>0</v>
      </c>
      <c r="M9" s="44">
        <f t="shared" ca="1" si="2"/>
        <v>1</v>
      </c>
      <c r="N9" s="44">
        <f t="shared" ca="1" si="3"/>
        <v>1</v>
      </c>
      <c r="O9" s="45">
        <f t="shared" ca="1" si="4"/>
        <v>5</v>
      </c>
      <c r="P9" s="42" t="str">
        <f>IF(VLOOKUP(F9,Fixture!$B$2:$F$137,5,FALSE)&lt;&gt;0,VLOOKUP(F9,Fixture!$B$2:$F$137,5,FALSE),"")</f>
        <v>Los Aliados</v>
      </c>
      <c r="Q9" s="44">
        <f ca="1">IF($D9="Finalizado",_xlfn.XLOOKUP(P9,Resumen!$A$6:$A$22,Resumen!B$6:B$22,0),"")</f>
        <v>2</v>
      </c>
      <c r="R9" s="44">
        <f ca="1">IF($D9="Finalizado",_xlfn.XLOOKUP(P9,Resumen!$A$6:$A$22,Resumen!C$6:C$22,0),"")</f>
        <v>1</v>
      </c>
      <c r="S9" s="44">
        <f ca="1">IF($D9="Finalizado",_xlfn.XLOOKUP(P9,Resumen!$A$6:$A$22,Resumen!D$6:D$22,0)+_xlfn.XLOOKUP(P9,Resumen!$A$6:$A$22,Resumen!E$6:E$22,0),"")</f>
        <v>1</v>
      </c>
      <c r="T9" s="44">
        <f t="shared" ca="1" si="5"/>
        <v>1</v>
      </c>
      <c r="U9" s="44">
        <f t="shared" ca="1" si="9"/>
        <v>0</v>
      </c>
      <c r="V9" s="44">
        <f t="shared" ca="1" si="10"/>
        <v>0</v>
      </c>
      <c r="W9" s="44">
        <f t="shared" ca="1" si="6"/>
        <v>1</v>
      </c>
      <c r="X9" s="45">
        <f t="shared" ca="1" si="7"/>
        <v>15</v>
      </c>
      <c r="Y9" s="207"/>
      <c r="AA9" s="19" t="s">
        <v>47</v>
      </c>
      <c r="AB9"/>
      <c r="AC9" s="46" t="str">
        <f t="shared" ca="1" si="11"/>
        <v>CD El Corozo</v>
      </c>
      <c r="AD9">
        <f t="shared" ca="1" si="12"/>
        <v>16</v>
      </c>
      <c r="AE9">
        <f t="shared" ca="1" si="13"/>
        <v>8</v>
      </c>
      <c r="AF9">
        <f t="shared" ca="1" si="14"/>
        <v>3</v>
      </c>
      <c r="AG9">
        <f t="shared" ca="1" si="15"/>
        <v>5</v>
      </c>
      <c r="AH9">
        <f t="shared" ca="1" si="16"/>
        <v>65</v>
      </c>
      <c r="AI9">
        <f t="shared" ca="1" si="17"/>
        <v>39</v>
      </c>
      <c r="AJ9">
        <f t="shared" ca="1" si="18"/>
        <v>26</v>
      </c>
      <c r="AK9">
        <f t="shared" ca="1" si="19"/>
        <v>90</v>
      </c>
      <c r="AL9">
        <f t="shared" ca="1" si="20"/>
        <v>27</v>
      </c>
    </row>
    <row r="10" spans="1:38" ht="16.5" thickBot="1" x14ac:dyDescent="0.3">
      <c r="A10" s="214"/>
      <c r="B10" s="61">
        <f>IF(Fixture!C9,Fixture!C9,"")</f>
        <v>45809</v>
      </c>
      <c r="C10" s="58">
        <v>0.67361111111111116</v>
      </c>
      <c r="D10" s="82" t="str">
        <f t="shared" ref="D10:D80" ca="1" si="21">IF(OR(B10="",C10="",B10&lt;$A$1),"Finalizado",IF(B10=$A$1,IF(AND(C10&lt;=$D$1,$D$1&lt;=(C10+0.08333333333)),"En juego",IF($A$1&lt;C10,"HOY!","Finalizado")),IF($D$1&gt;B10,"Finalizado","Proximamente..")))</f>
        <v>Finalizado</v>
      </c>
      <c r="E10" s="208"/>
      <c r="F10" s="90">
        <f>+Fixture!B9</f>
        <v>8</v>
      </c>
      <c r="G10" s="42" t="str">
        <f>IF(VLOOKUP(F10,Fixture!$B$2:$F$137,3,FALSE)&lt;&gt;0,VLOOKUP(F10,Fixture!$B$2:$F$137,3,FALSE),"")</f>
        <v>CD El Corozo</v>
      </c>
      <c r="H10" s="48">
        <f ca="1">IF($D10="Finalizado",_xlfn.XLOOKUP(G10,Resumen!$A$6:$A$22,Resumen!B$6:B$22,0),"")</f>
        <v>2</v>
      </c>
      <c r="I10" s="48">
        <f ca="1">IF($D10="Finalizado",_xlfn.XLOOKUP(G10,Resumen!$A$6:$A$22,Resumen!C$6:C$22,0),"")</f>
        <v>1</v>
      </c>
      <c r="J10" s="48">
        <f ca="1">IF($D10="Finalizado",_xlfn.XLOOKUP(G10,Resumen!$A$6:$A$22,Resumen!D$6:D$22,0)+_xlfn.XLOOKUP(G10,Resumen!$A$6:$A$22,Resumen!E$6:E$22,0),"")</f>
        <v>0</v>
      </c>
      <c r="K10" s="48">
        <f t="shared" ca="1" si="0"/>
        <v>0</v>
      </c>
      <c r="L10" s="48">
        <f t="shared" ca="1" si="1"/>
        <v>1</v>
      </c>
      <c r="M10" s="48">
        <f t="shared" ca="1" si="2"/>
        <v>0</v>
      </c>
      <c r="N10" s="48">
        <f t="shared" ca="1" si="3"/>
        <v>1</v>
      </c>
      <c r="O10" s="49">
        <f t="shared" ca="1" si="4"/>
        <v>5</v>
      </c>
      <c r="P10" s="42" t="str">
        <f>IF(VLOOKUP(F10,Fixture!$B$2:$F$137,5,FALSE)&lt;&gt;0,VLOOKUP(F10,Fixture!$B$2:$F$137,5,FALSE),"")</f>
        <v>Konami</v>
      </c>
      <c r="Q10" s="48">
        <f ca="1">IF($D10="Finalizado",_xlfn.XLOOKUP(P10,Resumen!$A$6:$A$22,Resumen!B$6:B$22,0),"")</f>
        <v>2</v>
      </c>
      <c r="R10" s="48">
        <f ca="1">IF($D10="Finalizado",_xlfn.XLOOKUP(P10,Resumen!$A$6:$A$22,Resumen!C$6:C$22,0),"")</f>
        <v>0</v>
      </c>
      <c r="S10" s="48">
        <f ca="1">IF($D10="Finalizado",_xlfn.XLOOKUP(P10,Resumen!$A$6:$A$22,Resumen!D$6:D$22,0)+_xlfn.XLOOKUP(P10,Resumen!$A$6:$A$22,Resumen!E$6:E$22,0),"")</f>
        <v>0</v>
      </c>
      <c r="T10" s="48">
        <f t="shared" ca="1" si="5"/>
        <v>0</v>
      </c>
      <c r="U10" s="48">
        <f t="shared" ca="1" si="9"/>
        <v>1</v>
      </c>
      <c r="V10" s="48">
        <f t="shared" ca="1" si="10"/>
        <v>0</v>
      </c>
      <c r="W10" s="48">
        <f t="shared" ca="1" si="6"/>
        <v>1</v>
      </c>
      <c r="X10" s="49">
        <f t="shared" ca="1" si="7"/>
        <v>0</v>
      </c>
      <c r="Y10" s="208"/>
      <c r="AA10" s="19" t="s">
        <v>48</v>
      </c>
      <c r="AB10"/>
      <c r="AC10" s="46" t="str">
        <f t="shared" ca="1" si="11"/>
        <v>Boca Juniors</v>
      </c>
      <c r="AD10">
        <f t="shared" ca="1" si="12"/>
        <v>17</v>
      </c>
      <c r="AE10">
        <f t="shared" ca="1" si="13"/>
        <v>9</v>
      </c>
      <c r="AF10">
        <f t="shared" ca="1" si="14"/>
        <v>0</v>
      </c>
      <c r="AG10">
        <f t="shared" ca="1" si="15"/>
        <v>8</v>
      </c>
      <c r="AH10">
        <f t="shared" ca="1" si="16"/>
        <v>54</v>
      </c>
      <c r="AI10">
        <f t="shared" ca="1" si="17"/>
        <v>48</v>
      </c>
      <c r="AJ10">
        <f t="shared" ca="1" si="18"/>
        <v>6</v>
      </c>
      <c r="AK10">
        <f t="shared" ca="1" si="19"/>
        <v>140</v>
      </c>
      <c r="AL10">
        <f t="shared" ca="1" si="20"/>
        <v>27</v>
      </c>
    </row>
    <row r="11" spans="1:38" x14ac:dyDescent="0.25">
      <c r="A11" s="212" t="s">
        <v>6</v>
      </c>
      <c r="B11" s="60">
        <f>IF(Fixture!C10,Fixture!C10,"")</f>
        <v>45683</v>
      </c>
      <c r="C11" s="58">
        <v>0.33333333333333331</v>
      </c>
      <c r="D11" s="82" t="str">
        <f t="shared" ca="1" si="21"/>
        <v>Finalizado</v>
      </c>
      <c r="E11" s="206" t="s">
        <v>114</v>
      </c>
      <c r="F11" s="43">
        <f>+Fixture!B10</f>
        <v>9</v>
      </c>
      <c r="G11" s="42" t="str">
        <f>IF(VLOOKUP(F11,Fixture!$B$2:$F$137,3,FALSE)&lt;&gt;0,VLOOKUP(F11,Fixture!$B$2:$F$137,3,FALSE),"")</f>
        <v>Atalanta</v>
      </c>
      <c r="H11" s="44">
        <f ca="1">IF($D11="Finalizado",_xlfn.XLOOKUP(G11,Resumen!$A$6:$A$22,Resumen!F$6:F$22,0),"")</f>
        <v>0</v>
      </c>
      <c r="I11" s="44">
        <f ca="1">IF($D11="Finalizado",_xlfn.XLOOKUP(G11,Resumen!$A$6:$A$22,Resumen!G$6:G$22,0),"")</f>
        <v>1</v>
      </c>
      <c r="J11" s="44">
        <f ca="1">IF($D11="Finalizado",_xlfn.XLOOKUP(G11,Resumen!$A$6:$A$22,Resumen!H$6:H$22,0)+_xlfn.XLOOKUP(G11,Resumen!$A$6:$A$22,Resumen!I$6:I$22,0),"")</f>
        <v>0</v>
      </c>
      <c r="K11" s="44">
        <f t="shared" ca="1" si="0"/>
        <v>0</v>
      </c>
      <c r="L11" s="44">
        <f t="shared" ca="1" si="1"/>
        <v>0</v>
      </c>
      <c r="M11" s="44">
        <f t="shared" ca="1" si="2"/>
        <v>1</v>
      </c>
      <c r="N11" s="44">
        <f t="shared" ca="1" si="3"/>
        <v>1</v>
      </c>
      <c r="O11" s="45">
        <f t="shared" ca="1" si="4"/>
        <v>5</v>
      </c>
      <c r="P11" s="42" t="str">
        <f>IF(VLOOKUP(F11,Fixture!$B$2:$F$137,5,FALSE)&lt;&gt;0,VLOOKUP(F11,Fixture!$B$2:$F$137,5,FALSE),"")</f>
        <v>Konami</v>
      </c>
      <c r="Q11" s="44">
        <f ca="1">IF($D11="Finalizado",_xlfn.XLOOKUP(P11,Resumen!$A$6:$A$22,Resumen!F$6:F$22,0),"")</f>
        <v>4</v>
      </c>
      <c r="R11" s="44">
        <f ca="1">IF($D11="Finalizado",_xlfn.XLOOKUP(P11,Resumen!$A$6:$A$22,Resumen!G$6:G$22,0),"")</f>
        <v>0</v>
      </c>
      <c r="S11" s="44">
        <f ca="1">IF($D11="Finalizado",_xlfn.XLOOKUP(P11,Resumen!$A$6:$A$22,Resumen!H$6:H$22,0)+_xlfn.XLOOKUP(P11,Resumen!$A$6:$A$22,Resumen!I$6:I$22,0),"")</f>
        <v>0</v>
      </c>
      <c r="T11" s="44">
        <f t="shared" ca="1" si="5"/>
        <v>1</v>
      </c>
      <c r="U11" s="44">
        <f t="shared" ca="1" si="9"/>
        <v>0</v>
      </c>
      <c r="V11" s="44">
        <f t="shared" ca="1" si="10"/>
        <v>0</v>
      </c>
      <c r="W11" s="44">
        <f t="shared" ca="1" si="6"/>
        <v>1</v>
      </c>
      <c r="X11" s="45">
        <f t="shared" ca="1" si="7"/>
        <v>0</v>
      </c>
      <c r="Y11" s="206" t="str">
        <f>+A11</f>
        <v>Fecha 2</v>
      </c>
      <c r="AA11" s="19" t="s">
        <v>49</v>
      </c>
      <c r="AB11"/>
      <c r="AC11" s="46" t="str">
        <f t="shared" ca="1" si="11"/>
        <v>Valentín FC</v>
      </c>
      <c r="AD11">
        <f t="shared" ca="1" si="12"/>
        <v>17</v>
      </c>
      <c r="AE11">
        <f t="shared" ca="1" si="13"/>
        <v>7</v>
      </c>
      <c r="AF11">
        <f t="shared" ca="1" si="14"/>
        <v>4</v>
      </c>
      <c r="AG11">
        <f t="shared" ca="1" si="15"/>
        <v>6</v>
      </c>
      <c r="AH11">
        <f t="shared" ca="1" si="16"/>
        <v>57</v>
      </c>
      <c r="AI11">
        <f t="shared" ca="1" si="17"/>
        <v>42</v>
      </c>
      <c r="AJ11">
        <f t="shared" ca="1" si="18"/>
        <v>15</v>
      </c>
      <c r="AK11">
        <f t="shared" ca="1" si="19"/>
        <v>150</v>
      </c>
      <c r="AL11">
        <f t="shared" ca="1" si="20"/>
        <v>25</v>
      </c>
    </row>
    <row r="12" spans="1:38" x14ac:dyDescent="0.25">
      <c r="A12" s="213"/>
      <c r="B12" s="61">
        <f>IF(Fixture!C11,Fixture!C11,"")</f>
        <v>45683</v>
      </c>
      <c r="C12" s="58">
        <v>0.38194444444444442</v>
      </c>
      <c r="D12" s="82" t="str">
        <f t="shared" ca="1" si="21"/>
        <v>Finalizado</v>
      </c>
      <c r="E12" s="207"/>
      <c r="F12" s="43">
        <f>+Fixture!B11</f>
        <v>10</v>
      </c>
      <c r="G12" s="42" t="str">
        <f>IF(VLOOKUP(F12,Fixture!$B$2:$F$137,3,FALSE)&lt;&gt;0,VLOOKUP(F12,Fixture!$B$2:$F$137,3,FALSE),"")</f>
        <v>Valentín FC</v>
      </c>
      <c r="H12" s="44">
        <f ca="1">IF($D12="Finalizado",_xlfn.XLOOKUP(G12,Resumen!$A$6:$A$22,Resumen!F$6:F$22,0),"")</f>
        <v>9</v>
      </c>
      <c r="I12" s="44">
        <f ca="1">IF($D12="Finalizado",_xlfn.XLOOKUP(G12,Resumen!$A$6:$A$22,Resumen!G$6:G$22,0),"")</f>
        <v>0</v>
      </c>
      <c r="J12" s="44">
        <f ca="1">IF($D12="Finalizado",_xlfn.XLOOKUP(G12,Resumen!$A$6:$A$22,Resumen!H$6:H$22,0)+_xlfn.XLOOKUP(G12,Resumen!$A$6:$A$22,Resumen!I$6:I$22,0),"")</f>
        <v>0</v>
      </c>
      <c r="K12" s="44">
        <f t="shared" ca="1" si="0"/>
        <v>1</v>
      </c>
      <c r="L12" s="44">
        <f t="shared" ca="1" si="1"/>
        <v>0</v>
      </c>
      <c r="M12" s="44">
        <f t="shared" ca="1" si="2"/>
        <v>0</v>
      </c>
      <c r="N12" s="44">
        <f t="shared" ca="1" si="3"/>
        <v>1</v>
      </c>
      <c r="O12" s="45">
        <f t="shared" ca="1" si="4"/>
        <v>0</v>
      </c>
      <c r="P12" s="42" t="str">
        <f>IF(VLOOKUP(F12,Fixture!$B$2:$F$137,5,FALSE)&lt;&gt;0,VLOOKUP(F12,Fixture!$B$2:$F$137,5,FALSE),"")</f>
        <v>La Nueva Era</v>
      </c>
      <c r="Q12" s="44">
        <f ca="1">IF($D12="Finalizado",_xlfn.XLOOKUP(P12,Resumen!$A$6:$A$22,Resumen!F$6:F$22,0),"")</f>
        <v>0</v>
      </c>
      <c r="R12" s="44">
        <f ca="1">IF($D12="Finalizado",_xlfn.XLOOKUP(P12,Resumen!$A$6:$A$22,Resumen!G$6:G$22,0),"")</f>
        <v>0</v>
      </c>
      <c r="S12" s="44">
        <f ca="1">IF($D12="Finalizado",_xlfn.XLOOKUP(P12,Resumen!$A$6:$A$22,Resumen!H$6:H$22,0)+_xlfn.XLOOKUP(P12,Resumen!$A$6:$A$22,Resumen!I$6:I$22,0),"")</f>
        <v>0</v>
      </c>
      <c r="T12" s="44">
        <f t="shared" ca="1" si="5"/>
        <v>0</v>
      </c>
      <c r="U12" s="44">
        <f t="shared" ca="1" si="9"/>
        <v>0</v>
      </c>
      <c r="V12" s="44">
        <f t="shared" ca="1" si="10"/>
        <v>1</v>
      </c>
      <c r="W12" s="44">
        <f t="shared" ca="1" si="6"/>
        <v>1</v>
      </c>
      <c r="X12" s="45">
        <f t="shared" ca="1" si="7"/>
        <v>0</v>
      </c>
      <c r="Y12" s="207"/>
      <c r="AA12" s="19" t="s">
        <v>240</v>
      </c>
      <c r="AB12"/>
      <c r="AC12" s="46" t="str">
        <f t="shared" ca="1" si="11"/>
        <v>Amenadim</v>
      </c>
      <c r="AD12">
        <f t="shared" ca="1" si="12"/>
        <v>17</v>
      </c>
      <c r="AE12">
        <f t="shared" ca="1" si="13"/>
        <v>8</v>
      </c>
      <c r="AF12">
        <f t="shared" ca="1" si="14"/>
        <v>1</v>
      </c>
      <c r="AG12">
        <f t="shared" ca="1" si="15"/>
        <v>8</v>
      </c>
      <c r="AH12">
        <f t="shared" ca="1" si="16"/>
        <v>58</v>
      </c>
      <c r="AI12">
        <f t="shared" ca="1" si="17"/>
        <v>50</v>
      </c>
      <c r="AJ12">
        <f t="shared" ca="1" si="18"/>
        <v>8</v>
      </c>
      <c r="AK12">
        <f t="shared" ca="1" si="19"/>
        <v>85</v>
      </c>
      <c r="AL12">
        <f t="shared" ca="1" si="20"/>
        <v>25</v>
      </c>
    </row>
    <row r="13" spans="1:38" x14ac:dyDescent="0.25">
      <c r="A13" s="213"/>
      <c r="B13" s="61">
        <f>IF(Fixture!C12,Fixture!C12,"")</f>
        <v>45683</v>
      </c>
      <c r="C13" s="58">
        <v>0.43055555555555602</v>
      </c>
      <c r="D13" s="82" t="str">
        <f t="shared" ca="1" si="21"/>
        <v>Finalizado</v>
      </c>
      <c r="E13" s="207"/>
      <c r="F13" s="43">
        <f>+Fixture!B12</f>
        <v>11</v>
      </c>
      <c r="G13" s="42" t="str">
        <f>IF(VLOOKUP(F13,Fixture!$B$2:$F$137,3,FALSE)&lt;&gt;0,VLOOKUP(F13,Fixture!$B$2:$F$137,3,FALSE),"")</f>
        <v>Deportivo Fénix</v>
      </c>
      <c r="H13" s="44">
        <f ca="1">IF($D13="Finalizado",_xlfn.XLOOKUP(G13,Resumen!$A$6:$A$22,Resumen!F$6:F$22,0),"")</f>
        <v>5</v>
      </c>
      <c r="I13" s="44">
        <f ca="1">IF($D13="Finalizado",_xlfn.XLOOKUP(G13,Resumen!$A$6:$A$22,Resumen!G$6:G$22,0),"")</f>
        <v>1</v>
      </c>
      <c r="J13" s="44">
        <f ca="1">IF($D13="Finalizado",_xlfn.XLOOKUP(G13,Resumen!$A$6:$A$22,Resumen!H$6:H$22,0)+_xlfn.XLOOKUP(G13,Resumen!$A$6:$A$22,Resumen!I$6:I$22,0),"")</f>
        <v>1</v>
      </c>
      <c r="K13" s="44">
        <f t="shared" ca="1" si="0"/>
        <v>0</v>
      </c>
      <c r="L13" s="44">
        <f t="shared" ca="1" si="1"/>
        <v>1</v>
      </c>
      <c r="M13" s="44">
        <f t="shared" ca="1" si="2"/>
        <v>0</v>
      </c>
      <c r="N13" s="44">
        <f t="shared" ca="1" si="3"/>
        <v>1</v>
      </c>
      <c r="O13" s="45">
        <f t="shared" ca="1" si="4"/>
        <v>15</v>
      </c>
      <c r="P13" s="42" t="str">
        <f>IF(VLOOKUP(F13,Fixture!$B$2:$F$137,5,FALSE)&lt;&gt;0,VLOOKUP(F13,Fixture!$B$2:$F$137,5,FALSE),"")</f>
        <v>Hojas Anchas</v>
      </c>
      <c r="Q13" s="44">
        <f ca="1">IF($D13="Finalizado",_xlfn.XLOOKUP(P13,Resumen!$A$6:$A$22,Resumen!F$6:F$22,0),"")</f>
        <v>5</v>
      </c>
      <c r="R13" s="44">
        <f ca="1">IF($D13="Finalizado",_xlfn.XLOOKUP(P13,Resumen!$A$6:$A$22,Resumen!G$6:G$22,0),"")</f>
        <v>1</v>
      </c>
      <c r="S13" s="44">
        <f ca="1">IF($D13="Finalizado",_xlfn.XLOOKUP(P13,Resumen!$A$6:$A$22,Resumen!H$6:H$22,0)+_xlfn.XLOOKUP(P13,Resumen!$A$6:$A$22,Resumen!I$6:I$22,0),"")</f>
        <v>0</v>
      </c>
      <c r="T13" s="44">
        <f t="shared" ca="1" si="5"/>
        <v>0</v>
      </c>
      <c r="U13" s="44">
        <f t="shared" ca="1" si="9"/>
        <v>1</v>
      </c>
      <c r="V13" s="44">
        <f t="shared" ca="1" si="10"/>
        <v>0</v>
      </c>
      <c r="W13" s="44">
        <f t="shared" ca="1" si="6"/>
        <v>1</v>
      </c>
      <c r="X13" s="45">
        <f t="shared" ca="1" si="7"/>
        <v>5</v>
      </c>
      <c r="Y13" s="207"/>
      <c r="AA13" s="19" t="s">
        <v>241</v>
      </c>
      <c r="AB13"/>
      <c r="AC13" s="46" t="str">
        <f t="shared" ca="1" si="11"/>
        <v>Hojas Anchas</v>
      </c>
      <c r="AD13">
        <f t="shared" ca="1" si="12"/>
        <v>17</v>
      </c>
      <c r="AE13">
        <f t="shared" ca="1" si="13"/>
        <v>6</v>
      </c>
      <c r="AF13">
        <f t="shared" ca="1" si="14"/>
        <v>5</v>
      </c>
      <c r="AG13">
        <f t="shared" ca="1" si="15"/>
        <v>6</v>
      </c>
      <c r="AH13">
        <f t="shared" ca="1" si="16"/>
        <v>55</v>
      </c>
      <c r="AI13">
        <f t="shared" ca="1" si="17"/>
        <v>56</v>
      </c>
      <c r="AJ13">
        <f t="shared" ca="1" si="18"/>
        <v>-1</v>
      </c>
      <c r="AK13">
        <f t="shared" ca="1" si="19"/>
        <v>160</v>
      </c>
      <c r="AL13">
        <f t="shared" ca="1" si="20"/>
        <v>23</v>
      </c>
    </row>
    <row r="14" spans="1:38" x14ac:dyDescent="0.25">
      <c r="A14" s="213"/>
      <c r="B14" s="61">
        <f>IF(Fixture!C13,Fixture!C13,"")</f>
        <v>45683</v>
      </c>
      <c r="C14" s="58">
        <v>0.47916666666666602</v>
      </c>
      <c r="D14" s="82" t="str">
        <f t="shared" ca="1" si="21"/>
        <v>Finalizado</v>
      </c>
      <c r="E14" s="207"/>
      <c r="F14" s="43">
        <f>+Fixture!B13</f>
        <v>12</v>
      </c>
      <c r="G14" s="42" t="str">
        <f>IF(VLOOKUP(F14,Fixture!$B$2:$F$137,3,FALSE)&lt;&gt;0,VLOOKUP(F14,Fixture!$B$2:$F$137,3,FALSE),"")</f>
        <v>Rayos FC</v>
      </c>
      <c r="H14" s="44">
        <f ca="1">IF($D14="Finalizado",_xlfn.XLOOKUP(G14,Resumen!$A$6:$A$22,Resumen!F$6:F$22,0),"")</f>
        <v>4</v>
      </c>
      <c r="I14" s="44">
        <f ca="1">IF($D14="Finalizado",_xlfn.XLOOKUP(G14,Resumen!$A$6:$A$22,Resumen!G$6:G$22,0),"")</f>
        <v>1</v>
      </c>
      <c r="J14" s="44">
        <f ca="1">IF($D14="Finalizado",_xlfn.XLOOKUP(G14,Resumen!$A$6:$A$22,Resumen!H$6:H$22,0)+_xlfn.XLOOKUP(G14,Resumen!$A$6:$A$22,Resumen!I$6:I$22,0),"")</f>
        <v>0</v>
      </c>
      <c r="K14" s="44">
        <f t="shared" ca="1" si="0"/>
        <v>1</v>
      </c>
      <c r="L14" s="44">
        <f t="shared" ca="1" si="1"/>
        <v>0</v>
      </c>
      <c r="M14" s="44">
        <f t="shared" ca="1" si="2"/>
        <v>0</v>
      </c>
      <c r="N14" s="44">
        <f t="shared" ca="1" si="3"/>
        <v>1</v>
      </c>
      <c r="O14" s="45">
        <f t="shared" ca="1" si="4"/>
        <v>5</v>
      </c>
      <c r="P14" s="42" t="str">
        <f>IF(VLOOKUP(F14,Fixture!$B$2:$F$137,5,FALSE)&lt;&gt;0,VLOOKUP(F14,Fixture!$B$2:$F$137,5,FALSE),"")</f>
        <v>Amenadim</v>
      </c>
      <c r="Q14" s="44">
        <f ca="1">IF($D14="Finalizado",_xlfn.XLOOKUP(P14,Resumen!$A$6:$A$22,Resumen!F$6:F$22,0),"")</f>
        <v>3</v>
      </c>
      <c r="R14" s="44">
        <f ca="1">IF($D14="Finalizado",_xlfn.XLOOKUP(P14,Resumen!$A$6:$A$22,Resumen!G$6:G$22,0),"")</f>
        <v>0</v>
      </c>
      <c r="S14" s="44">
        <f ca="1">IF($D14="Finalizado",_xlfn.XLOOKUP(P14,Resumen!$A$6:$A$22,Resumen!H$6:H$22,0)+_xlfn.XLOOKUP(P14,Resumen!$A$6:$A$22,Resumen!I$6:I$22,0),"")</f>
        <v>0</v>
      </c>
      <c r="T14" s="44">
        <f t="shared" ca="1" si="5"/>
        <v>0</v>
      </c>
      <c r="U14" s="44">
        <f t="shared" ca="1" si="9"/>
        <v>0</v>
      </c>
      <c r="V14" s="44">
        <f t="shared" ca="1" si="10"/>
        <v>1</v>
      </c>
      <c r="W14" s="44">
        <f t="shared" ca="1" si="6"/>
        <v>1</v>
      </c>
      <c r="X14" s="45">
        <f t="shared" ca="1" si="7"/>
        <v>0</v>
      </c>
      <c r="Y14" s="207"/>
      <c r="AA14" s="19" t="s">
        <v>242</v>
      </c>
      <c r="AB14"/>
      <c r="AC14" s="46" t="str">
        <f t="shared" ca="1" si="11"/>
        <v>Deportivo Fénix</v>
      </c>
      <c r="AD14">
        <f t="shared" ca="1" si="12"/>
        <v>17</v>
      </c>
      <c r="AE14">
        <f t="shared" ca="1" si="13"/>
        <v>6</v>
      </c>
      <c r="AF14">
        <f t="shared" ca="1" si="14"/>
        <v>1</v>
      </c>
      <c r="AG14">
        <f t="shared" ca="1" si="15"/>
        <v>10</v>
      </c>
      <c r="AH14">
        <f t="shared" ca="1" si="16"/>
        <v>45</v>
      </c>
      <c r="AI14">
        <f t="shared" ca="1" si="17"/>
        <v>88</v>
      </c>
      <c r="AJ14">
        <f t="shared" ca="1" si="18"/>
        <v>-43</v>
      </c>
      <c r="AK14">
        <f t="shared" ca="1" si="19"/>
        <v>75</v>
      </c>
      <c r="AL14">
        <f t="shared" ca="1" si="20"/>
        <v>19</v>
      </c>
    </row>
    <row r="15" spans="1:38" x14ac:dyDescent="0.25">
      <c r="A15" s="213"/>
      <c r="B15" s="61">
        <f>IF(Fixture!C14,Fixture!C14,"")</f>
        <v>45683</v>
      </c>
      <c r="C15" s="58">
        <v>0.52777777777777701</v>
      </c>
      <c r="D15" s="82" t="str">
        <f t="shared" ca="1" si="21"/>
        <v>Finalizado</v>
      </c>
      <c r="E15" s="207"/>
      <c r="F15" s="43">
        <f>+Fixture!B14</f>
        <v>13</v>
      </c>
      <c r="G15" s="42" t="str">
        <f>IF(VLOOKUP(F15,Fixture!$B$2:$F$137,3,FALSE)&lt;&gt;0,VLOOKUP(F15,Fixture!$B$2:$F$137,3,FALSE),"")</f>
        <v>La Unión FC</v>
      </c>
      <c r="H15" s="44">
        <f ca="1">IF($D15="Finalizado",_xlfn.XLOOKUP(G15,Resumen!$A$6:$A$22,Resumen!F$6:F$22,0),"")</f>
        <v>4</v>
      </c>
      <c r="I15" s="44">
        <f ca="1">IF($D15="Finalizado",_xlfn.XLOOKUP(G15,Resumen!$A$6:$A$22,Resumen!G$6:G$22,0),"")</f>
        <v>0</v>
      </c>
      <c r="J15" s="44">
        <f ca="1">IF($D15="Finalizado",_xlfn.XLOOKUP(G15,Resumen!$A$6:$A$22,Resumen!H$6:H$22,0)+_xlfn.XLOOKUP(G15,Resumen!$A$6:$A$22,Resumen!I$6:I$22,0),"")</f>
        <v>1</v>
      </c>
      <c r="K15" s="44">
        <f t="shared" ca="1" si="0"/>
        <v>1</v>
      </c>
      <c r="L15" s="44">
        <f t="shared" ca="1" si="1"/>
        <v>0</v>
      </c>
      <c r="M15" s="44">
        <f t="shared" ca="1" si="2"/>
        <v>0</v>
      </c>
      <c r="N15" s="44">
        <f t="shared" ca="1" si="3"/>
        <v>1</v>
      </c>
      <c r="O15" s="45">
        <f t="shared" ca="1" si="4"/>
        <v>10</v>
      </c>
      <c r="P15" s="42" t="str">
        <f>IF(VLOOKUP(F15,Fixture!$B$2:$F$137,5,FALSE)&lt;&gt;0,VLOOKUP(F15,Fixture!$B$2:$F$137,5,FALSE),"")</f>
        <v>Ron Star</v>
      </c>
      <c r="Q15" s="44">
        <f ca="1">IF($D15="Finalizado",_xlfn.XLOOKUP(P15,Resumen!$A$6:$A$22,Resumen!F$6:F$22,0),"")</f>
        <v>2</v>
      </c>
      <c r="R15" s="44">
        <f ca="1">IF($D15="Finalizado",_xlfn.XLOOKUP(P15,Resumen!$A$6:$A$22,Resumen!G$6:G$22,0),"")</f>
        <v>1</v>
      </c>
      <c r="S15" s="44">
        <f ca="1">IF($D15="Finalizado",_xlfn.XLOOKUP(P15,Resumen!$A$6:$A$22,Resumen!H$6:H$22,0)+_xlfn.XLOOKUP(P15,Resumen!$A$6:$A$22,Resumen!I$6:I$22,0),"")</f>
        <v>0</v>
      </c>
      <c r="T15" s="44">
        <f t="shared" ca="1" si="5"/>
        <v>0</v>
      </c>
      <c r="U15" s="44">
        <f t="shared" ca="1" si="9"/>
        <v>0</v>
      </c>
      <c r="V15" s="44">
        <f t="shared" ca="1" si="10"/>
        <v>1</v>
      </c>
      <c r="W15" s="44">
        <f t="shared" ca="1" si="6"/>
        <v>1</v>
      </c>
      <c r="X15" s="45">
        <f t="shared" ca="1" si="7"/>
        <v>5</v>
      </c>
      <c r="Y15" s="207"/>
      <c r="AA15" s="19" t="s">
        <v>245</v>
      </c>
      <c r="AB15"/>
      <c r="AC15" s="46" t="str">
        <f t="shared" ca="1" si="11"/>
        <v>Los Aliados</v>
      </c>
      <c r="AD15">
        <f t="shared" ca="1" si="12"/>
        <v>18</v>
      </c>
      <c r="AE15">
        <f t="shared" ca="1" si="13"/>
        <v>4</v>
      </c>
      <c r="AF15">
        <f t="shared" ca="1" si="14"/>
        <v>2</v>
      </c>
      <c r="AG15">
        <f t="shared" ca="1" si="15"/>
        <v>12</v>
      </c>
      <c r="AH15">
        <f t="shared" ca="1" si="16"/>
        <v>37</v>
      </c>
      <c r="AI15">
        <f t="shared" ca="1" si="17"/>
        <v>84</v>
      </c>
      <c r="AJ15">
        <f t="shared" ca="1" si="18"/>
        <v>-47</v>
      </c>
      <c r="AK15">
        <f t="shared" ca="1" si="19"/>
        <v>135</v>
      </c>
      <c r="AL15">
        <f t="shared" ca="1" si="20"/>
        <v>14</v>
      </c>
    </row>
    <row r="16" spans="1:38" x14ac:dyDescent="0.25">
      <c r="A16" s="213"/>
      <c r="B16" s="61">
        <f>IF(Fixture!C15,Fixture!C15,"")</f>
        <v>45683</v>
      </c>
      <c r="C16" s="58">
        <v>0.57638888888888895</v>
      </c>
      <c r="D16" s="82" t="str">
        <f t="shared" ca="1" si="21"/>
        <v>Finalizado</v>
      </c>
      <c r="E16" s="207"/>
      <c r="F16" s="43">
        <f>+Fixture!B15</f>
        <v>14</v>
      </c>
      <c r="G16" s="42" t="str">
        <f>IF(VLOOKUP(F16,Fixture!$B$2:$F$137,3,FALSE)&lt;&gt;0,VLOOKUP(F16,Fixture!$B$2:$F$137,3,FALSE),"")</f>
        <v>La Amistad</v>
      </c>
      <c r="H16" s="44">
        <f ca="1">IF($D16="Finalizado",_xlfn.XLOOKUP(G16,Resumen!$A$6:$A$22,Resumen!F$6:F$22,0),"")</f>
        <v>5</v>
      </c>
      <c r="I16" s="44">
        <f ca="1">IF($D16="Finalizado",_xlfn.XLOOKUP(G16,Resumen!$A$6:$A$22,Resumen!G$6:G$22,0),"")</f>
        <v>0</v>
      </c>
      <c r="J16" s="44">
        <f ca="1">IF($D16="Finalizado",_xlfn.XLOOKUP(G16,Resumen!$A$6:$A$22,Resumen!H$6:H$22,0)+_xlfn.XLOOKUP(G16,Resumen!$A$6:$A$22,Resumen!I$6:I$22,0),"")</f>
        <v>0</v>
      </c>
      <c r="K16" s="44">
        <f t="shared" ca="1" si="0"/>
        <v>0</v>
      </c>
      <c r="L16" s="44">
        <f t="shared" ca="1" si="1"/>
        <v>0</v>
      </c>
      <c r="M16" s="44">
        <f t="shared" ca="1" si="2"/>
        <v>1</v>
      </c>
      <c r="N16" s="44">
        <f t="shared" ca="1" si="3"/>
        <v>1</v>
      </c>
      <c r="O16" s="45">
        <f t="shared" ca="1" si="4"/>
        <v>0</v>
      </c>
      <c r="P16" s="42" t="str">
        <f>IF(VLOOKUP(F16,Fixture!$B$2:$F$137,5,FALSE)&lt;&gt;0,VLOOKUP(F16,Fixture!$B$2:$F$137,5,FALSE),"")</f>
        <v>Los Amigos</v>
      </c>
      <c r="Q16" s="44">
        <f ca="1">IF($D16="Finalizado",_xlfn.XLOOKUP(P16,Resumen!$A$6:$A$22,Resumen!F$6:F$22,0),"")</f>
        <v>6</v>
      </c>
      <c r="R16" s="44">
        <f ca="1">IF($D16="Finalizado",_xlfn.XLOOKUP(P16,Resumen!$A$6:$A$22,Resumen!G$6:G$22,0),"")</f>
        <v>1</v>
      </c>
      <c r="S16" s="44">
        <f ca="1">IF($D16="Finalizado",_xlfn.XLOOKUP(P16,Resumen!$A$6:$A$22,Resumen!H$6:H$22,0)+_xlfn.XLOOKUP(P16,Resumen!$A$6:$A$22,Resumen!I$6:I$22,0),"")</f>
        <v>0</v>
      </c>
      <c r="T16" s="44">
        <f t="shared" ca="1" si="5"/>
        <v>1</v>
      </c>
      <c r="U16" s="44">
        <f t="shared" ca="1" si="9"/>
        <v>0</v>
      </c>
      <c r="V16" s="44">
        <f t="shared" ca="1" si="10"/>
        <v>0</v>
      </c>
      <c r="W16" s="44">
        <f t="shared" ca="1" si="6"/>
        <v>1</v>
      </c>
      <c r="X16" s="45">
        <f t="shared" ca="1" si="7"/>
        <v>5</v>
      </c>
      <c r="Y16" s="207"/>
      <c r="AA16" s="19" t="s">
        <v>252</v>
      </c>
      <c r="AB16"/>
      <c r="AC16" s="46" t="str">
        <f t="shared" ca="1" si="11"/>
        <v>Atalanta</v>
      </c>
      <c r="AD16">
        <f t="shared" ca="1" si="12"/>
        <v>18</v>
      </c>
      <c r="AE16">
        <f t="shared" ca="1" si="13"/>
        <v>2</v>
      </c>
      <c r="AF16">
        <f t="shared" ca="1" si="14"/>
        <v>3</v>
      </c>
      <c r="AG16">
        <f t="shared" ca="1" si="15"/>
        <v>13</v>
      </c>
      <c r="AH16">
        <f t="shared" ca="1" si="16"/>
        <v>36</v>
      </c>
      <c r="AI16">
        <f t="shared" ca="1" si="17"/>
        <v>66</v>
      </c>
      <c r="AJ16">
        <f t="shared" ca="1" si="18"/>
        <v>-30</v>
      </c>
      <c r="AK16">
        <f t="shared" ca="1" si="19"/>
        <v>70</v>
      </c>
      <c r="AL16">
        <f t="shared" ca="1" si="20"/>
        <v>9</v>
      </c>
    </row>
    <row r="17" spans="1:38" x14ac:dyDescent="0.25">
      <c r="A17" s="213"/>
      <c r="B17" s="61">
        <f>IF(Fixture!C16,Fixture!C16,"")</f>
        <v>45683</v>
      </c>
      <c r="C17" s="58">
        <v>0.625</v>
      </c>
      <c r="D17" s="82" t="str">
        <f t="shared" ca="1" si="21"/>
        <v>Finalizado</v>
      </c>
      <c r="E17" s="207"/>
      <c r="F17" s="43">
        <f>+Fixture!B16</f>
        <v>15</v>
      </c>
      <c r="G17" s="42" t="str">
        <f>IF(VLOOKUP(F17,Fixture!$B$2:$F$137,3,FALSE)&lt;&gt;0,VLOOKUP(F17,Fixture!$B$2:$F$137,3,FALSE),"")</f>
        <v>Boca Juniors</v>
      </c>
      <c r="H17" s="44">
        <f ca="1">IF($D17="Finalizado",_xlfn.XLOOKUP(G17,Resumen!$A$6:$A$22,Resumen!F$6:F$22,0),"")</f>
        <v>12</v>
      </c>
      <c r="I17" s="44">
        <f ca="1">IF($D17="Finalizado",_xlfn.XLOOKUP(G17,Resumen!$A$6:$A$22,Resumen!G$6:G$22,0),"")</f>
        <v>2</v>
      </c>
      <c r="J17" s="44">
        <f ca="1">IF($D17="Finalizado",_xlfn.XLOOKUP(G17,Resumen!$A$6:$A$22,Resumen!H$6:H$22,0)+_xlfn.XLOOKUP(G17,Resumen!$A$6:$A$22,Resumen!I$6:I$22,0),"")</f>
        <v>0</v>
      </c>
      <c r="K17" s="44">
        <f t="shared" ca="1" si="0"/>
        <v>1</v>
      </c>
      <c r="L17" s="44">
        <f t="shared" ca="1" si="1"/>
        <v>0</v>
      </c>
      <c r="M17" s="44">
        <f t="shared" ca="1" si="2"/>
        <v>0</v>
      </c>
      <c r="N17" s="44">
        <f t="shared" ca="1" si="3"/>
        <v>1</v>
      </c>
      <c r="O17" s="45">
        <f t="shared" ca="1" si="4"/>
        <v>10</v>
      </c>
      <c r="P17" s="42" t="str">
        <f>IF(VLOOKUP(F17,Fixture!$B$2:$F$137,5,FALSE)&lt;&gt;0,VLOOKUP(F17,Fixture!$B$2:$F$137,5,FALSE),"")</f>
        <v>Los Aliados</v>
      </c>
      <c r="Q17" s="44">
        <f ca="1">IF($D17="Finalizado",_xlfn.XLOOKUP(P17,Resumen!$A$6:$A$22,Resumen!F$6:F$22,0),"")</f>
        <v>1</v>
      </c>
      <c r="R17" s="44">
        <f ca="1">IF($D17="Finalizado",_xlfn.XLOOKUP(P17,Resumen!$A$6:$A$22,Resumen!G$6:G$22,0),"")</f>
        <v>1</v>
      </c>
      <c r="S17" s="44">
        <f ca="1">IF($D17="Finalizado",_xlfn.XLOOKUP(P17,Resumen!$A$6:$A$22,Resumen!H$6:H$22,0)+_xlfn.XLOOKUP(P17,Resumen!$A$6:$A$22,Resumen!I$6:I$22,0),"")</f>
        <v>0</v>
      </c>
      <c r="T17" s="44">
        <f t="shared" ca="1" si="5"/>
        <v>0</v>
      </c>
      <c r="U17" s="44">
        <f t="shared" ca="1" si="9"/>
        <v>0</v>
      </c>
      <c r="V17" s="44">
        <f t="shared" ca="1" si="10"/>
        <v>1</v>
      </c>
      <c r="W17" s="44">
        <f t="shared" ca="1" si="6"/>
        <v>1</v>
      </c>
      <c r="X17" s="45">
        <f t="shared" ca="1" si="7"/>
        <v>5</v>
      </c>
      <c r="Y17" s="207"/>
      <c r="AA17" s="19" t="s">
        <v>253</v>
      </c>
      <c r="AB17"/>
      <c r="AC17" s="46" t="str">
        <f t="shared" ca="1" si="11"/>
        <v>La Nueva Era</v>
      </c>
      <c r="AD17">
        <f t="shared" ca="1" si="12"/>
        <v>17</v>
      </c>
      <c r="AE17">
        <f t="shared" ca="1" si="13"/>
        <v>3</v>
      </c>
      <c r="AF17">
        <f t="shared" ca="1" si="14"/>
        <v>0</v>
      </c>
      <c r="AG17">
        <f t="shared" ca="1" si="15"/>
        <v>14</v>
      </c>
      <c r="AH17">
        <f t="shared" ca="1" si="16"/>
        <v>34</v>
      </c>
      <c r="AI17">
        <f t="shared" ca="1" si="17"/>
        <v>117</v>
      </c>
      <c r="AJ17">
        <f t="shared" ca="1" si="18"/>
        <v>-83</v>
      </c>
      <c r="AK17">
        <f t="shared" ca="1" si="19"/>
        <v>45</v>
      </c>
      <c r="AL17">
        <f t="shared" ca="1" si="20"/>
        <v>9</v>
      </c>
    </row>
    <row r="18" spans="1:38" ht="16.5" thickBot="1" x14ac:dyDescent="0.3">
      <c r="A18" s="214"/>
      <c r="B18" s="61">
        <f>IF(Fixture!C17,Fixture!C17,"")</f>
        <v>45704</v>
      </c>
      <c r="C18" s="58">
        <v>0.67361111111111105</v>
      </c>
      <c r="D18" s="82" t="str">
        <f t="shared" ca="1" si="21"/>
        <v>Finalizado</v>
      </c>
      <c r="E18" s="208"/>
      <c r="F18" s="90">
        <f>+Fixture!B17</f>
        <v>16</v>
      </c>
      <c r="G18" s="42" t="str">
        <f>IF(VLOOKUP(F18,Fixture!$B$2:$F$137,3,FALSE)&lt;&gt;0,VLOOKUP(F18,Fixture!$B$2:$F$137,3,FALSE),"")</f>
        <v>CD El Corozo</v>
      </c>
      <c r="H18" s="48">
        <f ca="1">IF($D18="Finalizado",_xlfn.XLOOKUP(G18,Resumen!$A$6:$A$22,Resumen!F$6:F$22,0),"")</f>
        <v>2</v>
      </c>
      <c r="I18" s="48">
        <f ca="1">IF($D18="Finalizado",_xlfn.XLOOKUP(G18,Resumen!$A$6:$A$22,Resumen!G$6:G$22,0),"")</f>
        <v>0</v>
      </c>
      <c r="J18" s="48">
        <f ca="1">IF($D18="Finalizado",_xlfn.XLOOKUP(G18,Resumen!$A$6:$A$22,Resumen!H$6:H$22,0)+_xlfn.XLOOKUP(G18,Resumen!$A$6:$A$22,Resumen!I$6:I$22,0),"")</f>
        <v>0</v>
      </c>
      <c r="K18" s="48">
        <f t="shared" ca="1" si="0"/>
        <v>0</v>
      </c>
      <c r="L18" s="48">
        <f t="shared" ca="1" si="1"/>
        <v>0</v>
      </c>
      <c r="M18" s="48">
        <f t="shared" ca="1" si="2"/>
        <v>1</v>
      </c>
      <c r="N18" s="48">
        <f t="shared" ca="1" si="3"/>
        <v>1</v>
      </c>
      <c r="O18" s="49">
        <f t="shared" ca="1" si="4"/>
        <v>0</v>
      </c>
      <c r="P18" s="42" t="str">
        <f>IF(VLOOKUP(F18,Fixture!$B$2:$F$137,5,FALSE)&lt;&gt;0,VLOOKUP(F18,Fixture!$B$2:$F$137,5,FALSE),"")</f>
        <v>Villanueva</v>
      </c>
      <c r="Q18" s="48">
        <f ca="1">IF($D18="Finalizado",_xlfn.XLOOKUP(P18,Resumen!$A$6:$A$22,Resumen!F$6:F$22,0),"")</f>
        <v>3</v>
      </c>
      <c r="R18" s="48">
        <f ca="1">IF($D18="Finalizado",_xlfn.XLOOKUP(P18,Resumen!$A$6:$A$22,Resumen!G$6:G$22,0),"")</f>
        <v>1</v>
      </c>
      <c r="S18" s="48">
        <f ca="1">IF($D18="Finalizado",_xlfn.XLOOKUP(P18,Resumen!$A$6:$A$22,Resumen!H$6:H$22,0)+_xlfn.XLOOKUP(P18,Resumen!$A$6:$A$22,Resumen!I$6:I$22,0),"")</f>
        <v>0</v>
      </c>
      <c r="T18" s="44">
        <f t="shared" ca="1" si="5"/>
        <v>1</v>
      </c>
      <c r="U18" s="44">
        <f t="shared" ca="1" si="9"/>
        <v>0</v>
      </c>
      <c r="V18" s="44">
        <f t="shared" ca="1" si="10"/>
        <v>0</v>
      </c>
      <c r="W18" s="48">
        <f t="shared" ca="1" si="6"/>
        <v>1</v>
      </c>
      <c r="X18" s="49">
        <f t="shared" ca="1" si="7"/>
        <v>5</v>
      </c>
      <c r="Y18" s="208"/>
      <c r="AA18" s="19" t="s">
        <v>383</v>
      </c>
      <c r="AB18"/>
      <c r="AC18" s="46" t="str">
        <f t="shared" ca="1" si="11"/>
        <v>Rayos FC</v>
      </c>
      <c r="AD18">
        <f t="shared" ca="1" si="12"/>
        <v>15</v>
      </c>
      <c r="AE18">
        <f t="shared" ca="1" si="13"/>
        <v>1</v>
      </c>
      <c r="AF18">
        <f t="shared" ca="1" si="14"/>
        <v>0</v>
      </c>
      <c r="AG18">
        <f t="shared" ca="1" si="15"/>
        <v>14</v>
      </c>
      <c r="AH18">
        <f t="shared" ca="1" si="16"/>
        <v>6</v>
      </c>
      <c r="AI18">
        <f t="shared" ca="1" si="17"/>
        <v>50</v>
      </c>
      <c r="AJ18">
        <f t="shared" ca="1" si="18"/>
        <v>-44</v>
      </c>
      <c r="AK18">
        <f t="shared" ca="1" si="19"/>
        <v>370</v>
      </c>
      <c r="AL18">
        <f t="shared" ca="1" si="20"/>
        <v>3</v>
      </c>
    </row>
    <row r="19" spans="1:38" x14ac:dyDescent="0.25">
      <c r="A19" s="212" t="s">
        <v>7</v>
      </c>
      <c r="B19" s="60">
        <f>IF(Fixture!C18,Fixture!C18,"")</f>
        <v>45690</v>
      </c>
      <c r="C19" s="58">
        <v>0.33333333333333331</v>
      </c>
      <c r="D19" s="82" t="str">
        <f t="shared" ca="1" si="21"/>
        <v>Finalizado</v>
      </c>
      <c r="E19" s="206" t="s">
        <v>114</v>
      </c>
      <c r="F19" s="43">
        <f>+Fixture!B18</f>
        <v>17</v>
      </c>
      <c r="G19" s="42" t="str">
        <f>IF(VLOOKUP(F19,Fixture!$B$2:$F$137,3,FALSE)&lt;&gt;0,VLOOKUP(F19,Fixture!$B$2:$F$137,3,FALSE),"")</f>
        <v>La Unión FC</v>
      </c>
      <c r="H19" s="44">
        <f ca="1">IF($D19="Finalizado",_xlfn.XLOOKUP(G19,Resumen!$A$6:$A$22,Resumen!J$6:J$22,0),"")</f>
        <v>3</v>
      </c>
      <c r="I19" s="44">
        <f ca="1">IF($D19="Finalizado",_xlfn.XLOOKUP(G19,Resumen!$A$6:$A$22,Resumen!K$6:K$22,0),"")</f>
        <v>3</v>
      </c>
      <c r="J19" s="44">
        <f ca="1">IF($D19="Finalizado",_xlfn.XLOOKUP(G19,Resumen!$A$6:$A$22,Resumen!L$6:L$22,0)+_xlfn.XLOOKUP(G19,Resumen!$A$6:$A$22,Resumen!M$6:M$22,0),"")</f>
        <v>0</v>
      </c>
      <c r="K19" s="44">
        <f t="shared" ca="1" si="0"/>
        <v>1</v>
      </c>
      <c r="L19" s="44">
        <f t="shared" ca="1" si="1"/>
        <v>0</v>
      </c>
      <c r="M19" s="44">
        <f t="shared" ca="1" si="2"/>
        <v>0</v>
      </c>
      <c r="N19" s="44">
        <f t="shared" ca="1" si="3"/>
        <v>1</v>
      </c>
      <c r="O19" s="45">
        <f t="shared" ca="1" si="4"/>
        <v>15</v>
      </c>
      <c r="P19" s="42" t="str">
        <f>IF(VLOOKUP(F19,Fixture!$B$2:$F$137,5,FALSE)&lt;&gt;0,VLOOKUP(F19,Fixture!$B$2:$F$137,5,FALSE),"")</f>
        <v>La Amistad</v>
      </c>
      <c r="Q19" s="44">
        <f ca="1">IF($D19="Finalizado",_xlfn.XLOOKUP(P19,Resumen!$A$6:$A$22,Resumen!J$6:J$22,0),"")</f>
        <v>0</v>
      </c>
      <c r="R19" s="44">
        <f ca="1">IF($D19="Finalizado",_xlfn.XLOOKUP(P19,Resumen!$A$6:$A$22,Resumen!K$6:K$22,0),"")</f>
        <v>0</v>
      </c>
      <c r="S19" s="44">
        <f ca="1">IF($D19="Finalizado",_xlfn.XLOOKUP(P19,Resumen!$A$6:$A$22,Resumen!L$6:L$22,0)+_xlfn.XLOOKUP(P19,Resumen!$A$6:$A$22,Resumen!M$6:M$22,0),"")</f>
        <v>0</v>
      </c>
      <c r="T19" s="44">
        <f t="shared" ca="1" si="5"/>
        <v>0</v>
      </c>
      <c r="U19" s="44">
        <f t="shared" ca="1" si="9"/>
        <v>0</v>
      </c>
      <c r="V19" s="44">
        <f t="shared" ca="1" si="10"/>
        <v>1</v>
      </c>
      <c r="W19" s="44">
        <f t="shared" ca="1" si="6"/>
        <v>1</v>
      </c>
      <c r="X19" s="45">
        <f t="shared" ca="1" si="7"/>
        <v>0</v>
      </c>
      <c r="Y19" s="206" t="str">
        <f>+A19</f>
        <v>Fecha 3</v>
      </c>
      <c r="AA19" s="19"/>
      <c r="AB19"/>
      <c r="AC19" s="46"/>
      <c r="AD19"/>
      <c r="AE19"/>
      <c r="AF19"/>
      <c r="AG19"/>
      <c r="AH19"/>
      <c r="AI19"/>
      <c r="AJ19"/>
      <c r="AK19"/>
      <c r="AL19"/>
    </row>
    <row r="20" spans="1:38" x14ac:dyDescent="0.25">
      <c r="A20" s="213"/>
      <c r="B20" s="61">
        <f>IF(Fixture!C19,Fixture!C19,"")</f>
        <v>45690</v>
      </c>
      <c r="C20" s="58">
        <v>0.38194444444444442</v>
      </c>
      <c r="D20" s="82" t="str">
        <f t="shared" ca="1" si="21"/>
        <v>Finalizado</v>
      </c>
      <c r="E20" s="207"/>
      <c r="F20" s="43">
        <f>+Fixture!B19</f>
        <v>18</v>
      </c>
      <c r="G20" s="42" t="str">
        <f>IF(VLOOKUP(F20,Fixture!$B$2:$F$137,3,FALSE)&lt;&gt;0,VLOOKUP(F20,Fixture!$B$2:$F$137,3,FALSE),"")</f>
        <v>Los Aliados</v>
      </c>
      <c r="H20" s="44">
        <f ca="1">IF($D20="Finalizado",_xlfn.XLOOKUP(G20,Resumen!$A$6:$A$22,Resumen!J$6:J$22,0),"")</f>
        <v>0</v>
      </c>
      <c r="I20" s="44">
        <f ca="1">IF($D20="Finalizado",_xlfn.XLOOKUP(G20,Resumen!$A$6:$A$22,Resumen!K$6:K$22,0),"")</f>
        <v>1</v>
      </c>
      <c r="J20" s="44">
        <f ca="1">IF($D20="Finalizado",_xlfn.XLOOKUP(G20,Resumen!$A$6:$A$22,Resumen!L$6:L$22,0)+_xlfn.XLOOKUP(G20,Resumen!$A$6:$A$22,Resumen!M$6:M$22,0),"")</f>
        <v>0</v>
      </c>
      <c r="K20" s="44">
        <f t="shared" ca="1" si="0"/>
        <v>0</v>
      </c>
      <c r="L20" s="44">
        <f t="shared" ca="1" si="1"/>
        <v>0</v>
      </c>
      <c r="M20" s="44">
        <f t="shared" ca="1" si="2"/>
        <v>1</v>
      </c>
      <c r="N20" s="44">
        <f t="shared" ca="1" si="3"/>
        <v>1</v>
      </c>
      <c r="O20" s="45">
        <f t="shared" ca="1" si="4"/>
        <v>5</v>
      </c>
      <c r="P20" s="42" t="str">
        <f>IF(VLOOKUP(F20,Fixture!$B$2:$F$137,5,FALSE)&lt;&gt;0,VLOOKUP(F20,Fixture!$B$2:$F$137,5,FALSE),"")</f>
        <v>Amenadim</v>
      </c>
      <c r="Q20" s="44">
        <f ca="1">IF($D20="Finalizado",_xlfn.XLOOKUP(P20,Resumen!$A$6:$A$22,Resumen!J$6:J$22,0),"")</f>
        <v>10</v>
      </c>
      <c r="R20" s="44">
        <f ca="1">IF($D20="Finalizado",_xlfn.XLOOKUP(P20,Resumen!$A$6:$A$22,Resumen!K$6:K$22,0),"")</f>
        <v>0</v>
      </c>
      <c r="S20" s="44">
        <f ca="1">IF($D20="Finalizado",_xlfn.XLOOKUP(P20,Resumen!$A$6:$A$22,Resumen!L$6:L$22,0)+_xlfn.XLOOKUP(P20,Resumen!$A$6:$A$22,Resumen!M$6:M$22,0),"")</f>
        <v>0</v>
      </c>
      <c r="T20" s="44">
        <f t="shared" ca="1" si="5"/>
        <v>1</v>
      </c>
      <c r="U20" s="44">
        <f t="shared" ca="1" si="9"/>
        <v>0</v>
      </c>
      <c r="V20" s="44">
        <f t="shared" ca="1" si="10"/>
        <v>0</v>
      </c>
      <c r="W20" s="44">
        <f t="shared" ca="1" si="6"/>
        <v>1</v>
      </c>
      <c r="X20" s="45">
        <f t="shared" ca="1" si="7"/>
        <v>0</v>
      </c>
      <c r="Y20" s="207"/>
    </row>
    <row r="21" spans="1:38" x14ac:dyDescent="0.25">
      <c r="A21" s="213"/>
      <c r="B21" s="61">
        <f>IF(Fixture!C20,Fixture!C20,"")</f>
        <v>45690</v>
      </c>
      <c r="C21" s="58">
        <v>0.43055555555555602</v>
      </c>
      <c r="D21" s="82" t="str">
        <f t="shared" ca="1" si="21"/>
        <v>Finalizado</v>
      </c>
      <c r="E21" s="207"/>
      <c r="F21" s="43">
        <f>+Fixture!B20</f>
        <v>19</v>
      </c>
      <c r="G21" s="42" t="str">
        <f>IF(VLOOKUP(F21,Fixture!$B$2:$F$137,3,FALSE)&lt;&gt;0,VLOOKUP(F21,Fixture!$B$2:$F$137,3,FALSE),"")</f>
        <v>Valentín FC</v>
      </c>
      <c r="H21" s="44">
        <f ca="1">IF($D21="Finalizado",_xlfn.XLOOKUP(G21,Resumen!$A$6:$A$22,Resumen!J$6:J$22,0),"")</f>
        <v>3</v>
      </c>
      <c r="I21" s="44">
        <f ca="1">IF($D21="Finalizado",_xlfn.XLOOKUP(G21,Resumen!$A$6:$A$22,Resumen!K$6:K$22,0),"")</f>
        <v>2</v>
      </c>
      <c r="J21" s="44">
        <f ca="1">IF($D21="Finalizado",_xlfn.XLOOKUP(G21,Resumen!$A$6:$A$22,Resumen!L$6:L$22,0)+_xlfn.XLOOKUP(G21,Resumen!$A$6:$A$22,Resumen!M$6:M$22,0),"")</f>
        <v>0</v>
      </c>
      <c r="K21" s="44">
        <f t="shared" ca="1" si="0"/>
        <v>0</v>
      </c>
      <c r="L21" s="44">
        <f t="shared" ca="1" si="1"/>
        <v>1</v>
      </c>
      <c r="M21" s="44">
        <f t="shared" ca="1" si="2"/>
        <v>0</v>
      </c>
      <c r="N21" s="44">
        <f t="shared" ca="1" si="3"/>
        <v>1</v>
      </c>
      <c r="O21" s="45">
        <f t="shared" ca="1" si="4"/>
        <v>10</v>
      </c>
      <c r="P21" s="42" t="str">
        <f>IF(VLOOKUP(F21,Fixture!$B$2:$F$137,5,FALSE)&lt;&gt;0,VLOOKUP(F21,Fixture!$B$2:$F$137,5,FALSE),"")</f>
        <v>Hojas Anchas</v>
      </c>
      <c r="Q21" s="44">
        <f ca="1">IF($D21="Finalizado",_xlfn.XLOOKUP(P21,Resumen!$A$6:$A$22,Resumen!J$6:J$22,0),"")</f>
        <v>3</v>
      </c>
      <c r="R21" s="44">
        <f ca="1">IF($D21="Finalizado",_xlfn.XLOOKUP(P21,Resumen!$A$6:$A$22,Resumen!K$6:K$22,0),"")</f>
        <v>1</v>
      </c>
      <c r="S21" s="44">
        <f ca="1">IF($D21="Finalizado",_xlfn.XLOOKUP(P21,Resumen!$A$6:$A$22,Resumen!L$6:L$22,0)+_xlfn.XLOOKUP(P21,Resumen!$A$6:$A$22,Resumen!M$6:M$22,0),"")</f>
        <v>0</v>
      </c>
      <c r="T21" s="44">
        <f t="shared" ca="1" si="5"/>
        <v>0</v>
      </c>
      <c r="U21" s="44">
        <f t="shared" ca="1" si="9"/>
        <v>1</v>
      </c>
      <c r="V21" s="44">
        <f t="shared" ca="1" si="10"/>
        <v>0</v>
      </c>
      <c r="W21" s="44">
        <f t="shared" ca="1" si="6"/>
        <v>1</v>
      </c>
      <c r="X21" s="45">
        <f t="shared" ca="1" si="7"/>
        <v>5</v>
      </c>
      <c r="Y21" s="207"/>
    </row>
    <row r="22" spans="1:38" x14ac:dyDescent="0.25">
      <c r="A22" s="213"/>
      <c r="B22" s="61">
        <f>IF(Fixture!C21,Fixture!C21,"")</f>
        <v>45690</v>
      </c>
      <c r="C22" s="58">
        <v>0.47916666666666602</v>
      </c>
      <c r="D22" s="82" t="str">
        <f t="shared" ca="1" si="21"/>
        <v>Finalizado</v>
      </c>
      <c r="E22" s="207"/>
      <c r="F22" s="43">
        <f>+Fixture!B21</f>
        <v>20</v>
      </c>
      <c r="G22" s="42" t="str">
        <f>IF(VLOOKUP(F22,Fixture!$B$2:$F$137,3,FALSE)&lt;&gt;0,VLOOKUP(F22,Fixture!$B$2:$F$137,3,FALSE),"")</f>
        <v>Boca Juniors</v>
      </c>
      <c r="H22" s="44">
        <f ca="1">IF($D22="Finalizado",_xlfn.XLOOKUP(G22,Resumen!$A$6:$A$22,Resumen!J$6:J$22,0),"")</f>
        <v>3</v>
      </c>
      <c r="I22" s="44">
        <f ca="1">IF($D22="Finalizado",_xlfn.XLOOKUP(G22,Resumen!$A$6:$A$22,Resumen!K$6:K$22,0),"")</f>
        <v>3</v>
      </c>
      <c r="J22" s="44">
        <f ca="1">IF($D22="Finalizado",_xlfn.XLOOKUP(G22,Resumen!$A$6:$A$22,Resumen!L$6:L$22,0)+_xlfn.XLOOKUP(G22,Resumen!$A$6:$A$22,Resumen!M$6:M$22,0),"")</f>
        <v>0</v>
      </c>
      <c r="K22" s="44">
        <f t="shared" ca="1" si="0"/>
        <v>1</v>
      </c>
      <c r="L22" s="44">
        <f t="shared" ca="1" si="1"/>
        <v>0</v>
      </c>
      <c r="M22" s="44">
        <f t="shared" ca="1" si="2"/>
        <v>0</v>
      </c>
      <c r="N22" s="44">
        <f t="shared" ca="1" si="3"/>
        <v>1</v>
      </c>
      <c r="O22" s="45">
        <f t="shared" ca="1" si="4"/>
        <v>15</v>
      </c>
      <c r="P22" s="42" t="str">
        <f>IF(VLOOKUP(F22,Fixture!$B$2:$F$137,5,FALSE)&lt;&gt;0,VLOOKUP(F22,Fixture!$B$2:$F$137,5,FALSE),"")</f>
        <v>Ron Star</v>
      </c>
      <c r="Q22" s="44">
        <f ca="1">IF($D22="Finalizado",_xlfn.XLOOKUP(P22,Resumen!$A$6:$A$22,Resumen!J$6:J$22,0),"")</f>
        <v>1</v>
      </c>
      <c r="R22" s="44">
        <f ca="1">IF($D22="Finalizado",_xlfn.XLOOKUP(P22,Resumen!$A$6:$A$22,Resumen!K$6:K$22,0),"")</f>
        <v>1</v>
      </c>
      <c r="S22" s="44">
        <f ca="1">IF($D22="Finalizado",_xlfn.XLOOKUP(P22,Resumen!$A$6:$A$22,Resumen!L$6:L$22,0)+_xlfn.XLOOKUP(P22,Resumen!$A$6:$A$22,Resumen!M$6:M$22,0),"")</f>
        <v>0</v>
      </c>
      <c r="T22" s="44">
        <f t="shared" ca="1" si="5"/>
        <v>0</v>
      </c>
      <c r="U22" s="44">
        <f t="shared" ca="1" si="9"/>
        <v>0</v>
      </c>
      <c r="V22" s="44">
        <f t="shared" ca="1" si="10"/>
        <v>1</v>
      </c>
      <c r="W22" s="44">
        <f t="shared" ca="1" si="6"/>
        <v>1</v>
      </c>
      <c r="X22" s="45">
        <f t="shared" ca="1" si="7"/>
        <v>5</v>
      </c>
      <c r="Y22" s="207"/>
    </row>
    <row r="23" spans="1:38" x14ac:dyDescent="0.25">
      <c r="A23" s="213"/>
      <c r="B23" s="61">
        <f>IF(Fixture!C22,Fixture!C22,"")</f>
        <v>45690</v>
      </c>
      <c r="C23" s="58">
        <v>0.52777777777777701</v>
      </c>
      <c r="D23" s="82" t="str">
        <f t="shared" ca="1" si="21"/>
        <v>Finalizado</v>
      </c>
      <c r="E23" s="207"/>
      <c r="F23" s="43">
        <f>+Fixture!B22</f>
        <v>21</v>
      </c>
      <c r="G23" s="42" t="str">
        <f>IF(VLOOKUP(F23,Fixture!$B$2:$F$137,3,FALSE)&lt;&gt;0,VLOOKUP(F23,Fixture!$B$2:$F$137,3,FALSE),"")</f>
        <v>Atalanta</v>
      </c>
      <c r="H23" s="44">
        <f ca="1">IF($D23="Finalizado",_xlfn.XLOOKUP(G23,Resumen!$A$6:$A$22,Resumen!J$6:J$22,0),"")</f>
        <v>3</v>
      </c>
      <c r="I23" s="44">
        <f ca="1">IF($D23="Finalizado",_xlfn.XLOOKUP(G23,Resumen!$A$6:$A$22,Resumen!K$6:K$22,0),"")</f>
        <v>0</v>
      </c>
      <c r="J23" s="44">
        <f ca="1">IF($D23="Finalizado",_xlfn.XLOOKUP(G23,Resumen!$A$6:$A$22,Resumen!L$6:L$22,0)+_xlfn.XLOOKUP(G23,Resumen!$A$6:$A$22,Resumen!M$6:M$22,0),"")</f>
        <v>0</v>
      </c>
      <c r="K23" s="44">
        <f t="shared" ca="1" si="0"/>
        <v>0</v>
      </c>
      <c r="L23" s="44">
        <f t="shared" ca="1" si="1"/>
        <v>0</v>
      </c>
      <c r="M23" s="44">
        <f t="shared" ca="1" si="2"/>
        <v>1</v>
      </c>
      <c r="N23" s="44">
        <f t="shared" ca="1" si="3"/>
        <v>1</v>
      </c>
      <c r="O23" s="45">
        <f t="shared" ca="1" si="4"/>
        <v>0</v>
      </c>
      <c r="P23" s="42" t="str">
        <f>IF(VLOOKUP(F23,Fixture!$B$2:$F$137,5,FALSE)&lt;&gt;0,VLOOKUP(F23,Fixture!$B$2:$F$137,5,FALSE),"")</f>
        <v>Los Amigos</v>
      </c>
      <c r="Q23" s="44">
        <f ca="1">IF($D23="Finalizado",_xlfn.XLOOKUP(P23,Resumen!$A$6:$A$22,Resumen!J$6:J$22,0),"")</f>
        <v>7</v>
      </c>
      <c r="R23" s="44">
        <f ca="1">IF($D23="Finalizado",_xlfn.XLOOKUP(P23,Resumen!$A$6:$A$22,Resumen!K$6:K$22,0),"")</f>
        <v>0</v>
      </c>
      <c r="S23" s="44">
        <f ca="1">IF($D23="Finalizado",_xlfn.XLOOKUP(P23,Resumen!$A$6:$A$22,Resumen!L$6:L$22,0)+_xlfn.XLOOKUP(P23,Resumen!$A$6:$A$22,Resumen!M$6:M$22,0),"")</f>
        <v>0</v>
      </c>
      <c r="T23" s="44">
        <f t="shared" ca="1" si="5"/>
        <v>1</v>
      </c>
      <c r="U23" s="44">
        <f t="shared" ca="1" si="9"/>
        <v>0</v>
      </c>
      <c r="V23" s="44">
        <f t="shared" ca="1" si="10"/>
        <v>0</v>
      </c>
      <c r="W23" s="44">
        <f t="shared" ca="1" si="6"/>
        <v>1</v>
      </c>
      <c r="X23" s="45">
        <f t="shared" ca="1" si="7"/>
        <v>0</v>
      </c>
      <c r="Y23" s="207"/>
    </row>
    <row r="24" spans="1:38" x14ac:dyDescent="0.25">
      <c r="A24" s="213"/>
      <c r="B24" s="61">
        <f>IF(Fixture!C23,Fixture!C23,"")</f>
        <v>45690</v>
      </c>
      <c r="C24" s="58">
        <v>0.57638888888888895</v>
      </c>
      <c r="D24" s="82" t="str">
        <f t="shared" ca="1" si="21"/>
        <v>Finalizado</v>
      </c>
      <c r="E24" s="207"/>
      <c r="F24" s="43">
        <f>+Fixture!B23</f>
        <v>22</v>
      </c>
      <c r="G24" s="42" t="str">
        <f>IF(VLOOKUP(F24,Fixture!$B$2:$F$137,3,FALSE)&lt;&gt;0,VLOOKUP(F24,Fixture!$B$2:$F$137,3,FALSE),"")</f>
        <v>Rayos FC</v>
      </c>
      <c r="H24" s="44">
        <f ca="1">IF($D24="Finalizado",_xlfn.XLOOKUP(G24,Resumen!$A$6:$A$22,Resumen!J$6:J$22,0),"")</f>
        <v>2</v>
      </c>
      <c r="I24" s="44">
        <f ca="1">IF($D24="Finalizado",_xlfn.XLOOKUP(G24,Resumen!$A$6:$A$22,Resumen!K$6:K$22,0),"")</f>
        <v>0</v>
      </c>
      <c r="J24" s="44">
        <f ca="1">IF($D24="Finalizado",_xlfn.XLOOKUP(G24,Resumen!$A$6:$A$22,Resumen!L$6:L$22,0)+_xlfn.XLOOKUP(G24,Resumen!$A$6:$A$22,Resumen!M$6:M$22,0),"")</f>
        <v>0</v>
      </c>
      <c r="K24" s="44">
        <f t="shared" ca="1" si="0"/>
        <v>0</v>
      </c>
      <c r="L24" s="44">
        <f t="shared" ca="1" si="1"/>
        <v>0</v>
      </c>
      <c r="M24" s="44">
        <f t="shared" ca="1" si="2"/>
        <v>1</v>
      </c>
      <c r="N24" s="44">
        <f t="shared" ca="1" si="3"/>
        <v>1</v>
      </c>
      <c r="O24" s="45">
        <f t="shared" ca="1" si="4"/>
        <v>0</v>
      </c>
      <c r="P24" s="42" t="str">
        <f>IF(VLOOKUP(F24,Fixture!$B$2:$F$137,5,FALSE)&lt;&gt;0,VLOOKUP(F24,Fixture!$B$2:$F$137,5,FALSE),"")</f>
        <v>Konami</v>
      </c>
      <c r="Q24" s="44">
        <f ca="1">IF($D24="Finalizado",_xlfn.XLOOKUP(P24,Resumen!$A$6:$A$22,Resumen!J$6:J$22,0),"")</f>
        <v>8</v>
      </c>
      <c r="R24" s="44">
        <f ca="1">IF($D24="Finalizado",_xlfn.XLOOKUP(P24,Resumen!$A$6:$A$22,Resumen!K$6:K$22,0),"")</f>
        <v>0</v>
      </c>
      <c r="S24" s="44">
        <f ca="1">IF($D24="Finalizado",_xlfn.XLOOKUP(P24,Resumen!$A$6:$A$22,Resumen!L$6:L$22,0)+_xlfn.XLOOKUP(P24,Resumen!$A$6:$A$22,Resumen!M$6:M$22,0),"")</f>
        <v>0</v>
      </c>
      <c r="T24" s="44">
        <f t="shared" ca="1" si="5"/>
        <v>1</v>
      </c>
      <c r="U24" s="44">
        <f t="shared" ca="1" si="9"/>
        <v>0</v>
      </c>
      <c r="V24" s="44">
        <f t="shared" ca="1" si="10"/>
        <v>0</v>
      </c>
      <c r="W24" s="44">
        <f t="shared" ca="1" si="6"/>
        <v>1</v>
      </c>
      <c r="X24" s="45">
        <f t="shared" ca="1" si="7"/>
        <v>0</v>
      </c>
      <c r="Y24" s="207"/>
    </row>
    <row r="25" spans="1:38" x14ac:dyDescent="0.25">
      <c r="A25" s="213"/>
      <c r="B25" s="61">
        <f>IF(Fixture!C24,Fixture!C24,"")</f>
        <v>45690</v>
      </c>
      <c r="C25" s="58">
        <v>0.625</v>
      </c>
      <c r="D25" s="82" t="str">
        <f t="shared" ca="1" si="21"/>
        <v>Finalizado</v>
      </c>
      <c r="E25" s="207"/>
      <c r="F25" s="43">
        <f>+Fixture!B24</f>
        <v>23</v>
      </c>
      <c r="G25" s="42" t="str">
        <f>IF(VLOOKUP(F25,Fixture!$B$2:$F$137,3,FALSE)&lt;&gt;0,VLOOKUP(F25,Fixture!$B$2:$F$137,3,FALSE),"")</f>
        <v>Deportivo Fénix</v>
      </c>
      <c r="H25" s="44">
        <f ca="1">IF($D25="Finalizado",_xlfn.XLOOKUP(G25,Resumen!$A$6:$A$22,Resumen!J$6:J$22,0),"")</f>
        <v>1</v>
      </c>
      <c r="I25" s="44">
        <f ca="1">IF($D25="Finalizado",_xlfn.XLOOKUP(G25,Resumen!$A$6:$A$22,Resumen!K$6:K$22,0),"")</f>
        <v>0</v>
      </c>
      <c r="J25" s="44">
        <f ca="1">IF($D25="Finalizado",_xlfn.XLOOKUP(G25,Resumen!$A$6:$A$22,Resumen!L$6:L$22,0)+_xlfn.XLOOKUP(G25,Resumen!$A$6:$A$22,Resumen!M$6:M$22,0),"")</f>
        <v>0</v>
      </c>
      <c r="K25" s="44">
        <f t="shared" ca="1" si="0"/>
        <v>0</v>
      </c>
      <c r="L25" s="44">
        <f t="shared" ca="1" si="1"/>
        <v>0</v>
      </c>
      <c r="M25" s="44">
        <f t="shared" ca="1" si="2"/>
        <v>1</v>
      </c>
      <c r="N25" s="44">
        <f t="shared" ca="1" si="3"/>
        <v>1</v>
      </c>
      <c r="O25" s="45">
        <f t="shared" ca="1" si="4"/>
        <v>0</v>
      </c>
      <c r="P25" s="42" t="str">
        <f>IF(VLOOKUP(F25,Fixture!$B$2:$F$137,5,FALSE)&lt;&gt;0,VLOOKUP(F25,Fixture!$B$2:$F$137,5,FALSE),"")</f>
        <v>Villanueva</v>
      </c>
      <c r="Q25" s="44">
        <f ca="1">IF($D25="Finalizado",_xlfn.XLOOKUP(P25,Resumen!$A$6:$A$22,Resumen!J$6:J$22,0),"")</f>
        <v>10</v>
      </c>
      <c r="R25" s="44">
        <f ca="1">IF($D25="Finalizado",_xlfn.XLOOKUP(P25,Resumen!$A$6:$A$22,Resumen!K$6:K$22,0),"")</f>
        <v>0</v>
      </c>
      <c r="S25" s="44">
        <f ca="1">IF($D25="Finalizado",_xlfn.XLOOKUP(P25,Resumen!$A$6:$A$22,Resumen!L$6:L$22,0)+_xlfn.XLOOKUP(P25,Resumen!$A$6:$A$22,Resumen!M$6:M$22,0),"")</f>
        <v>0</v>
      </c>
      <c r="T25" s="44">
        <f t="shared" ca="1" si="5"/>
        <v>1</v>
      </c>
      <c r="U25" s="44">
        <f t="shared" ca="1" si="9"/>
        <v>0</v>
      </c>
      <c r="V25" s="44">
        <f t="shared" ca="1" si="10"/>
        <v>0</v>
      </c>
      <c r="W25" s="44">
        <f t="shared" ca="1" si="6"/>
        <v>1</v>
      </c>
      <c r="X25" s="45">
        <f t="shared" ca="1" si="7"/>
        <v>0</v>
      </c>
      <c r="Y25" s="207"/>
    </row>
    <row r="26" spans="1:38" ht="16.5" thickBot="1" x14ac:dyDescent="0.3">
      <c r="A26" s="214"/>
      <c r="B26" s="61">
        <f>IF(Fixture!C25,Fixture!C25,"")</f>
        <v>45774</v>
      </c>
      <c r="C26" s="58">
        <v>0.67361111111111105</v>
      </c>
      <c r="D26" s="82" t="str">
        <f t="shared" ca="1" si="21"/>
        <v>Finalizado</v>
      </c>
      <c r="E26" s="208"/>
      <c r="F26" s="90">
        <f>+Fixture!B25</f>
        <v>24</v>
      </c>
      <c r="G26" s="42" t="str">
        <f>IF(VLOOKUP(F26,Fixture!$B$2:$F$137,3,FALSE)&lt;&gt;0,VLOOKUP(F26,Fixture!$B$2:$F$137,3,FALSE),"")</f>
        <v>CD El Corozo</v>
      </c>
      <c r="H26" s="48">
        <f ca="1">IF($D26="Finalizado",_xlfn.XLOOKUP(G26,Resumen!$A$6:$A$22,Resumen!J$6:J$22,0),"")</f>
        <v>18</v>
      </c>
      <c r="I26" s="48">
        <f ca="1">IF($D26="Finalizado",_xlfn.XLOOKUP(G26,Resumen!$A$6:$A$22,Resumen!K$6:K$22,0),"")</f>
        <v>1</v>
      </c>
      <c r="J26" s="48">
        <f ca="1">IF($D26="Finalizado",_xlfn.XLOOKUP(G26,Resumen!$A$6:$A$22,Resumen!L$6:L$22,0)+_xlfn.XLOOKUP(G26,Resumen!$A$6:$A$22,Resumen!M$6:M$22,0),"")</f>
        <v>0</v>
      </c>
      <c r="K26" s="48">
        <f t="shared" ca="1" si="0"/>
        <v>1</v>
      </c>
      <c r="L26" s="48">
        <f t="shared" ca="1" si="1"/>
        <v>0</v>
      </c>
      <c r="M26" s="48">
        <f t="shared" ca="1" si="2"/>
        <v>0</v>
      </c>
      <c r="N26" s="48">
        <f t="shared" ca="1" si="3"/>
        <v>1</v>
      </c>
      <c r="O26" s="49">
        <f t="shared" ca="1" si="4"/>
        <v>5</v>
      </c>
      <c r="P26" s="42" t="str">
        <f>IF(VLOOKUP(F26,Fixture!$B$2:$F$137,5,FALSE)&lt;&gt;0,VLOOKUP(F26,Fixture!$B$2:$F$137,5,FALSE),"")</f>
        <v>La Nueva Era</v>
      </c>
      <c r="Q26" s="48">
        <f ca="1">IF($D26="Finalizado",_xlfn.XLOOKUP(P26,Resumen!$A$6:$A$22,Resumen!J$6:J$22,0),"")</f>
        <v>0</v>
      </c>
      <c r="R26" s="48">
        <f ca="1">IF($D26="Finalizado",_xlfn.XLOOKUP(P26,Resumen!$A$6:$A$22,Resumen!K$6:K$22,0),"")</f>
        <v>2</v>
      </c>
      <c r="S26" s="48">
        <f ca="1">IF($D26="Finalizado",_xlfn.XLOOKUP(P26,Resumen!$A$6:$A$22,Resumen!L$6:L$22,0)+_xlfn.XLOOKUP(P26,Resumen!$A$6:$A$22,Resumen!M$6:M$22,0),"")</f>
        <v>0</v>
      </c>
      <c r="T26" s="44">
        <f t="shared" ca="1" si="5"/>
        <v>0</v>
      </c>
      <c r="U26" s="44">
        <f t="shared" ca="1" si="9"/>
        <v>0</v>
      </c>
      <c r="V26" s="44">
        <f t="shared" ca="1" si="10"/>
        <v>1</v>
      </c>
      <c r="W26" s="48">
        <f t="shared" ca="1" si="6"/>
        <v>1</v>
      </c>
      <c r="X26" s="49">
        <f t="shared" ca="1" si="7"/>
        <v>10</v>
      </c>
      <c r="Y26" s="208"/>
    </row>
    <row r="27" spans="1:38" x14ac:dyDescent="0.25">
      <c r="A27" s="212" t="s">
        <v>8</v>
      </c>
      <c r="B27" s="60">
        <f>IF(Fixture!C26,Fixture!C26,"")</f>
        <v>45697</v>
      </c>
      <c r="C27" s="58">
        <v>0.33333333333333331</v>
      </c>
      <c r="D27" s="82" t="str">
        <f t="shared" ca="1" si="21"/>
        <v>Finalizado</v>
      </c>
      <c r="E27" s="206" t="s">
        <v>114</v>
      </c>
      <c r="F27" s="43">
        <f>+Fixture!B26</f>
        <v>25</v>
      </c>
      <c r="G27" s="42" t="str">
        <f>IF(VLOOKUP(F27,Fixture!$B$2:$F$137,3,FALSE)&lt;&gt;0,VLOOKUP(F27,Fixture!$B$2:$F$137,3,FALSE),"")</f>
        <v>Konami</v>
      </c>
      <c r="H27" s="44">
        <f ca="1">IF($D27="Finalizado",_xlfn.XLOOKUP(G27,Resumen!$A$6:$A$22,Resumen!N$6:N$22,0),"")</f>
        <v>6</v>
      </c>
      <c r="I27" s="44">
        <f ca="1">IF($D27="Finalizado",_xlfn.XLOOKUP(G27,Resumen!$A$6:$A$22,Resumen!O$6:O$22,0),"")</f>
        <v>0</v>
      </c>
      <c r="J27" s="44">
        <f ca="1">IF($D27="Finalizado",_xlfn.XLOOKUP(G27,Resumen!$A$6:$A$22,Resumen!P$6:P$22,0)+_xlfn.XLOOKUP(G27,Resumen!$A$6:$A$22,Resumen!Q$6:Q$22,0),"")</f>
        <v>0</v>
      </c>
      <c r="K27" s="44">
        <f t="shared" ca="1" si="0"/>
        <v>1</v>
      </c>
      <c r="L27" s="44">
        <f t="shared" ca="1" si="1"/>
        <v>0</v>
      </c>
      <c r="M27" s="44">
        <f t="shared" ca="1" si="2"/>
        <v>0</v>
      </c>
      <c r="N27" s="44">
        <f t="shared" ca="1" si="3"/>
        <v>1</v>
      </c>
      <c r="O27" s="45">
        <f t="shared" ca="1" si="4"/>
        <v>0</v>
      </c>
      <c r="P27" s="42" t="str">
        <f>IF(VLOOKUP(F27,Fixture!$B$2:$F$137,5,FALSE)&lt;&gt;0,VLOOKUP(F27,Fixture!$B$2:$F$137,5,FALSE),"")</f>
        <v>La Nueva Era</v>
      </c>
      <c r="Q27" s="44">
        <f ca="1">IF($D27="Finalizado",_xlfn.XLOOKUP(P27,Resumen!$A$6:$A$22,Resumen!N$6:N$22,0),"")</f>
        <v>1</v>
      </c>
      <c r="R27" s="44">
        <f ca="1">IF($D27="Finalizado",_xlfn.XLOOKUP(P27,Resumen!$A$6:$A$22,Resumen!O$6:O$22,0),"")</f>
        <v>0</v>
      </c>
      <c r="S27" s="44">
        <f ca="1">IF($D27="Finalizado",_xlfn.XLOOKUP(P27,Resumen!$A$6:$A$22,Resumen!P$6:P$22,0)+_xlfn.XLOOKUP(P27,Resumen!$A$6:$A$22,Resumen!Q$6:Q$22,0),"")</f>
        <v>0</v>
      </c>
      <c r="T27" s="44">
        <f t="shared" ca="1" si="5"/>
        <v>0</v>
      </c>
      <c r="U27" s="44">
        <f t="shared" ca="1" si="9"/>
        <v>0</v>
      </c>
      <c r="V27" s="44">
        <f t="shared" ca="1" si="10"/>
        <v>1</v>
      </c>
      <c r="W27" s="44">
        <f t="shared" ca="1" si="6"/>
        <v>1</v>
      </c>
      <c r="X27" s="45">
        <f t="shared" ca="1" si="7"/>
        <v>0</v>
      </c>
      <c r="Y27" s="206" t="str">
        <f>+A27</f>
        <v>Fecha 4</v>
      </c>
    </row>
    <row r="28" spans="1:38" x14ac:dyDescent="0.25">
      <c r="A28" s="213"/>
      <c r="B28" s="61">
        <f>IF(Fixture!C27,Fixture!C27,"")</f>
        <v>45697</v>
      </c>
      <c r="C28" s="58">
        <v>0.38194444444444442</v>
      </c>
      <c r="D28" s="82" t="str">
        <f t="shared" ca="1" si="21"/>
        <v>Finalizado</v>
      </c>
      <c r="E28" s="207"/>
      <c r="F28" s="43">
        <f>+Fixture!B27</f>
        <v>26</v>
      </c>
      <c r="G28" s="42" t="str">
        <f>IF(VLOOKUP(F28,Fixture!$B$2:$F$137,3,FALSE)&lt;&gt;0,VLOOKUP(F28,Fixture!$B$2:$F$137,3,FALSE),"")</f>
        <v>Valentín FC</v>
      </c>
      <c r="H28" s="44">
        <f ca="1">IF($D28="Finalizado",_xlfn.XLOOKUP(G28,Resumen!$A$6:$A$22,Resumen!N$6:N$22,0),"")</f>
        <v>2</v>
      </c>
      <c r="I28" s="44">
        <f ca="1">IF($D28="Finalizado",_xlfn.XLOOKUP(G28,Resumen!$A$6:$A$22,Resumen!O$6:O$22,0),"")</f>
        <v>2</v>
      </c>
      <c r="J28" s="44">
        <f ca="1">IF($D28="Finalizado",_xlfn.XLOOKUP(G28,Resumen!$A$6:$A$22,Resumen!P$6:P$22,0)+_xlfn.XLOOKUP(G28,Resumen!$A$6:$A$22,Resumen!Q$6:Q$22,0),"")</f>
        <v>0</v>
      </c>
      <c r="K28" s="44">
        <f t="shared" ca="1" si="0"/>
        <v>0</v>
      </c>
      <c r="L28" s="44">
        <f t="shared" ca="1" si="1"/>
        <v>1</v>
      </c>
      <c r="M28" s="44">
        <f t="shared" ca="1" si="2"/>
        <v>0</v>
      </c>
      <c r="N28" s="44">
        <f t="shared" ca="1" si="3"/>
        <v>1</v>
      </c>
      <c r="O28" s="45">
        <f t="shared" ca="1" si="4"/>
        <v>10</v>
      </c>
      <c r="P28" s="42" t="str">
        <f>IF(VLOOKUP(F28,Fixture!$B$2:$F$137,5,FALSE)&lt;&gt;0,VLOOKUP(F28,Fixture!$B$2:$F$137,5,FALSE),"")</f>
        <v>La Amistad</v>
      </c>
      <c r="Q28" s="44">
        <f ca="1">IF($D28="Finalizado",_xlfn.XLOOKUP(P28,Resumen!$A$6:$A$22,Resumen!N$6:N$22,0),"")</f>
        <v>2</v>
      </c>
      <c r="R28" s="44">
        <f ca="1">IF($D28="Finalizado",_xlfn.XLOOKUP(P28,Resumen!$A$6:$A$22,Resumen!O$6:O$22,0),"")</f>
        <v>1</v>
      </c>
      <c r="S28" s="44">
        <f ca="1">IF($D28="Finalizado",_xlfn.XLOOKUP(P28,Resumen!$A$6:$A$22,Resumen!P$6:P$22,0)+_xlfn.XLOOKUP(P28,Resumen!$A$6:$A$22,Resumen!Q$6:Q$22,0),"")</f>
        <v>0</v>
      </c>
      <c r="T28" s="44">
        <f t="shared" ca="1" si="5"/>
        <v>0</v>
      </c>
      <c r="U28" s="44">
        <f t="shared" ca="1" si="9"/>
        <v>1</v>
      </c>
      <c r="V28" s="44">
        <f t="shared" ca="1" si="10"/>
        <v>0</v>
      </c>
      <c r="W28" s="44">
        <f t="shared" ca="1" si="6"/>
        <v>1</v>
      </c>
      <c r="X28" s="45">
        <f t="shared" ca="1" si="7"/>
        <v>5</v>
      </c>
      <c r="Y28" s="207"/>
    </row>
    <row r="29" spans="1:38" x14ac:dyDescent="0.25">
      <c r="A29" s="213"/>
      <c r="B29" s="61">
        <f>IF(Fixture!C28,Fixture!C28,"")</f>
        <v>45697</v>
      </c>
      <c r="C29" s="58">
        <v>0.43055555555555602</v>
      </c>
      <c r="D29" s="82" t="str">
        <f t="shared" ca="1" si="21"/>
        <v>Finalizado</v>
      </c>
      <c r="E29" s="207"/>
      <c r="F29" s="43">
        <f>+Fixture!B28</f>
        <v>27</v>
      </c>
      <c r="G29" s="42" t="str">
        <f>IF(VLOOKUP(F29,Fixture!$B$2:$F$137,3,FALSE)&lt;&gt;0,VLOOKUP(F29,Fixture!$B$2:$F$137,3,FALSE),"")</f>
        <v>CD El Corozo</v>
      </c>
      <c r="H29" s="44">
        <f ca="1">IF($D29="Finalizado",_xlfn.XLOOKUP(G29,Resumen!$A$6:$A$22,Resumen!N$6:N$22,0),"")</f>
        <v>0</v>
      </c>
      <c r="I29" s="44">
        <f ca="1">IF($D29="Finalizado",_xlfn.XLOOKUP(G29,Resumen!$A$6:$A$22,Resumen!O$6:O$22,0),"")</f>
        <v>1</v>
      </c>
      <c r="J29" s="44">
        <f ca="1">IF($D29="Finalizado",_xlfn.XLOOKUP(G29,Resumen!$A$6:$A$22,Resumen!P$6:P$22,0)+_xlfn.XLOOKUP(G29,Resumen!$A$6:$A$22,Resumen!Q$6:Q$22,0),"")</f>
        <v>0</v>
      </c>
      <c r="K29" s="44">
        <f t="shared" ca="1" si="0"/>
        <v>0</v>
      </c>
      <c r="L29" s="44">
        <f t="shared" ca="1" si="1"/>
        <v>0</v>
      </c>
      <c r="M29" s="44">
        <f t="shared" ca="1" si="2"/>
        <v>1</v>
      </c>
      <c r="N29" s="44">
        <f t="shared" ca="1" si="3"/>
        <v>1</v>
      </c>
      <c r="O29" s="45">
        <f t="shared" ca="1" si="4"/>
        <v>5</v>
      </c>
      <c r="P29" s="42" t="str">
        <f>IF(VLOOKUP(F29,Fixture!$B$2:$F$137,5,FALSE)&lt;&gt;0,VLOOKUP(F29,Fixture!$B$2:$F$137,5,FALSE),"")</f>
        <v>Amenadim</v>
      </c>
      <c r="Q29" s="44">
        <f ca="1">IF($D29="Finalizado",_xlfn.XLOOKUP(P29,Resumen!$A$6:$A$22,Resumen!N$6:N$22,0),"")</f>
        <v>4</v>
      </c>
      <c r="R29" s="44">
        <f ca="1">IF($D29="Finalizado",_xlfn.XLOOKUP(P29,Resumen!$A$6:$A$22,Resumen!O$6:O$22,0),"")</f>
        <v>0</v>
      </c>
      <c r="S29" s="44">
        <f ca="1">IF($D29="Finalizado",_xlfn.XLOOKUP(P29,Resumen!$A$6:$A$22,Resumen!P$6:P$22,0)+_xlfn.XLOOKUP(P29,Resumen!$A$6:$A$22,Resumen!Q$6:Q$22,0),"")</f>
        <v>0</v>
      </c>
      <c r="T29" s="44">
        <f t="shared" ca="1" si="5"/>
        <v>1</v>
      </c>
      <c r="U29" s="44">
        <f t="shared" ca="1" si="9"/>
        <v>0</v>
      </c>
      <c r="V29" s="44">
        <f t="shared" ca="1" si="10"/>
        <v>0</v>
      </c>
      <c r="W29" s="44">
        <f t="shared" ca="1" si="6"/>
        <v>1</v>
      </c>
      <c r="X29" s="45">
        <f t="shared" ca="1" si="7"/>
        <v>0</v>
      </c>
      <c r="Y29" s="207"/>
    </row>
    <row r="30" spans="1:38" x14ac:dyDescent="0.25">
      <c r="A30" s="213"/>
      <c r="B30" s="61">
        <f>IF(Fixture!C29,Fixture!C29,"")</f>
        <v>45697</v>
      </c>
      <c r="C30" s="58">
        <v>0.47916666666666602</v>
      </c>
      <c r="D30" s="82" t="str">
        <f t="shared" ca="1" si="21"/>
        <v>Finalizado</v>
      </c>
      <c r="E30" s="207"/>
      <c r="F30" s="43">
        <f>+Fixture!B29</f>
        <v>28</v>
      </c>
      <c r="G30" s="42" t="str">
        <f>IF(VLOOKUP(F30,Fixture!$B$2:$F$137,3,FALSE)&lt;&gt;0,VLOOKUP(F30,Fixture!$B$2:$F$137,3,FALSE),"")</f>
        <v>Rayos FC</v>
      </c>
      <c r="H30" s="44">
        <f ca="1">IF($D30="Finalizado",_xlfn.XLOOKUP(G30,Resumen!$A$6:$A$22,Resumen!N$6:N$22,0),"")</f>
        <v>0</v>
      </c>
      <c r="I30" s="44">
        <f ca="1">IF($D30="Finalizado",_xlfn.XLOOKUP(G30,Resumen!$A$6:$A$22,Resumen!O$6:O$22,0),"")</f>
        <v>0</v>
      </c>
      <c r="J30" s="44">
        <f ca="1">IF($D30="Finalizado",_xlfn.XLOOKUP(G30,Resumen!$A$6:$A$22,Resumen!P$6:P$22,0)+_xlfn.XLOOKUP(G30,Resumen!$A$6:$A$22,Resumen!Q$6:Q$22,0),"")</f>
        <v>3</v>
      </c>
      <c r="K30" s="44">
        <f t="shared" ca="1" si="0"/>
        <v>0</v>
      </c>
      <c r="L30" s="44">
        <f t="shared" ca="1" si="1"/>
        <v>0</v>
      </c>
      <c r="M30" s="44">
        <f t="shared" ca="1" si="2"/>
        <v>1</v>
      </c>
      <c r="N30" s="44">
        <f t="shared" ca="1" si="3"/>
        <v>1</v>
      </c>
      <c r="O30" s="45">
        <f t="shared" ca="1" si="4"/>
        <v>30</v>
      </c>
      <c r="P30" s="42" t="str">
        <f>IF(VLOOKUP(F30,Fixture!$B$2:$F$137,5,FALSE)&lt;&gt;0,VLOOKUP(F30,Fixture!$B$2:$F$137,5,FALSE),"")</f>
        <v>Los Aliados</v>
      </c>
      <c r="Q30" s="44">
        <f ca="1">IF($D30="Finalizado",_xlfn.XLOOKUP(P30,Resumen!$A$6:$A$22,Resumen!N$6:N$22,0),"")</f>
        <v>3</v>
      </c>
      <c r="R30" s="44">
        <f ca="1">IF($D30="Finalizado",_xlfn.XLOOKUP(P30,Resumen!$A$6:$A$22,Resumen!O$6:O$22,0),"")</f>
        <v>0</v>
      </c>
      <c r="S30" s="44">
        <f ca="1">IF($D30="Finalizado",_xlfn.XLOOKUP(P30,Resumen!$A$6:$A$22,Resumen!P$6:P$22,0)+_xlfn.XLOOKUP(P30,Resumen!$A$6:$A$22,Resumen!Q$6:Q$22,0),"")</f>
        <v>0</v>
      </c>
      <c r="T30" s="44">
        <f t="shared" ca="1" si="5"/>
        <v>1</v>
      </c>
      <c r="U30" s="44">
        <f t="shared" ca="1" si="9"/>
        <v>0</v>
      </c>
      <c r="V30" s="44">
        <f t="shared" ca="1" si="10"/>
        <v>0</v>
      </c>
      <c r="W30" s="44">
        <f t="shared" ca="1" si="6"/>
        <v>1</v>
      </c>
      <c r="X30" s="45">
        <f t="shared" ca="1" si="7"/>
        <v>0</v>
      </c>
      <c r="Y30" s="207"/>
    </row>
    <row r="31" spans="1:38" x14ac:dyDescent="0.25">
      <c r="A31" s="213"/>
      <c r="B31" s="61">
        <f>IF(Fixture!C30,Fixture!C30,"")</f>
        <v>45697</v>
      </c>
      <c r="C31" s="58">
        <v>0.52777777777777701</v>
      </c>
      <c r="D31" s="82" t="str">
        <f t="shared" ca="1" si="21"/>
        <v>Finalizado</v>
      </c>
      <c r="E31" s="207"/>
      <c r="F31" s="43">
        <f>+Fixture!B30</f>
        <v>29</v>
      </c>
      <c r="G31" s="42" t="str">
        <f>IF(VLOOKUP(F31,Fixture!$B$2:$F$137,3,FALSE)&lt;&gt;0,VLOOKUP(F31,Fixture!$B$2:$F$137,3,FALSE),"")</f>
        <v>Villanueva</v>
      </c>
      <c r="H31" s="44">
        <f ca="1">IF($D31="Finalizado",_xlfn.XLOOKUP(G31,Resumen!$A$6:$A$22,Resumen!N$6:N$22,0),"")</f>
        <v>4</v>
      </c>
      <c r="I31" s="44">
        <f ca="1">IF($D31="Finalizado",_xlfn.XLOOKUP(G31,Resumen!$A$6:$A$22,Resumen!O$6:O$22,0),"")</f>
        <v>2</v>
      </c>
      <c r="J31" s="44">
        <f ca="1">IF($D31="Finalizado",_xlfn.XLOOKUP(G31,Resumen!$A$6:$A$22,Resumen!P$6:P$22,0)+_xlfn.XLOOKUP(G31,Resumen!$A$6:$A$22,Resumen!Q$6:Q$22,0),"")</f>
        <v>2</v>
      </c>
      <c r="K31" s="44">
        <f t="shared" ca="1" si="0"/>
        <v>1</v>
      </c>
      <c r="L31" s="44">
        <f t="shared" ca="1" si="1"/>
        <v>0</v>
      </c>
      <c r="M31" s="44">
        <f t="shared" ca="1" si="2"/>
        <v>0</v>
      </c>
      <c r="N31" s="44">
        <f t="shared" ca="1" si="3"/>
        <v>1</v>
      </c>
      <c r="O31" s="45">
        <f t="shared" ca="1" si="4"/>
        <v>30</v>
      </c>
      <c r="P31" s="42" t="str">
        <f>IF(VLOOKUP(F31,Fixture!$B$2:$F$137,5,FALSE)&lt;&gt;0,VLOOKUP(F31,Fixture!$B$2:$F$137,5,FALSE),"")</f>
        <v>Los Amigos</v>
      </c>
      <c r="Q31" s="44">
        <f ca="1">IF($D31="Finalizado",_xlfn.XLOOKUP(P31,Resumen!$A$6:$A$22,Resumen!N$6:N$22,0),"")</f>
        <v>3</v>
      </c>
      <c r="R31" s="44">
        <f ca="1">IF($D31="Finalizado",_xlfn.XLOOKUP(P31,Resumen!$A$6:$A$22,Resumen!O$6:O$22,0),"")</f>
        <v>2</v>
      </c>
      <c r="S31" s="44">
        <f ca="1">IF($D31="Finalizado",_xlfn.XLOOKUP(P31,Resumen!$A$6:$A$22,Resumen!P$6:P$22,0)+_xlfn.XLOOKUP(P31,Resumen!$A$6:$A$22,Resumen!Q$6:Q$22,0),"")</f>
        <v>1</v>
      </c>
      <c r="T31" s="44">
        <f t="shared" ca="1" si="5"/>
        <v>0</v>
      </c>
      <c r="U31" s="44">
        <f t="shared" ca="1" si="9"/>
        <v>0</v>
      </c>
      <c r="V31" s="44">
        <f t="shared" ca="1" si="10"/>
        <v>1</v>
      </c>
      <c r="W31" s="44">
        <f t="shared" ca="1" si="6"/>
        <v>1</v>
      </c>
      <c r="X31" s="45">
        <f t="shared" ca="1" si="7"/>
        <v>20</v>
      </c>
      <c r="Y31" s="207"/>
    </row>
    <row r="32" spans="1:38" x14ac:dyDescent="0.25">
      <c r="A32" s="213"/>
      <c r="B32" s="61">
        <f>IF(Fixture!C31,Fixture!C31,"")</f>
        <v>45697</v>
      </c>
      <c r="C32" s="58">
        <v>0.57638888888888895</v>
      </c>
      <c r="D32" s="82" t="str">
        <f t="shared" ca="1" si="21"/>
        <v>Finalizado</v>
      </c>
      <c r="E32" s="207"/>
      <c r="F32" s="43">
        <f>+Fixture!B31</f>
        <v>30</v>
      </c>
      <c r="G32" s="42" t="str">
        <f>IF(VLOOKUP(F32,Fixture!$B$2:$F$137,3,FALSE)&lt;&gt;0,VLOOKUP(F32,Fixture!$B$2:$F$137,3,FALSE),"")</f>
        <v>Deportivo Fénix</v>
      </c>
      <c r="H32" s="44">
        <f ca="1">IF($D32="Finalizado",_xlfn.XLOOKUP(G32,Resumen!$A$6:$A$22,Resumen!N$6:N$22,0),"")</f>
        <v>1</v>
      </c>
      <c r="I32" s="44">
        <f ca="1">IF($D32="Finalizado",_xlfn.XLOOKUP(G32,Resumen!$A$6:$A$22,Resumen!O$6:O$22,0),"")</f>
        <v>0</v>
      </c>
      <c r="J32" s="44">
        <f ca="1">IF($D32="Finalizado",_xlfn.XLOOKUP(G32,Resumen!$A$6:$A$22,Resumen!P$6:P$22,0)+_xlfn.XLOOKUP(G32,Resumen!$A$6:$A$22,Resumen!Q$6:Q$22,0),"")</f>
        <v>1</v>
      </c>
      <c r="K32" s="44">
        <f t="shared" ca="1" si="0"/>
        <v>0</v>
      </c>
      <c r="L32" s="44">
        <f t="shared" ca="1" si="1"/>
        <v>0</v>
      </c>
      <c r="M32" s="44">
        <f t="shared" ca="1" si="2"/>
        <v>1</v>
      </c>
      <c r="N32" s="44">
        <f t="shared" ca="1" si="3"/>
        <v>1</v>
      </c>
      <c r="O32" s="45">
        <f t="shared" ca="1" si="4"/>
        <v>10</v>
      </c>
      <c r="P32" s="42" t="str">
        <f>IF(VLOOKUP(F32,Fixture!$B$2:$F$137,5,FALSE)&lt;&gt;0,VLOOKUP(F32,Fixture!$B$2:$F$137,5,FALSE),"")</f>
        <v>Boca Juniors</v>
      </c>
      <c r="Q32" s="44">
        <f ca="1">IF($D32="Finalizado",_xlfn.XLOOKUP(P32,Resumen!$A$6:$A$22,Resumen!N$6:N$22,0),"")</f>
        <v>8</v>
      </c>
      <c r="R32" s="44">
        <f ca="1">IF($D32="Finalizado",_xlfn.XLOOKUP(P32,Resumen!$A$6:$A$22,Resumen!O$6:O$22,0),"")</f>
        <v>1</v>
      </c>
      <c r="S32" s="44">
        <f ca="1">IF($D32="Finalizado",_xlfn.XLOOKUP(P32,Resumen!$A$6:$A$22,Resumen!P$6:P$22,0)+_xlfn.XLOOKUP(P32,Resumen!$A$6:$A$22,Resumen!Q$6:Q$22,0),"")</f>
        <v>0</v>
      </c>
      <c r="T32" s="44">
        <f t="shared" ca="1" si="5"/>
        <v>1</v>
      </c>
      <c r="U32" s="44">
        <f t="shared" ca="1" si="9"/>
        <v>0</v>
      </c>
      <c r="V32" s="44">
        <f t="shared" ca="1" si="10"/>
        <v>0</v>
      </c>
      <c r="W32" s="44">
        <f t="shared" ca="1" si="6"/>
        <v>1</v>
      </c>
      <c r="X32" s="45">
        <f t="shared" ca="1" si="7"/>
        <v>5</v>
      </c>
      <c r="Y32" s="207"/>
    </row>
    <row r="33" spans="1:55" x14ac:dyDescent="0.25">
      <c r="A33" s="213"/>
      <c r="B33" s="61">
        <f>IF(Fixture!C32,Fixture!C32,"")</f>
        <v>45697</v>
      </c>
      <c r="C33" s="58">
        <v>0.625</v>
      </c>
      <c r="D33" s="82" t="str">
        <f t="shared" ca="1" si="21"/>
        <v>Finalizado</v>
      </c>
      <c r="E33" s="207"/>
      <c r="F33" s="43">
        <f>+Fixture!B32</f>
        <v>31</v>
      </c>
      <c r="G33" s="42" t="str">
        <f>IF(VLOOKUP(F33,Fixture!$B$2:$F$137,3,FALSE)&lt;&gt;0,VLOOKUP(F33,Fixture!$B$2:$F$137,3,FALSE),"")</f>
        <v>La Unión FC</v>
      </c>
      <c r="H33" s="44">
        <f ca="1">IF($D33="Finalizado",_xlfn.XLOOKUP(G33,Resumen!$A$6:$A$22,Resumen!N$6:N$22,0),"")</f>
        <v>7</v>
      </c>
      <c r="I33" s="44">
        <f ca="1">IF($D33="Finalizado",_xlfn.XLOOKUP(G33,Resumen!$A$6:$A$22,Resumen!O$6:O$22,0),"")</f>
        <v>1</v>
      </c>
      <c r="J33" s="44">
        <f ca="1">IF($D33="Finalizado",_xlfn.XLOOKUP(G33,Resumen!$A$6:$A$22,Resumen!P$6:P$22,0)+_xlfn.XLOOKUP(G33,Resumen!$A$6:$A$22,Resumen!Q$6:Q$22,0),"")</f>
        <v>0</v>
      </c>
      <c r="K33" s="44">
        <f t="shared" ca="1" si="0"/>
        <v>0</v>
      </c>
      <c r="L33" s="44">
        <f t="shared" ca="1" si="1"/>
        <v>1</v>
      </c>
      <c r="M33" s="44">
        <f t="shared" ca="1" si="2"/>
        <v>0</v>
      </c>
      <c r="N33" s="44">
        <f t="shared" ca="1" si="3"/>
        <v>1</v>
      </c>
      <c r="O33" s="45">
        <f t="shared" ca="1" si="4"/>
        <v>5</v>
      </c>
      <c r="P33" s="42" t="str">
        <f>IF(VLOOKUP(F33,Fixture!$B$2:$F$137,5,FALSE)&lt;&gt;0,VLOOKUP(F33,Fixture!$B$2:$F$137,5,FALSE),"")</f>
        <v>Hojas Anchas</v>
      </c>
      <c r="Q33" s="44">
        <f ca="1">IF($D33="Finalizado",_xlfn.XLOOKUP(P33,Resumen!$A$6:$A$22,Resumen!N$6:N$22,0),"")</f>
        <v>7</v>
      </c>
      <c r="R33" s="44">
        <f ca="1">IF($D33="Finalizado",_xlfn.XLOOKUP(P33,Resumen!$A$6:$A$22,Resumen!O$6:O$22,0),"")</f>
        <v>3</v>
      </c>
      <c r="S33" s="44">
        <f ca="1">IF($D33="Finalizado",_xlfn.XLOOKUP(P33,Resumen!$A$6:$A$22,Resumen!P$6:P$22,0)+_xlfn.XLOOKUP(P33,Resumen!$A$6:$A$22,Resumen!Q$6:Q$22,0),"")</f>
        <v>0</v>
      </c>
      <c r="T33" s="44">
        <f t="shared" ca="1" si="5"/>
        <v>0</v>
      </c>
      <c r="U33" s="44">
        <f t="shared" ca="1" si="9"/>
        <v>1</v>
      </c>
      <c r="V33" s="44">
        <f t="shared" ca="1" si="10"/>
        <v>0</v>
      </c>
      <c r="W33" s="44">
        <f t="shared" ca="1" si="6"/>
        <v>1</v>
      </c>
      <c r="X33" s="45">
        <f t="shared" ca="1" si="7"/>
        <v>15</v>
      </c>
      <c r="Y33" s="207"/>
    </row>
    <row r="34" spans="1:55" ht="16.5" thickBot="1" x14ac:dyDescent="0.3">
      <c r="A34" s="214"/>
      <c r="B34" s="61">
        <f>IF(Fixture!C33,Fixture!C33,"")</f>
        <v>45697</v>
      </c>
      <c r="C34" s="58">
        <v>0.67361111111111105</v>
      </c>
      <c r="D34" s="82" t="str">
        <f t="shared" ca="1" si="21"/>
        <v>Finalizado</v>
      </c>
      <c r="E34" s="208"/>
      <c r="F34" s="90">
        <f>+Fixture!B33</f>
        <v>32</v>
      </c>
      <c r="G34" s="42" t="str">
        <f>IF(VLOOKUP(F34,Fixture!$B$2:$F$137,3,FALSE)&lt;&gt;0,VLOOKUP(F34,Fixture!$B$2:$F$137,3,FALSE),"")</f>
        <v>Atalanta</v>
      </c>
      <c r="H34" s="48">
        <f ca="1">IF($D34="Finalizado",_xlfn.XLOOKUP(G34,Resumen!$A$6:$A$22,Resumen!N$6:N$22,0),"")</f>
        <v>1</v>
      </c>
      <c r="I34" s="48">
        <f ca="1">IF($D34="Finalizado",_xlfn.XLOOKUP(G34,Resumen!$A$6:$A$22,Resumen!O$6:O$22,0),"")</f>
        <v>1</v>
      </c>
      <c r="J34" s="48">
        <f ca="1">IF($D34="Finalizado",_xlfn.XLOOKUP(G34,Resumen!$A$6:$A$22,Resumen!P$6:P$22,0)+_xlfn.XLOOKUP(G34,Resumen!$A$6:$A$22,Resumen!Q$6:Q$22,0),"")</f>
        <v>0</v>
      </c>
      <c r="K34" s="48">
        <f t="shared" ca="1" si="0"/>
        <v>0</v>
      </c>
      <c r="L34" s="48">
        <f t="shared" ca="1" si="1"/>
        <v>0</v>
      </c>
      <c r="M34" s="48">
        <f t="shared" ca="1" si="2"/>
        <v>1</v>
      </c>
      <c r="N34" s="48">
        <f t="shared" ca="1" si="3"/>
        <v>1</v>
      </c>
      <c r="O34" s="49">
        <f t="shared" ca="1" si="4"/>
        <v>5</v>
      </c>
      <c r="P34" s="42" t="str">
        <f>IF(VLOOKUP(F34,Fixture!$B$2:$F$137,5,FALSE)&lt;&gt;0,VLOOKUP(F34,Fixture!$B$2:$F$137,5,FALSE),"")</f>
        <v>Ron Star</v>
      </c>
      <c r="Q34" s="48">
        <f ca="1">IF($D34="Finalizado",_xlfn.XLOOKUP(P34,Resumen!$A$6:$A$22,Resumen!N$6:N$22,0),"")</f>
        <v>5</v>
      </c>
      <c r="R34" s="48">
        <f ca="1">IF($D34="Finalizado",_xlfn.XLOOKUP(P34,Resumen!$A$6:$A$22,Resumen!O$6:O$22,0),"")</f>
        <v>1</v>
      </c>
      <c r="S34" s="48">
        <f ca="1">IF($D34="Finalizado",_xlfn.XLOOKUP(P34,Resumen!$A$6:$A$22,Resumen!P$6:P$22,0)+_xlfn.XLOOKUP(P34,Resumen!$A$6:$A$22,Resumen!Q$6:Q$22,0),"")</f>
        <v>0</v>
      </c>
      <c r="T34" s="44">
        <f t="shared" ca="1" si="5"/>
        <v>1</v>
      </c>
      <c r="U34" s="44">
        <f t="shared" ca="1" si="9"/>
        <v>0</v>
      </c>
      <c r="V34" s="44">
        <f t="shared" ca="1" si="10"/>
        <v>0</v>
      </c>
      <c r="W34" s="48">
        <f t="shared" ca="1" si="6"/>
        <v>1</v>
      </c>
      <c r="X34" s="49">
        <f t="shared" ca="1" si="7"/>
        <v>5</v>
      </c>
      <c r="Y34" s="208"/>
      <c r="AA34" s="219" t="s">
        <v>233</v>
      </c>
      <c r="AB34" s="219"/>
      <c r="AC34" s="219"/>
      <c r="AD34" s="219"/>
      <c r="AE34" s="219"/>
      <c r="AF34" s="219"/>
      <c r="AG34" s="219"/>
      <c r="AH34" s="219"/>
      <c r="AI34" s="219"/>
      <c r="AJ34" s="219"/>
      <c r="AK34" s="219"/>
      <c r="AL34" s="219"/>
    </row>
    <row r="35" spans="1:55" ht="16.5" thickBot="1" x14ac:dyDescent="0.3">
      <c r="A35" s="212" t="s">
        <v>9</v>
      </c>
      <c r="B35" s="60">
        <f>IF(Fixture!C34,Fixture!C34,"")</f>
        <v>45704</v>
      </c>
      <c r="C35" s="58">
        <v>0.33333333333333331</v>
      </c>
      <c r="D35" s="82" t="str">
        <f t="shared" ca="1" si="21"/>
        <v>Finalizado</v>
      </c>
      <c r="E35" s="206" t="s">
        <v>114</v>
      </c>
      <c r="F35" s="43">
        <f>+Fixture!B34</f>
        <v>33</v>
      </c>
      <c r="G35" s="42" t="str">
        <f>IF(VLOOKUP(F35,Fixture!$B$2:$F$137,3,FALSE)&lt;&gt;0,VLOOKUP(F35,Fixture!$B$2:$F$137,3,FALSE),"")</f>
        <v>La Unión FC</v>
      </c>
      <c r="H35" s="44">
        <f ca="1">IF($D35="Finalizado",_xlfn.XLOOKUP(G35,Resumen!$A$6:$A$22,Resumen!R$6:R$22,0),"")</f>
        <v>10</v>
      </c>
      <c r="I35" s="44">
        <f ca="1">IF($D35="Finalizado",_xlfn.XLOOKUP(G35,Resumen!$A$6:$A$22,Resumen!S$6:S$22,0),"")</f>
        <v>2</v>
      </c>
      <c r="J35" s="44">
        <f ca="1">IF($D35="Finalizado",_xlfn.XLOOKUP(G35,Resumen!$A$6:$A$22,Resumen!T$6:T$22,0)+_xlfn.XLOOKUP(G35,Resumen!$A$6:$A$22,Resumen!U$6:U$22,0),"")</f>
        <v>0</v>
      </c>
      <c r="K35" s="44">
        <f t="shared" ca="1" si="0"/>
        <v>1</v>
      </c>
      <c r="L35" s="44">
        <f t="shared" ca="1" si="1"/>
        <v>0</v>
      </c>
      <c r="M35" s="44">
        <f t="shared" ca="1" si="2"/>
        <v>0</v>
      </c>
      <c r="N35" s="44">
        <f t="shared" ca="1" si="3"/>
        <v>1</v>
      </c>
      <c r="O35" s="45">
        <f t="shared" ca="1" si="4"/>
        <v>10</v>
      </c>
      <c r="P35" s="42" t="str">
        <f>IF(VLOOKUP(F35,Fixture!$B$2:$F$137,5,FALSE)&lt;&gt;0,VLOOKUP(F35,Fixture!$B$2:$F$137,5,FALSE),"")</f>
        <v>Los Aliados</v>
      </c>
      <c r="Q35" s="44">
        <f ca="1">IF($D35="Finalizado",_xlfn.XLOOKUP(P35,Resumen!$A$6:$A$22,Resumen!R$6:R$22,0),"")</f>
        <v>4</v>
      </c>
      <c r="R35" s="44">
        <f ca="1">IF($D35="Finalizado",_xlfn.XLOOKUP(P35,Resumen!$A$6:$A$22,Resumen!S$6:S$22,0),"")</f>
        <v>1</v>
      </c>
      <c r="S35" s="44">
        <f ca="1">IF($D35="Finalizado",_xlfn.XLOOKUP(P35,Resumen!$A$6:$A$22,Resumen!T$6:T$22,0)+_xlfn.XLOOKUP(P35,Resumen!$A$6:$A$22,Resumen!U$6:U$22,0),"")</f>
        <v>0</v>
      </c>
      <c r="T35" s="44">
        <f t="shared" ca="1" si="5"/>
        <v>0</v>
      </c>
      <c r="U35" s="44">
        <f t="shared" ca="1" si="9"/>
        <v>0</v>
      </c>
      <c r="V35" s="44">
        <f t="shared" ca="1" si="10"/>
        <v>1</v>
      </c>
      <c r="W35" s="44">
        <f t="shared" ca="1" si="6"/>
        <v>1</v>
      </c>
      <c r="X35" s="45">
        <f t="shared" ca="1" si="7"/>
        <v>5</v>
      </c>
      <c r="Y35" s="206" t="str">
        <f>+A35</f>
        <v>Fecha 5</v>
      </c>
      <c r="AA35" s="40" t="s">
        <v>122</v>
      </c>
      <c r="AB35"/>
      <c r="AC35" s="41" t="s">
        <v>2</v>
      </c>
      <c r="AD35" s="40" t="s">
        <v>127</v>
      </c>
      <c r="AE35" s="40" t="s">
        <v>115</v>
      </c>
      <c r="AF35" s="40" t="s">
        <v>116</v>
      </c>
      <c r="AG35" s="40" t="s">
        <v>117</v>
      </c>
      <c r="AH35" s="40" t="s">
        <v>123</v>
      </c>
      <c r="AI35" s="40" t="s">
        <v>124</v>
      </c>
      <c r="AJ35" s="40" t="s">
        <v>125</v>
      </c>
      <c r="AK35" s="40" t="s">
        <v>119</v>
      </c>
      <c r="AL35" s="40" t="s">
        <v>126</v>
      </c>
      <c r="AQ35" s="41" t="s">
        <v>2</v>
      </c>
      <c r="AR35" s="40" t="s">
        <v>127</v>
      </c>
      <c r="AS35" s="40" t="s">
        <v>115</v>
      </c>
      <c r="AT35" s="40" t="s">
        <v>116</v>
      </c>
      <c r="AU35" s="40" t="s">
        <v>117</v>
      </c>
      <c r="AV35" s="40" t="s">
        <v>123</v>
      </c>
      <c r="AW35" s="40" t="s">
        <v>124</v>
      </c>
      <c r="AX35" s="40" t="s">
        <v>125</v>
      </c>
      <c r="AY35" s="40" t="s">
        <v>119</v>
      </c>
      <c r="AZ35" s="40" t="s">
        <v>126</v>
      </c>
    </row>
    <row r="36" spans="1:55" x14ac:dyDescent="0.25">
      <c r="A36" s="213"/>
      <c r="B36" s="61">
        <f>IF(Fixture!C35,Fixture!C35,"")</f>
        <v>45704</v>
      </c>
      <c r="C36" s="58">
        <v>0.38194444444444442</v>
      </c>
      <c r="D36" s="82" t="str">
        <f t="shared" ca="1" si="21"/>
        <v>Finalizado</v>
      </c>
      <c r="E36" s="207"/>
      <c r="F36" s="43">
        <f>+Fixture!B35</f>
        <v>34</v>
      </c>
      <c r="G36" s="42" t="str">
        <f>IF(VLOOKUP(F36,Fixture!$B$2:$F$137,3,FALSE)&lt;&gt;0,VLOOKUP(F36,Fixture!$B$2:$F$137,3,FALSE),"")</f>
        <v>Villanueva</v>
      </c>
      <c r="H36" s="44">
        <f ca="1">IF($D36="Finalizado",_xlfn.XLOOKUP(G36,Resumen!$A$6:$A$22,Resumen!R$6:R$22,0),"")</f>
        <v>9</v>
      </c>
      <c r="I36" s="44">
        <f ca="1">IF($D36="Finalizado",_xlfn.XLOOKUP(G36,Resumen!$A$6:$A$22,Resumen!S$6:S$22,0),"")</f>
        <v>1</v>
      </c>
      <c r="J36" s="44">
        <f ca="1">IF($D36="Finalizado",_xlfn.XLOOKUP(G36,Resumen!$A$6:$A$22,Resumen!T$6:T$22,0)+_xlfn.XLOOKUP(G36,Resumen!$A$6:$A$22,Resumen!U$6:U$22,0),"")</f>
        <v>1</v>
      </c>
      <c r="K36" s="44">
        <f ca="1">IF(D36="Finalizado",IF(H36&gt;Q36,1,0),"")</f>
        <v>1</v>
      </c>
      <c r="L36" s="44">
        <f t="shared" ca="1" si="1"/>
        <v>0</v>
      </c>
      <c r="M36" s="44">
        <f t="shared" ca="1" si="2"/>
        <v>0</v>
      </c>
      <c r="N36" s="44">
        <f t="shared" ca="1" si="3"/>
        <v>1</v>
      </c>
      <c r="O36" s="45">
        <f t="shared" ca="1" si="4"/>
        <v>15</v>
      </c>
      <c r="P36" s="42" t="str">
        <f>IF(VLOOKUP(F36,Fixture!$B$2:$F$137,5,FALSE)&lt;&gt;0,VLOOKUP(F36,Fixture!$B$2:$F$137,5,FALSE),"")</f>
        <v>La Nueva Era</v>
      </c>
      <c r="Q36" s="44">
        <f ca="1">IF($D36="Finalizado",_xlfn.XLOOKUP(P36,Resumen!$A$6:$A$22,Resumen!R$6:R$22,0),"")</f>
        <v>0</v>
      </c>
      <c r="R36" s="44">
        <f ca="1">IF($D36="Finalizado",_xlfn.XLOOKUP(P36,Resumen!$A$6:$A$22,Resumen!S$6:S$22,0),"")</f>
        <v>3</v>
      </c>
      <c r="S36" s="44">
        <f ca="1">IF($D36="Finalizado",_xlfn.XLOOKUP(P36,Resumen!$A$6:$A$22,Resumen!T$6:T$22,0)+_xlfn.XLOOKUP(P36,Resumen!$A$6:$A$22,Resumen!U$6:U$22,0),"")</f>
        <v>0</v>
      </c>
      <c r="T36" s="44">
        <f t="shared" ca="1" si="5"/>
        <v>0</v>
      </c>
      <c r="U36" s="44">
        <f t="shared" ca="1" si="9"/>
        <v>0</v>
      </c>
      <c r="V36" s="44">
        <f t="shared" ca="1" si="10"/>
        <v>1</v>
      </c>
      <c r="W36" s="44">
        <f t="shared" ca="1" si="6"/>
        <v>1</v>
      </c>
      <c r="X36" s="45">
        <f t="shared" ca="1" si="7"/>
        <v>15</v>
      </c>
      <c r="Y36" s="207"/>
      <c r="AA36" s="19" t="s">
        <v>41</v>
      </c>
      <c r="AB36"/>
      <c r="AC36" s="46" t="str">
        <f t="shared" ref="AC36:AC50" ca="1" si="22">VLOOKUP(AM78,$AB$78:$AC$93,2,FALSE)</f>
        <v>La Unión FC</v>
      </c>
      <c r="AD36">
        <f t="shared" ref="AD36:AD50" ca="1" si="23">VLOOKUP($AC36,$AC$78:$AK$93,9,FALSE)</f>
        <v>18</v>
      </c>
      <c r="AE36">
        <f t="shared" ref="AE36:AE50" ca="1" si="24">VLOOKUP($AC36,$AC$78:$AK$93,2,FALSE)</f>
        <v>14</v>
      </c>
      <c r="AF36">
        <f t="shared" ref="AF36:AF50" ca="1" si="25">VLOOKUP($AC36,$AC$78:$AK$93,3,FALSE)</f>
        <v>3</v>
      </c>
      <c r="AG36">
        <f t="shared" ref="AG36:AG50" ca="1" si="26">VLOOKUP($AC36,$AC$78:$AK$93,4,FALSE)</f>
        <v>1</v>
      </c>
      <c r="AH36">
        <f t="shared" ref="AH36:AH50" ca="1" si="27">VLOOKUP($AC36,$AC$78:$AK$93,5,FALSE)</f>
        <v>104</v>
      </c>
      <c r="AI36">
        <f t="shared" ref="AI36:AI50" ca="1" si="28">VLOOKUP($AC36,$AC$78:$AK$93,6,FALSE)</f>
        <v>52</v>
      </c>
      <c r="AJ36">
        <f t="shared" ref="AJ36:AJ50" ca="1" si="29">VLOOKUP($AC36,$AC$78:$AK$93,7,FALSE)</f>
        <v>52</v>
      </c>
      <c r="AK36">
        <f t="shared" ref="AK36:AK50" ca="1" si="30">VLOOKUP($AC36,$AC$78:$AL$93,10,FALSE)</f>
        <v>105</v>
      </c>
      <c r="AL36">
        <f t="shared" ref="AL36:AL50" ca="1" si="31">VLOOKUP($AC36,$AC$78:$AK$93,8,FALSE)</f>
        <v>45</v>
      </c>
      <c r="AM36">
        <f t="shared" ref="AM36:AM50" ca="1" si="32">VLOOKUP($AC36,$AC$78:$AM$93,11,FALSE)</f>
        <v>13953.437740740741</v>
      </c>
      <c r="AO36" s="1">
        <f ca="1">+BB36+BC36</f>
        <v>1</v>
      </c>
      <c r="AP36">
        <f ca="1">AZ36*1000+(AX36)+(AS36/10)+(AV36/1000)+IF(AY36&gt;0,(0.1/AY36),0)</f>
        <v>45053.50495238095</v>
      </c>
      <c r="AQ36" s="46" t="str">
        <f t="shared" ref="AQ36:AQ51" ca="1" si="33">+AC36</f>
        <v>La Unión FC</v>
      </c>
      <c r="AR36">
        <f ca="1">SUMIF($AQ$56:$AQ$100,$AQ36,$AR$56:$AR$100)</f>
        <v>18</v>
      </c>
      <c r="AS36">
        <f ca="1">SUMIF($AQ$56:$AQ$100,$AQ36,$AS$56:$AS$100)</f>
        <v>14</v>
      </c>
      <c r="AT36">
        <f ca="1">SUMIF($AQ$56:$AQ$100,$AQ36,$AT$56:$AT$100)</f>
        <v>3</v>
      </c>
      <c r="AU36">
        <f ca="1">SUMIF($AQ$56:$AQ$100,$AQ36,$AU$56:$AU$100)</f>
        <v>1</v>
      </c>
      <c r="AV36">
        <f ca="1">SUMIF($AQ$56:$AQ$100,$AQ36,$AV$56:$AV$100)</f>
        <v>104</v>
      </c>
      <c r="AW36">
        <f ca="1">SUMIF($AQ$56:$AQ$100,$AQ36,$AW$56:$AW$100)</f>
        <v>52</v>
      </c>
      <c r="AX36">
        <f ca="1">SUMIF($AQ$56:$AQ$100,$AQ36,$AX$56:$AX$100)</f>
        <v>52</v>
      </c>
      <c r="AY36">
        <f ca="1">SUMIF($AQ$56:$AQ$100,$AQ36,$AY$56:$AY$100)</f>
        <v>105</v>
      </c>
      <c r="AZ36">
        <f ca="1">SUMIF($AQ$56:$AQ$100,$AQ36,$AZ$56:$AZ$100)</f>
        <v>45</v>
      </c>
      <c r="BA36">
        <f t="shared" ref="BA36:BA51" ca="1" si="34">LARGE($AP$36:$AP$51,AA78)</f>
        <v>45053.50495238095</v>
      </c>
      <c r="BB36" s="1">
        <f t="shared" ref="BB36:BB51" ca="1" si="35">+_xlfn.RANK.EQ(BA36,$BA$36:$BA$51,0)</f>
        <v>1</v>
      </c>
      <c r="BC36" s="1">
        <f ca="1">+COUNTIF(BB36:BB36,BB36)-1</f>
        <v>0</v>
      </c>
    </row>
    <row r="37" spans="1:55" x14ac:dyDescent="0.25">
      <c r="A37" s="213"/>
      <c r="B37" s="61">
        <f>IF(Fixture!C36,Fixture!C36,"")</f>
        <v>45704</v>
      </c>
      <c r="C37" s="58">
        <v>0.43055555555555602</v>
      </c>
      <c r="D37" s="82" t="str">
        <f t="shared" ca="1" si="21"/>
        <v>Finalizado</v>
      </c>
      <c r="E37" s="207"/>
      <c r="F37" s="43">
        <f>+Fixture!B36</f>
        <v>35</v>
      </c>
      <c r="G37" s="42" t="str">
        <f>IF(VLOOKUP(F37,Fixture!$B$2:$F$137,3,FALSE)&lt;&gt;0,VLOOKUP(F37,Fixture!$B$2:$F$137,3,FALSE),"")</f>
        <v>Ron Star</v>
      </c>
      <c r="H37" s="44">
        <f ca="1">IF($D37="Finalizado",_xlfn.XLOOKUP(G37,Resumen!$A$6:$A$22,Resumen!R$6:R$22,0),"")</f>
        <v>8</v>
      </c>
      <c r="I37" s="44">
        <f ca="1">IF($D37="Finalizado",_xlfn.XLOOKUP(G37,Resumen!$A$6:$A$22,Resumen!S$6:S$22,0),"")</f>
        <v>1</v>
      </c>
      <c r="J37" s="44">
        <f ca="1">IF($D37="Finalizado",_xlfn.XLOOKUP(G37,Resumen!$A$6:$A$22,Resumen!T$6:T$22,0)+_xlfn.XLOOKUP(G37,Resumen!$A$6:$A$22,Resumen!U$6:U$22,0),"")</f>
        <v>0</v>
      </c>
      <c r="K37" s="44">
        <f t="shared" ca="1" si="0"/>
        <v>1</v>
      </c>
      <c r="L37" s="44">
        <f t="shared" ca="1" si="1"/>
        <v>0</v>
      </c>
      <c r="M37" s="44">
        <f t="shared" ca="1" si="2"/>
        <v>0</v>
      </c>
      <c r="N37" s="44">
        <f t="shared" ca="1" si="3"/>
        <v>1</v>
      </c>
      <c r="O37" s="45">
        <f t="shared" ca="1" si="4"/>
        <v>5</v>
      </c>
      <c r="P37" s="42" t="str">
        <f>IF(VLOOKUP(F37,Fixture!$B$2:$F$137,5,FALSE)&lt;&gt;0,VLOOKUP(F37,Fixture!$B$2:$F$137,5,FALSE),"")</f>
        <v>Los Amigos</v>
      </c>
      <c r="Q37" s="44">
        <f ca="1">IF($D37="Finalizado",_xlfn.XLOOKUP(P37,Resumen!$A$6:$A$22,Resumen!R$6:R$22,0),"")</f>
        <v>4</v>
      </c>
      <c r="R37" s="44">
        <f ca="1">IF($D37="Finalizado",_xlfn.XLOOKUP(P37,Resumen!$A$6:$A$22,Resumen!S$6:S$22,0),"")</f>
        <v>1</v>
      </c>
      <c r="S37" s="44">
        <f ca="1">IF($D37="Finalizado",_xlfn.XLOOKUP(P37,Resumen!$A$6:$A$22,Resumen!T$6:T$22,0)+_xlfn.XLOOKUP(P37,Resumen!$A$6:$A$22,Resumen!U$6:U$22,0),"")</f>
        <v>0</v>
      </c>
      <c r="T37" s="44">
        <f t="shared" ca="1" si="5"/>
        <v>0</v>
      </c>
      <c r="U37" s="44">
        <f t="shared" ca="1" si="9"/>
        <v>0</v>
      </c>
      <c r="V37" s="44">
        <f t="shared" ca="1" si="10"/>
        <v>1</v>
      </c>
      <c r="W37" s="44">
        <f t="shared" ca="1" si="6"/>
        <v>1</v>
      </c>
      <c r="X37" s="45">
        <f t="shared" ca="1" si="7"/>
        <v>5</v>
      </c>
      <c r="Y37" s="207"/>
      <c r="AA37" s="19" t="s">
        <v>42</v>
      </c>
      <c r="AB37"/>
      <c r="AC37" s="46" t="str">
        <f t="shared" ca="1" si="22"/>
        <v>La Amistad</v>
      </c>
      <c r="AD37">
        <f t="shared" ca="1" si="23"/>
        <v>17</v>
      </c>
      <c r="AE37">
        <f t="shared" ca="1" si="24"/>
        <v>12</v>
      </c>
      <c r="AF37">
        <f t="shared" ca="1" si="25"/>
        <v>2</v>
      </c>
      <c r="AG37">
        <f t="shared" ca="1" si="26"/>
        <v>3</v>
      </c>
      <c r="AH37">
        <f t="shared" ca="1" si="27"/>
        <v>79</v>
      </c>
      <c r="AI37">
        <f t="shared" ca="1" si="28"/>
        <v>36</v>
      </c>
      <c r="AJ37">
        <f t="shared" ca="1" si="29"/>
        <v>43</v>
      </c>
      <c r="AK37">
        <f t="shared" ca="1" si="30"/>
        <v>60</v>
      </c>
      <c r="AL37">
        <f t="shared" ca="1" si="31"/>
        <v>38</v>
      </c>
      <c r="AM37">
        <f t="shared" ca="1" si="32"/>
        <v>34024.178538461536</v>
      </c>
      <c r="AO37" s="1">
        <f t="shared" ref="AO37:AO51" ca="1" si="36">+BB37+BC37</f>
        <v>2</v>
      </c>
      <c r="AP37">
        <f ca="1">AZ37*1000+(AX37)+(AS37/10)+(AV37/1000)+IF(AY37&gt;0,(0.1/AY37),0)</f>
        <v>38044.280666666658</v>
      </c>
      <c r="AQ37" s="46" t="str">
        <f t="shared" ca="1" si="33"/>
        <v>La Amistad</v>
      </c>
      <c r="AR37">
        <f t="shared" ref="AR37:AR51" ca="1" si="37">SUMIF($AQ$56:$AQ$100,$AQ37,$AR$56:$AR$100)</f>
        <v>17</v>
      </c>
      <c r="AS37">
        <f t="shared" ref="AS37:AS51" ca="1" si="38">SUMIF($AQ$56:$AQ$100,$AQ37,$AS$56:$AS$100)</f>
        <v>12</v>
      </c>
      <c r="AT37">
        <f t="shared" ref="AT37:AT51" ca="1" si="39">SUMIF($AQ$56:$AQ$100,$AQ37,$AT$56:$AT$100)</f>
        <v>2</v>
      </c>
      <c r="AU37">
        <f t="shared" ref="AU37:AU51" ca="1" si="40">SUMIF($AQ$56:$AQ$100,$AQ37,$AU$56:$AU$100)</f>
        <v>3</v>
      </c>
      <c r="AV37">
        <f t="shared" ref="AV37:AV51" ca="1" si="41">SUMIF($AQ$56:$AQ$100,$AQ37,$AV$56:$AV$100)</f>
        <v>79</v>
      </c>
      <c r="AW37">
        <f t="shared" ref="AW37:AW51" ca="1" si="42">SUMIF($AQ$56:$AQ$100,$AQ37,$AW$56:$AW$100)</f>
        <v>36</v>
      </c>
      <c r="AX37">
        <f t="shared" ref="AX37:AX51" ca="1" si="43">SUMIF($AQ$56:$AQ$100,$AQ37,$AX$56:$AX$100)</f>
        <v>43</v>
      </c>
      <c r="AY37">
        <f t="shared" ref="AY37:AY51" ca="1" si="44">SUMIF($AQ$56:$AQ$100,$AQ37,$AY$56:$AY$100)</f>
        <v>60</v>
      </c>
      <c r="AZ37">
        <f t="shared" ref="AZ37:AZ51" ca="1" si="45">SUMIF($AQ$56:$AQ$100,$AQ37,$AZ$56:$AZ$100)</f>
        <v>38</v>
      </c>
      <c r="BA37">
        <f t="shared" ca="1" si="34"/>
        <v>38044.280666666658</v>
      </c>
      <c r="BB37" s="1">
        <f t="shared" ca="1" si="35"/>
        <v>2</v>
      </c>
      <c r="BC37" s="1">
        <f t="shared" ref="BC37:BC51" ca="1" si="46">+COUNTIF(BB37:BB37,BB37)-1</f>
        <v>0</v>
      </c>
    </row>
    <row r="38" spans="1:55" x14ac:dyDescent="0.25">
      <c r="A38" s="213"/>
      <c r="B38" s="61">
        <f>IF(Fixture!C37,Fixture!C37,"")</f>
        <v>45704</v>
      </c>
      <c r="C38" s="58">
        <v>0.47916666666666602</v>
      </c>
      <c r="D38" s="82" t="str">
        <f t="shared" ca="1" si="21"/>
        <v>Finalizado</v>
      </c>
      <c r="E38" s="207"/>
      <c r="F38" s="43">
        <f>+Fixture!B37</f>
        <v>36</v>
      </c>
      <c r="G38" s="42" t="str">
        <f>IF(VLOOKUP(F38,Fixture!$B$2:$F$137,3,FALSE)&lt;&gt;0,VLOOKUP(F38,Fixture!$B$2:$F$137,3,FALSE),"")</f>
        <v>CD El Corozo</v>
      </c>
      <c r="H38" s="44">
        <f ca="1">IF($D38="Finalizado",_xlfn.XLOOKUP(G38,Resumen!$A$6:$A$22,Resumen!R$6:R$22,0),"")</f>
        <v>3</v>
      </c>
      <c r="I38" s="44">
        <f ca="1">IF($D38="Finalizado",_xlfn.XLOOKUP(G38,Resumen!$A$6:$A$22,Resumen!S$6:S$22,0),"")</f>
        <v>4</v>
      </c>
      <c r="J38" s="44">
        <f ca="1">IF($D38="Finalizado",_xlfn.XLOOKUP(G38,Resumen!$A$6:$A$22,Resumen!T$6:T$22,0)+_xlfn.XLOOKUP(G38,Resumen!$A$6:$A$22,Resumen!U$6:U$22,0),"")</f>
        <v>0</v>
      </c>
      <c r="K38" s="44">
        <f t="shared" ca="1" si="0"/>
        <v>0</v>
      </c>
      <c r="L38" s="44">
        <f t="shared" ca="1" si="1"/>
        <v>1</v>
      </c>
      <c r="M38" s="44">
        <f t="shared" ca="1" si="2"/>
        <v>0</v>
      </c>
      <c r="N38" s="44">
        <f t="shared" ca="1" si="3"/>
        <v>1</v>
      </c>
      <c r="O38" s="45">
        <f t="shared" ca="1" si="4"/>
        <v>20</v>
      </c>
      <c r="P38" s="42" t="str">
        <f>IF(VLOOKUP(F38,Fixture!$B$2:$F$137,5,FALSE)&lt;&gt;0,VLOOKUP(F38,Fixture!$B$2:$F$137,5,FALSE),"")</f>
        <v>Hojas Anchas</v>
      </c>
      <c r="Q38" s="44">
        <f ca="1">IF($D38="Finalizado",_xlfn.XLOOKUP(P38,Resumen!$A$6:$A$22,Resumen!R$6:R$22,0),"")</f>
        <v>3</v>
      </c>
      <c r="R38" s="44">
        <f ca="1">IF($D38="Finalizado",_xlfn.XLOOKUP(P38,Resumen!$A$6:$A$22,Resumen!S$6:S$22,0),"")</f>
        <v>5</v>
      </c>
      <c r="S38" s="44">
        <f ca="1">IF($D38="Finalizado",_xlfn.XLOOKUP(P38,Resumen!$A$6:$A$22,Resumen!T$6:T$22,0)+_xlfn.XLOOKUP(P38,Resumen!$A$6:$A$22,Resumen!U$6:U$22,0),"")</f>
        <v>0</v>
      </c>
      <c r="T38" s="44">
        <f t="shared" ca="1" si="5"/>
        <v>0</v>
      </c>
      <c r="U38" s="44">
        <f t="shared" ca="1" si="9"/>
        <v>1</v>
      </c>
      <c r="V38" s="44">
        <f t="shared" ca="1" si="10"/>
        <v>0</v>
      </c>
      <c r="W38" s="44">
        <f t="shared" ca="1" si="6"/>
        <v>1</v>
      </c>
      <c r="X38" s="45">
        <f t="shared" ca="1" si="7"/>
        <v>25</v>
      </c>
      <c r="Y38" s="207"/>
      <c r="AA38" s="19" t="s">
        <v>43</v>
      </c>
      <c r="AB38"/>
      <c r="AC38" s="46" t="str">
        <f t="shared" ca="1" si="22"/>
        <v>Ron Star</v>
      </c>
      <c r="AD38">
        <f t="shared" ca="1" si="23"/>
        <v>17</v>
      </c>
      <c r="AE38">
        <f t="shared" ca="1" si="24"/>
        <v>11</v>
      </c>
      <c r="AF38">
        <f t="shared" ca="1" si="25"/>
        <v>1</v>
      </c>
      <c r="AG38">
        <f t="shared" ca="1" si="26"/>
        <v>5</v>
      </c>
      <c r="AH38">
        <f t="shared" ca="1" si="27"/>
        <v>77</v>
      </c>
      <c r="AI38">
        <f t="shared" ca="1" si="28"/>
        <v>54</v>
      </c>
      <c r="AJ38">
        <f t="shared" ca="1" si="29"/>
        <v>23</v>
      </c>
      <c r="AK38">
        <f t="shared" ca="1" si="30"/>
        <v>65</v>
      </c>
      <c r="AL38">
        <f t="shared" ca="1" si="31"/>
        <v>34</v>
      </c>
      <c r="AM38">
        <f t="shared" ca="1" si="32"/>
        <v>28021.956625000003</v>
      </c>
      <c r="AO38" s="1">
        <f t="shared" ca="1" si="36"/>
        <v>3</v>
      </c>
      <c r="AP38">
        <f t="shared" ref="AP38:AP51" ca="1" si="47">AZ38*1000+(AX38)+(AS38/10)+(AV38/1000)+IF(AY38&gt;0,(0.1/AY38),0)</f>
        <v>34024.178538461536</v>
      </c>
      <c r="AQ38" s="46" t="str">
        <f t="shared" ca="1" si="33"/>
        <v>Ron Star</v>
      </c>
      <c r="AR38">
        <f t="shared" ca="1" si="37"/>
        <v>17</v>
      </c>
      <c r="AS38">
        <f t="shared" ca="1" si="38"/>
        <v>11</v>
      </c>
      <c r="AT38">
        <f t="shared" ca="1" si="39"/>
        <v>1</v>
      </c>
      <c r="AU38">
        <f t="shared" ca="1" si="40"/>
        <v>5</v>
      </c>
      <c r="AV38">
        <f t="shared" ca="1" si="41"/>
        <v>77</v>
      </c>
      <c r="AW38">
        <f t="shared" ca="1" si="42"/>
        <v>54</v>
      </c>
      <c r="AX38">
        <f t="shared" ca="1" si="43"/>
        <v>23</v>
      </c>
      <c r="AY38">
        <f t="shared" ca="1" si="44"/>
        <v>65</v>
      </c>
      <c r="AZ38">
        <f t="shared" ca="1" si="45"/>
        <v>34</v>
      </c>
      <c r="BA38">
        <f t="shared" ca="1" si="34"/>
        <v>34024.178538461536</v>
      </c>
      <c r="BB38" s="1">
        <f t="shared" ca="1" si="35"/>
        <v>3</v>
      </c>
      <c r="BC38" s="1">
        <f t="shared" ca="1" si="46"/>
        <v>0</v>
      </c>
    </row>
    <row r="39" spans="1:55" x14ac:dyDescent="0.25">
      <c r="A39" s="213"/>
      <c r="B39" s="61">
        <f>IF(Fixture!C38,Fixture!C38,"")</f>
        <v>45704</v>
      </c>
      <c r="C39" s="58">
        <v>0.52777777777777701</v>
      </c>
      <c r="D39" s="82" t="str">
        <f t="shared" ca="1" si="21"/>
        <v>Finalizado</v>
      </c>
      <c r="E39" s="207"/>
      <c r="F39" s="43">
        <f>+Fixture!B38</f>
        <v>37</v>
      </c>
      <c r="G39" s="42" t="str">
        <f>IF(VLOOKUP(F39,Fixture!$B$2:$F$137,3,FALSE)&lt;&gt;0,VLOOKUP(F39,Fixture!$B$2:$F$137,3,FALSE),"")</f>
        <v>Atalanta</v>
      </c>
      <c r="H39" s="44">
        <f ca="1">IF($D39="Finalizado",_xlfn.XLOOKUP(G39,Resumen!$A$6:$A$22,Resumen!R$6:R$22,0),"")</f>
        <v>1</v>
      </c>
      <c r="I39" s="44">
        <f ca="1">IF($D39="Finalizado",_xlfn.XLOOKUP(G39,Resumen!$A$6:$A$22,Resumen!S$6:S$22,0),"")</f>
        <v>1</v>
      </c>
      <c r="J39" s="44">
        <f ca="1">IF($D39="Finalizado",_xlfn.XLOOKUP(G39,Resumen!$A$6:$A$22,Resumen!T$6:T$22,0)+_xlfn.XLOOKUP(G39,Resumen!$A$6:$A$22,Resumen!U$6:U$22,0),"")</f>
        <v>1</v>
      </c>
      <c r="K39" s="44">
        <f t="shared" ca="1" si="0"/>
        <v>0</v>
      </c>
      <c r="L39" s="44">
        <f t="shared" ca="1" si="1"/>
        <v>1</v>
      </c>
      <c r="M39" s="44">
        <f t="shared" ca="1" si="2"/>
        <v>0</v>
      </c>
      <c r="N39" s="44">
        <f t="shared" ca="1" si="3"/>
        <v>1</v>
      </c>
      <c r="O39" s="45">
        <f t="shared" ca="1" si="4"/>
        <v>15</v>
      </c>
      <c r="P39" s="42" t="str">
        <f>IF(VLOOKUP(F39,Fixture!$B$2:$F$137,5,FALSE)&lt;&gt;0,VLOOKUP(F39,Fixture!$B$2:$F$137,5,FALSE),"")</f>
        <v>Amenadim</v>
      </c>
      <c r="Q39" s="44">
        <f ca="1">IF($D39="Finalizado",_xlfn.XLOOKUP(P39,Resumen!$A$6:$A$22,Resumen!R$6:R$22,0),"")</f>
        <v>1</v>
      </c>
      <c r="R39" s="44">
        <f ca="1">IF($D39="Finalizado",_xlfn.XLOOKUP(P39,Resumen!$A$6:$A$22,Resumen!S$6:S$22,0),"")</f>
        <v>2</v>
      </c>
      <c r="S39" s="44">
        <f ca="1">IF($D39="Finalizado",_xlfn.XLOOKUP(P39,Resumen!$A$6:$A$22,Resumen!T$6:T$22,0)+_xlfn.XLOOKUP(P39,Resumen!$A$6:$A$22,Resumen!U$6:U$22,0),"")</f>
        <v>1</v>
      </c>
      <c r="T39" s="44">
        <f t="shared" ca="1" si="5"/>
        <v>0</v>
      </c>
      <c r="U39" s="44">
        <f t="shared" ca="1" si="9"/>
        <v>1</v>
      </c>
      <c r="V39" s="44">
        <f t="shared" ca="1" si="10"/>
        <v>0</v>
      </c>
      <c r="W39" s="44">
        <f t="shared" ca="1" si="6"/>
        <v>1</v>
      </c>
      <c r="X39" s="45">
        <f t="shared" ca="1" si="7"/>
        <v>20</v>
      </c>
      <c r="Y39" s="207"/>
      <c r="AA39" s="19" t="s">
        <v>44</v>
      </c>
      <c r="AB39"/>
      <c r="AC39" s="46" t="str">
        <f t="shared" ca="1" si="22"/>
        <v>Los Amigos</v>
      </c>
      <c r="AD39">
        <f t="shared" ca="1" si="23"/>
        <v>17</v>
      </c>
      <c r="AE39">
        <f t="shared" ca="1" si="24"/>
        <v>10</v>
      </c>
      <c r="AF39">
        <f t="shared" ca="1" si="25"/>
        <v>3</v>
      </c>
      <c r="AG39">
        <f t="shared" ca="1" si="26"/>
        <v>4</v>
      </c>
      <c r="AH39">
        <f t="shared" ca="1" si="27"/>
        <v>75</v>
      </c>
      <c r="AI39">
        <f t="shared" ca="1" si="28"/>
        <v>49</v>
      </c>
      <c r="AJ39">
        <f t="shared" ca="1" si="29"/>
        <v>26</v>
      </c>
      <c r="AK39">
        <f t="shared" ca="1" si="30"/>
        <v>130</v>
      </c>
      <c r="AL39">
        <f t="shared" ca="1" si="31"/>
        <v>33</v>
      </c>
      <c r="AM39">
        <f t="shared" ca="1" si="32"/>
        <v>45053.50495238095</v>
      </c>
      <c r="AO39" s="1">
        <f t="shared" ca="1" si="36"/>
        <v>4</v>
      </c>
      <c r="AP39">
        <f t="shared" ca="1" si="47"/>
        <v>33027.075769230767</v>
      </c>
      <c r="AQ39" s="46" t="str">
        <f t="shared" ca="1" si="33"/>
        <v>Los Amigos</v>
      </c>
      <c r="AR39">
        <f t="shared" ca="1" si="37"/>
        <v>17</v>
      </c>
      <c r="AS39">
        <f t="shared" ca="1" si="38"/>
        <v>10</v>
      </c>
      <c r="AT39">
        <f t="shared" ca="1" si="39"/>
        <v>3</v>
      </c>
      <c r="AU39">
        <f t="shared" ca="1" si="40"/>
        <v>4</v>
      </c>
      <c r="AV39">
        <f t="shared" ca="1" si="41"/>
        <v>75</v>
      </c>
      <c r="AW39">
        <f t="shared" ca="1" si="42"/>
        <v>49</v>
      </c>
      <c r="AX39">
        <f t="shared" ca="1" si="43"/>
        <v>26</v>
      </c>
      <c r="AY39">
        <f t="shared" ca="1" si="44"/>
        <v>130</v>
      </c>
      <c r="AZ39">
        <f t="shared" ca="1" si="45"/>
        <v>33</v>
      </c>
      <c r="BA39">
        <f t="shared" ca="1" si="34"/>
        <v>33027.075769230767</v>
      </c>
      <c r="BB39" s="1">
        <f t="shared" ca="1" si="35"/>
        <v>4</v>
      </c>
      <c r="BC39" s="1">
        <f t="shared" ca="1" si="46"/>
        <v>0</v>
      </c>
    </row>
    <row r="40" spans="1:55" x14ac:dyDescent="0.25">
      <c r="A40" s="213"/>
      <c r="B40" s="61">
        <f>IF(Fixture!C39,Fixture!C39,"")</f>
        <v>45704</v>
      </c>
      <c r="C40" s="58">
        <v>0.57638888888888895</v>
      </c>
      <c r="D40" s="82" t="str">
        <f t="shared" ca="1" si="21"/>
        <v>Finalizado</v>
      </c>
      <c r="E40" s="207"/>
      <c r="F40" s="43">
        <f>+Fixture!B39</f>
        <v>38</v>
      </c>
      <c r="G40" s="42" t="str">
        <f>IF(VLOOKUP(F40,Fixture!$B$2:$F$137,3,FALSE)&lt;&gt;0,VLOOKUP(F40,Fixture!$B$2:$F$137,3,FALSE),"")</f>
        <v>Valentín FC</v>
      </c>
      <c r="H40" s="44">
        <f ca="1">IF($D40="Finalizado",_xlfn.XLOOKUP(G40,Resumen!$A$6:$A$22,Resumen!R$6:R$22,0),"")</f>
        <v>5</v>
      </c>
      <c r="I40" s="44">
        <f ca="1">IF($D40="Finalizado",_xlfn.XLOOKUP(G40,Resumen!$A$6:$A$22,Resumen!S$6:S$22,0),"")</f>
        <v>2</v>
      </c>
      <c r="J40" s="44">
        <f ca="1">IF($D40="Finalizado",_xlfn.XLOOKUP(G40,Resumen!$A$6:$A$22,Resumen!T$6:T$22,0)+_xlfn.XLOOKUP(G40,Resumen!$A$6:$A$22,Resumen!U$6:U$22,0),"")</f>
        <v>0</v>
      </c>
      <c r="K40" s="44">
        <f t="shared" ca="1" si="0"/>
        <v>1</v>
      </c>
      <c r="L40" s="44">
        <f t="shared" ca="1" si="1"/>
        <v>0</v>
      </c>
      <c r="M40" s="44">
        <f t="shared" ca="1" si="2"/>
        <v>0</v>
      </c>
      <c r="N40" s="44">
        <f t="shared" ca="1" si="3"/>
        <v>1</v>
      </c>
      <c r="O40" s="45">
        <f t="shared" ca="1" si="4"/>
        <v>10</v>
      </c>
      <c r="P40" s="42" t="str">
        <f>IF(VLOOKUP(F40,Fixture!$B$2:$F$137,5,FALSE)&lt;&gt;0,VLOOKUP(F40,Fixture!$B$2:$F$137,5,FALSE),"")</f>
        <v>Deportivo Fénix</v>
      </c>
      <c r="Q40" s="44">
        <f ca="1">IF($D40="Finalizado",_xlfn.XLOOKUP(P40,Resumen!$A$6:$A$22,Resumen!R$6:R$22,0),"")</f>
        <v>1</v>
      </c>
      <c r="R40" s="44">
        <f ca="1">IF($D40="Finalizado",_xlfn.XLOOKUP(P40,Resumen!$A$6:$A$22,Resumen!S$6:S$22,0),"")</f>
        <v>1</v>
      </c>
      <c r="S40" s="44">
        <f ca="1">IF($D40="Finalizado",_xlfn.XLOOKUP(P40,Resumen!$A$6:$A$22,Resumen!T$6:T$22,0)+_xlfn.XLOOKUP(P40,Resumen!$A$6:$A$22,Resumen!U$6:U$22,0),"")</f>
        <v>0</v>
      </c>
      <c r="T40" s="44">
        <f t="shared" ca="1" si="5"/>
        <v>0</v>
      </c>
      <c r="U40" s="44">
        <f t="shared" ca="1" si="9"/>
        <v>0</v>
      </c>
      <c r="V40" s="44">
        <f t="shared" ca="1" si="10"/>
        <v>1</v>
      </c>
      <c r="W40" s="44">
        <f t="shared" ca="1" si="6"/>
        <v>1</v>
      </c>
      <c r="X40" s="45">
        <f t="shared" ca="1" si="7"/>
        <v>5</v>
      </c>
      <c r="Y40" s="207"/>
      <c r="AA40" s="19" t="s">
        <v>45</v>
      </c>
      <c r="AB40"/>
      <c r="AC40" s="46" t="str">
        <f t="shared" ca="1" si="22"/>
        <v>Konami</v>
      </c>
      <c r="AD40">
        <f t="shared" ca="1" si="23"/>
        <v>16</v>
      </c>
      <c r="AE40">
        <f t="shared" ca="1" si="24"/>
        <v>10</v>
      </c>
      <c r="AF40">
        <f t="shared" ca="1" si="25"/>
        <v>1</v>
      </c>
      <c r="AG40">
        <f t="shared" ca="1" si="26"/>
        <v>5</v>
      </c>
      <c r="AH40">
        <f t="shared" ca="1" si="27"/>
        <v>57</v>
      </c>
      <c r="AI40">
        <f t="shared" ca="1" si="28"/>
        <v>29</v>
      </c>
      <c r="AJ40">
        <f t="shared" ca="1" si="29"/>
        <v>28</v>
      </c>
      <c r="AK40">
        <f t="shared" ca="1" si="30"/>
        <v>35</v>
      </c>
      <c r="AL40">
        <f t="shared" ca="1" si="31"/>
        <v>31</v>
      </c>
      <c r="AM40">
        <f t="shared" ca="1" si="32"/>
        <v>33027.075769230767</v>
      </c>
      <c r="AO40" s="1">
        <f t="shared" ca="1" si="36"/>
        <v>5</v>
      </c>
      <c r="AP40">
        <f t="shared" ca="1" si="47"/>
        <v>31029.059857142856</v>
      </c>
      <c r="AQ40" s="46" t="str">
        <f t="shared" ca="1" si="33"/>
        <v>Konami</v>
      </c>
      <c r="AR40">
        <f t="shared" ca="1" si="37"/>
        <v>16</v>
      </c>
      <c r="AS40">
        <f t="shared" ca="1" si="38"/>
        <v>10</v>
      </c>
      <c r="AT40">
        <f t="shared" ca="1" si="39"/>
        <v>1</v>
      </c>
      <c r="AU40">
        <f t="shared" ca="1" si="40"/>
        <v>5</v>
      </c>
      <c r="AV40">
        <f t="shared" ca="1" si="41"/>
        <v>57</v>
      </c>
      <c r="AW40">
        <f t="shared" ca="1" si="42"/>
        <v>29</v>
      </c>
      <c r="AX40">
        <f t="shared" ca="1" si="43"/>
        <v>28</v>
      </c>
      <c r="AY40">
        <f t="shared" ca="1" si="44"/>
        <v>35</v>
      </c>
      <c r="AZ40">
        <f t="shared" ca="1" si="45"/>
        <v>31</v>
      </c>
      <c r="BA40">
        <f t="shared" ca="1" si="34"/>
        <v>31029.059857142856</v>
      </c>
      <c r="BB40" s="1">
        <f t="shared" ca="1" si="35"/>
        <v>5</v>
      </c>
      <c r="BC40" s="1">
        <f t="shared" ca="1" si="46"/>
        <v>0</v>
      </c>
    </row>
    <row r="41" spans="1:55" x14ac:dyDescent="0.25">
      <c r="A41" s="213"/>
      <c r="B41" s="61">
        <f>IF(Fixture!C40,Fixture!C40,"")</f>
        <v>45704</v>
      </c>
      <c r="C41" s="58">
        <v>0.625</v>
      </c>
      <c r="D41" s="82" t="str">
        <f t="shared" ca="1" si="21"/>
        <v>Finalizado</v>
      </c>
      <c r="E41" s="207"/>
      <c r="F41" s="43">
        <f>+Fixture!B40</f>
        <v>39</v>
      </c>
      <c r="G41" s="42" t="str">
        <f>IF(VLOOKUP(F41,Fixture!$B$2:$F$137,3,FALSE)&lt;&gt;0,VLOOKUP(F41,Fixture!$B$2:$F$137,3,FALSE),"")</f>
        <v>Konami</v>
      </c>
      <c r="H41" s="44">
        <f ca="1">IF($D41="Finalizado",_xlfn.XLOOKUP(G41,Resumen!$A$6:$A$22,Resumen!R$6:R$22,0),"")</f>
        <v>5</v>
      </c>
      <c r="I41" s="44">
        <f ca="1">IF($D41="Finalizado",_xlfn.XLOOKUP(G41,Resumen!$A$6:$A$22,Resumen!S$6:S$22,0),"")</f>
        <v>0</v>
      </c>
      <c r="J41" s="44">
        <f ca="1">IF($D41="Finalizado",_xlfn.XLOOKUP(G41,Resumen!$A$6:$A$22,Resumen!T$6:T$22,0)+_xlfn.XLOOKUP(G41,Resumen!$A$6:$A$22,Resumen!U$6:U$22,0),"")</f>
        <v>0</v>
      </c>
      <c r="K41" s="44">
        <f t="shared" ca="1" si="0"/>
        <v>1</v>
      </c>
      <c r="L41" s="44">
        <f t="shared" ca="1" si="1"/>
        <v>0</v>
      </c>
      <c r="M41" s="44">
        <f t="shared" ca="1" si="2"/>
        <v>0</v>
      </c>
      <c r="N41" s="44">
        <f t="shared" ca="1" si="3"/>
        <v>1</v>
      </c>
      <c r="O41" s="45">
        <f t="shared" ca="1" si="4"/>
        <v>0</v>
      </c>
      <c r="P41" s="42" t="str">
        <f>IF(VLOOKUP(F41,Fixture!$B$2:$F$137,5,FALSE)&lt;&gt;0,VLOOKUP(F41,Fixture!$B$2:$F$137,5,FALSE),"")</f>
        <v>La Amistad</v>
      </c>
      <c r="Q41" s="44">
        <f ca="1">IF($D41="Finalizado",_xlfn.XLOOKUP(P41,Resumen!$A$6:$A$22,Resumen!R$6:R$22,0),"")</f>
        <v>2</v>
      </c>
      <c r="R41" s="44">
        <f ca="1">IF($D41="Finalizado",_xlfn.XLOOKUP(P41,Resumen!$A$6:$A$22,Resumen!S$6:S$22,0),"")</f>
        <v>2</v>
      </c>
      <c r="S41" s="44">
        <f ca="1">IF($D41="Finalizado",_xlfn.XLOOKUP(P41,Resumen!$A$6:$A$22,Resumen!T$6:T$22,0)+_xlfn.XLOOKUP(P41,Resumen!$A$6:$A$22,Resumen!U$6:U$22,0),"")</f>
        <v>0</v>
      </c>
      <c r="T41" s="44">
        <f t="shared" ca="1" si="5"/>
        <v>0</v>
      </c>
      <c r="U41" s="44">
        <f t="shared" ca="1" si="9"/>
        <v>0</v>
      </c>
      <c r="V41" s="44">
        <f t="shared" ca="1" si="10"/>
        <v>1</v>
      </c>
      <c r="W41" s="44">
        <f t="shared" ca="1" si="6"/>
        <v>1</v>
      </c>
      <c r="X41" s="45">
        <f t="shared" ca="1" si="7"/>
        <v>10</v>
      </c>
      <c r="Y41" s="207"/>
      <c r="AA41" s="19" t="s">
        <v>46</v>
      </c>
      <c r="AB41"/>
      <c r="AC41" s="46" t="str">
        <f t="shared" ca="1" si="22"/>
        <v>Villanueva</v>
      </c>
      <c r="AD41">
        <f t="shared" ca="1" si="23"/>
        <v>16</v>
      </c>
      <c r="AE41">
        <f t="shared" ca="1" si="24"/>
        <v>9</v>
      </c>
      <c r="AF41">
        <f t="shared" ca="1" si="25"/>
        <v>1</v>
      </c>
      <c r="AG41">
        <f t="shared" ca="1" si="26"/>
        <v>6</v>
      </c>
      <c r="AH41">
        <f t="shared" ca="1" si="27"/>
        <v>56</v>
      </c>
      <c r="AI41">
        <f t="shared" ca="1" si="28"/>
        <v>35</v>
      </c>
      <c r="AJ41">
        <f t="shared" ca="1" si="29"/>
        <v>21</v>
      </c>
      <c r="AK41">
        <f t="shared" ca="1" si="30"/>
        <v>160</v>
      </c>
      <c r="AL41">
        <f t="shared" ca="1" si="31"/>
        <v>28</v>
      </c>
      <c r="AM41">
        <f t="shared" ca="1" si="32"/>
        <v>31029.059857142856</v>
      </c>
      <c r="AO41" s="1">
        <f t="shared" ca="1" si="36"/>
        <v>6</v>
      </c>
      <c r="AP41">
        <f t="shared" ca="1" si="47"/>
        <v>28021.956625000003</v>
      </c>
      <c r="AQ41" s="46" t="str">
        <f t="shared" ca="1" si="33"/>
        <v>Villanueva</v>
      </c>
      <c r="AR41">
        <f t="shared" ca="1" si="37"/>
        <v>16</v>
      </c>
      <c r="AS41">
        <f t="shared" ca="1" si="38"/>
        <v>9</v>
      </c>
      <c r="AT41">
        <f t="shared" ca="1" si="39"/>
        <v>1</v>
      </c>
      <c r="AU41">
        <f t="shared" ca="1" si="40"/>
        <v>6</v>
      </c>
      <c r="AV41">
        <f t="shared" ca="1" si="41"/>
        <v>56</v>
      </c>
      <c r="AW41">
        <f t="shared" ca="1" si="42"/>
        <v>35</v>
      </c>
      <c r="AX41">
        <f t="shared" ca="1" si="43"/>
        <v>21</v>
      </c>
      <c r="AY41">
        <f t="shared" ca="1" si="44"/>
        <v>160</v>
      </c>
      <c r="AZ41">
        <f t="shared" ca="1" si="45"/>
        <v>28</v>
      </c>
      <c r="BA41">
        <f t="shared" ca="1" si="34"/>
        <v>28021.956625000003</v>
      </c>
      <c r="BB41" s="1">
        <f t="shared" ca="1" si="35"/>
        <v>6</v>
      </c>
      <c r="BC41" s="1">
        <f t="shared" ca="1" si="46"/>
        <v>0</v>
      </c>
    </row>
    <row r="42" spans="1:55" ht="16.5" thickBot="1" x14ac:dyDescent="0.3">
      <c r="A42" s="214"/>
      <c r="B42" s="61">
        <f>IF(Fixture!C41,Fixture!C41,"")</f>
        <v>45704</v>
      </c>
      <c r="C42" s="58">
        <v>0.67361111111111105</v>
      </c>
      <c r="D42" s="82" t="str">
        <f t="shared" ca="1" si="21"/>
        <v>Finalizado</v>
      </c>
      <c r="E42" s="208"/>
      <c r="F42" s="90">
        <f>+Fixture!B41</f>
        <v>40</v>
      </c>
      <c r="G42" s="42" t="str">
        <f>IF(VLOOKUP(F42,Fixture!$B$2:$F$137,3,FALSE)&lt;&gt;0,VLOOKUP(F42,Fixture!$B$2:$F$137,3,FALSE),"")</f>
        <v>Rayos FC</v>
      </c>
      <c r="H42" s="48">
        <f ca="1">IF($D42="Finalizado",_xlfn.XLOOKUP(G42,Resumen!$A$6:$A$22,Resumen!R$6:R$22,0),"")</f>
        <v>0</v>
      </c>
      <c r="I42" s="48">
        <f ca="1">IF($D42="Finalizado",_xlfn.XLOOKUP(G42,Resumen!$A$6:$A$22,Resumen!S$6:S$22,0),"")</f>
        <v>0</v>
      </c>
      <c r="J42" s="48">
        <f ca="1">IF($D42="Finalizado",_xlfn.XLOOKUP(G42,Resumen!$A$6:$A$22,Resumen!T$6:T$22,0)+_xlfn.XLOOKUP(G42,Resumen!$A$6:$A$22,Resumen!U$6:U$22,0),"")</f>
        <v>3</v>
      </c>
      <c r="K42" s="48">
        <f t="shared" ca="1" si="0"/>
        <v>0</v>
      </c>
      <c r="L42" s="48">
        <f t="shared" ca="1" si="1"/>
        <v>0</v>
      </c>
      <c r="M42" s="48">
        <f t="shared" ca="1" si="2"/>
        <v>1</v>
      </c>
      <c r="N42" s="48">
        <f t="shared" ca="1" si="3"/>
        <v>1</v>
      </c>
      <c r="O42" s="49">
        <f t="shared" ca="1" si="4"/>
        <v>30</v>
      </c>
      <c r="P42" s="42" t="str">
        <f>IF(VLOOKUP(F42,Fixture!$B$2:$F$137,5,FALSE)&lt;&gt;0,VLOOKUP(F42,Fixture!$B$2:$F$137,5,FALSE),"")</f>
        <v>Boca Juniors</v>
      </c>
      <c r="Q42" s="48">
        <f ca="1">IF($D42="Finalizado",_xlfn.XLOOKUP(P42,Resumen!$A$6:$A$22,Resumen!R$6:R$22,0),"")</f>
        <v>3</v>
      </c>
      <c r="R42" s="48">
        <f ca="1">IF($D42="Finalizado",_xlfn.XLOOKUP(P42,Resumen!$A$6:$A$22,Resumen!S$6:S$22,0),"")</f>
        <v>0</v>
      </c>
      <c r="S42" s="48">
        <f ca="1">IF($D42="Finalizado",_xlfn.XLOOKUP(P42,Resumen!$A$6:$A$22,Resumen!T$6:T$22,0)+_xlfn.XLOOKUP(P42,Resumen!$A$6:$A$22,Resumen!U$6:U$22,0),"")</f>
        <v>0</v>
      </c>
      <c r="T42" s="44">
        <f t="shared" ca="1" si="5"/>
        <v>1</v>
      </c>
      <c r="U42" s="44">
        <f t="shared" ca="1" si="9"/>
        <v>0</v>
      </c>
      <c r="V42" s="44">
        <f t="shared" ca="1" si="10"/>
        <v>0</v>
      </c>
      <c r="W42" s="48">
        <f t="shared" ca="1" si="6"/>
        <v>1</v>
      </c>
      <c r="X42" s="49">
        <f t="shared" ca="1" si="7"/>
        <v>0</v>
      </c>
      <c r="Y42" s="208"/>
      <c r="AA42" s="19" t="s">
        <v>47</v>
      </c>
      <c r="AB42"/>
      <c r="AC42" s="46" t="str">
        <f t="shared" ca="1" si="22"/>
        <v>CD El Corozo</v>
      </c>
      <c r="AD42">
        <f t="shared" ca="1" si="23"/>
        <v>16</v>
      </c>
      <c r="AE42">
        <f t="shared" ca="1" si="24"/>
        <v>8</v>
      </c>
      <c r="AF42">
        <f t="shared" ca="1" si="25"/>
        <v>3</v>
      </c>
      <c r="AG42">
        <f t="shared" ca="1" si="26"/>
        <v>5</v>
      </c>
      <c r="AH42">
        <f t="shared" ca="1" si="27"/>
        <v>65</v>
      </c>
      <c r="AI42">
        <f t="shared" ca="1" si="28"/>
        <v>39</v>
      </c>
      <c r="AJ42">
        <f t="shared" ca="1" si="29"/>
        <v>26</v>
      </c>
      <c r="AK42">
        <f t="shared" ca="1" si="30"/>
        <v>90</v>
      </c>
      <c r="AL42">
        <f t="shared" ca="1" si="31"/>
        <v>27</v>
      </c>
      <c r="AM42">
        <f t="shared" ca="1" si="32"/>
        <v>2956.1062702702702</v>
      </c>
      <c r="AO42" s="1">
        <f t="shared" ca="1" si="36"/>
        <v>7</v>
      </c>
      <c r="AP42">
        <f t="shared" ca="1" si="47"/>
        <v>27026.866111111111</v>
      </c>
      <c r="AQ42" s="46" t="str">
        <f t="shared" ca="1" si="33"/>
        <v>CD El Corozo</v>
      </c>
      <c r="AR42">
        <f t="shared" ca="1" si="37"/>
        <v>16</v>
      </c>
      <c r="AS42">
        <f t="shared" ca="1" si="38"/>
        <v>8</v>
      </c>
      <c r="AT42">
        <f t="shared" ca="1" si="39"/>
        <v>3</v>
      </c>
      <c r="AU42">
        <f t="shared" ca="1" si="40"/>
        <v>5</v>
      </c>
      <c r="AV42">
        <f t="shared" ca="1" si="41"/>
        <v>65</v>
      </c>
      <c r="AW42">
        <f t="shared" ca="1" si="42"/>
        <v>39</v>
      </c>
      <c r="AX42">
        <f t="shared" ca="1" si="43"/>
        <v>26</v>
      </c>
      <c r="AY42">
        <f t="shared" ca="1" si="44"/>
        <v>90</v>
      </c>
      <c r="AZ42">
        <f t="shared" ca="1" si="45"/>
        <v>27</v>
      </c>
      <c r="BA42">
        <f t="shared" ca="1" si="34"/>
        <v>27026.866111111111</v>
      </c>
      <c r="BB42" s="1">
        <f t="shared" ca="1" si="35"/>
        <v>7</v>
      </c>
      <c r="BC42" s="1">
        <f t="shared" ca="1" si="46"/>
        <v>0</v>
      </c>
    </row>
    <row r="43" spans="1:55" x14ac:dyDescent="0.25">
      <c r="A43" s="212" t="s">
        <v>10</v>
      </c>
      <c r="B43" s="60">
        <f>IF(Fixture!C42,Fixture!C42,"")</f>
        <v>45711</v>
      </c>
      <c r="C43" s="58">
        <v>0.33333333333333331</v>
      </c>
      <c r="D43" s="82" t="str">
        <f t="shared" ca="1" si="21"/>
        <v>Finalizado</v>
      </c>
      <c r="E43" s="206" t="s">
        <v>114</v>
      </c>
      <c r="F43" s="43">
        <f>+Fixture!B42</f>
        <v>41</v>
      </c>
      <c r="G43" s="42" t="str">
        <f>IF(VLOOKUP(F43,Fixture!$B$2:$F$137,3,FALSE)&lt;&gt;0,VLOOKUP(F43,Fixture!$B$2:$F$137,3,FALSE),"")</f>
        <v>Villanueva</v>
      </c>
      <c r="H43" s="44">
        <f ca="1">IF($D43="Finalizado",_xlfn.XLOOKUP(G43,Resumen!$A$6:$A$22,Resumen!V$6:V$22,0),"")</f>
        <v>0</v>
      </c>
      <c r="I43" s="44">
        <f ca="1">IF($D43="Finalizado",_xlfn.XLOOKUP(G43,Resumen!$A$6:$A$22,Resumen!W$6:W$22,0),"")</f>
        <v>0</v>
      </c>
      <c r="J43" s="44">
        <f ca="1">IF($D43="Finalizado",_xlfn.XLOOKUP(G43,Resumen!$A$6:$A$22,Resumen!X$6:X$22,0)+_xlfn.XLOOKUP(G43,Resumen!$A$6:$A$22,Resumen!Y$6:Y$22,0),"")</f>
        <v>1</v>
      </c>
      <c r="K43" s="44">
        <f t="shared" ca="1" si="0"/>
        <v>0</v>
      </c>
      <c r="L43" s="44">
        <f t="shared" ca="1" si="1"/>
        <v>0</v>
      </c>
      <c r="M43" s="44">
        <f t="shared" ca="1" si="2"/>
        <v>1</v>
      </c>
      <c r="N43" s="44">
        <f t="shared" ca="1" si="3"/>
        <v>1</v>
      </c>
      <c r="O43" s="45">
        <f t="shared" ca="1" si="4"/>
        <v>10</v>
      </c>
      <c r="P43" s="42" t="str">
        <f>IF(VLOOKUP(F43,Fixture!$B$2:$F$137,5,FALSE)&lt;&gt;0,VLOOKUP(F43,Fixture!$B$2:$F$137,5,FALSE),"")</f>
        <v>La Amistad</v>
      </c>
      <c r="Q43" s="44">
        <f ca="1">IF($D43="Finalizado",_xlfn.XLOOKUP(P43,Resumen!$A$6:$A$22,Resumen!V$6:V$22,0),"")</f>
        <v>3</v>
      </c>
      <c r="R43" s="44">
        <f ca="1">IF($D43="Finalizado",_xlfn.XLOOKUP(P43,Resumen!$A$6:$A$22,Resumen!W$6:W$22,0),"")</f>
        <v>1</v>
      </c>
      <c r="S43" s="44">
        <f ca="1">IF($D43="Finalizado",_xlfn.XLOOKUP(P43,Resumen!$A$6:$A$22,Resumen!X$6:X$22,0)+_xlfn.XLOOKUP(P43,Resumen!$A$6:$A$22,Resumen!Y$6:Y$22,0),"")</f>
        <v>0</v>
      </c>
      <c r="T43" s="44">
        <f t="shared" ca="1" si="5"/>
        <v>1</v>
      </c>
      <c r="U43" s="44">
        <f t="shared" ca="1" si="9"/>
        <v>0</v>
      </c>
      <c r="V43" s="44">
        <f t="shared" ca="1" si="10"/>
        <v>0</v>
      </c>
      <c r="W43" s="44">
        <f t="shared" ca="1" si="6"/>
        <v>1</v>
      </c>
      <c r="X43" s="45">
        <f t="shared" ca="1" si="7"/>
        <v>5</v>
      </c>
      <c r="Y43" s="206" t="str">
        <f>+A43</f>
        <v>Fecha 6</v>
      </c>
      <c r="AA43" s="19" t="s">
        <v>48</v>
      </c>
      <c r="AB43"/>
      <c r="AC43" s="46" t="str">
        <f t="shared" ca="1" si="22"/>
        <v>Boca Juniors</v>
      </c>
      <c r="AD43">
        <f t="shared" ca="1" si="23"/>
        <v>17</v>
      </c>
      <c r="AE43">
        <f t="shared" ca="1" si="24"/>
        <v>9</v>
      </c>
      <c r="AF43">
        <f t="shared" ca="1" si="25"/>
        <v>0</v>
      </c>
      <c r="AG43">
        <f t="shared" ca="1" si="26"/>
        <v>8</v>
      </c>
      <c r="AH43">
        <f t="shared" ca="1" si="27"/>
        <v>54</v>
      </c>
      <c r="AI43">
        <f t="shared" ca="1" si="28"/>
        <v>48</v>
      </c>
      <c r="AJ43">
        <f t="shared" ca="1" si="29"/>
        <v>6</v>
      </c>
      <c r="AK43">
        <f t="shared" ca="1" si="30"/>
        <v>140</v>
      </c>
      <c r="AL43">
        <f t="shared" ca="1" si="31"/>
        <v>27</v>
      </c>
      <c r="AM43">
        <f t="shared" ca="1" si="32"/>
        <v>25008.859176470589</v>
      </c>
      <c r="AO43" s="1">
        <f t="shared" ca="1" si="36"/>
        <v>8</v>
      </c>
      <c r="AP43">
        <f t="shared" ca="1" si="47"/>
        <v>27006.954714285715</v>
      </c>
      <c r="AQ43" s="46" t="str">
        <f t="shared" ca="1" si="33"/>
        <v>Boca Juniors</v>
      </c>
      <c r="AR43">
        <f t="shared" ca="1" si="37"/>
        <v>17</v>
      </c>
      <c r="AS43">
        <f t="shared" ca="1" si="38"/>
        <v>9</v>
      </c>
      <c r="AT43">
        <f t="shared" ca="1" si="39"/>
        <v>0</v>
      </c>
      <c r="AU43">
        <f t="shared" ca="1" si="40"/>
        <v>8</v>
      </c>
      <c r="AV43">
        <f t="shared" ca="1" si="41"/>
        <v>54</v>
      </c>
      <c r="AW43">
        <f t="shared" ca="1" si="42"/>
        <v>48</v>
      </c>
      <c r="AX43">
        <f t="shared" ca="1" si="43"/>
        <v>6</v>
      </c>
      <c r="AY43">
        <f t="shared" ca="1" si="44"/>
        <v>140</v>
      </c>
      <c r="AZ43">
        <f t="shared" ca="1" si="45"/>
        <v>27</v>
      </c>
      <c r="BA43">
        <f t="shared" ca="1" si="34"/>
        <v>27006.954714285715</v>
      </c>
      <c r="BB43" s="1">
        <f t="shared" ca="1" si="35"/>
        <v>8</v>
      </c>
      <c r="BC43" s="1">
        <f t="shared" ca="1" si="46"/>
        <v>0</v>
      </c>
    </row>
    <row r="44" spans="1:55" x14ac:dyDescent="0.25">
      <c r="A44" s="213"/>
      <c r="B44" s="61">
        <f>IF(Fixture!C43,Fixture!C43,"")</f>
        <v>45711</v>
      </c>
      <c r="C44" s="58">
        <v>0.38194444444444442</v>
      </c>
      <c r="D44" s="82" t="str">
        <f t="shared" ca="1" si="21"/>
        <v>Finalizado</v>
      </c>
      <c r="E44" s="207"/>
      <c r="F44" s="43">
        <f>+Fixture!B43</f>
        <v>42</v>
      </c>
      <c r="G44" s="42" t="str">
        <f>IF(VLOOKUP(F44,Fixture!$B$2:$F$137,3,FALSE)&lt;&gt;0,VLOOKUP(F44,Fixture!$B$2:$F$137,3,FALSE),"")</f>
        <v>Valentín FC</v>
      </c>
      <c r="H44" s="44">
        <f ca="1">IF($D44="Finalizado",_xlfn.XLOOKUP(G44,Resumen!$A$6:$A$22,Resumen!V$6:V$22,0),"")</f>
        <v>1</v>
      </c>
      <c r="I44" s="44">
        <f ca="1">IF($D44="Finalizado",_xlfn.XLOOKUP(G44,Resumen!$A$6:$A$22,Resumen!W$6:W$22,0),"")</f>
        <v>2</v>
      </c>
      <c r="J44" s="44">
        <f ca="1">IF($D44="Finalizado",_xlfn.XLOOKUP(G44,Resumen!$A$6:$A$22,Resumen!X$6:X$22,0)+_xlfn.XLOOKUP(G44,Resumen!$A$6:$A$22,Resumen!Y$6:Y$22,0),"")</f>
        <v>0</v>
      </c>
      <c r="K44" s="44">
        <f t="shared" ca="1" si="0"/>
        <v>0</v>
      </c>
      <c r="L44" s="44">
        <f t="shared" ca="1" si="1"/>
        <v>0</v>
      </c>
      <c r="M44" s="44">
        <f t="shared" ca="1" si="2"/>
        <v>1</v>
      </c>
      <c r="N44" s="44">
        <f t="shared" ca="1" si="3"/>
        <v>1</v>
      </c>
      <c r="O44" s="45">
        <f t="shared" ca="1" si="4"/>
        <v>10</v>
      </c>
      <c r="P44" s="42" t="str">
        <f>IF(VLOOKUP(F44,Fixture!$B$2:$F$137,5,FALSE)&lt;&gt;0,VLOOKUP(F44,Fixture!$B$2:$F$137,5,FALSE),"")</f>
        <v>Konami</v>
      </c>
      <c r="Q44" s="44">
        <f ca="1">IF($D44="Finalizado",_xlfn.XLOOKUP(P44,Resumen!$A$6:$A$22,Resumen!V$6:V$22,0),"")</f>
        <v>2</v>
      </c>
      <c r="R44" s="44">
        <f ca="1">IF($D44="Finalizado",_xlfn.XLOOKUP(P44,Resumen!$A$6:$A$22,Resumen!W$6:W$22,0),"")</f>
        <v>1</v>
      </c>
      <c r="S44" s="44">
        <f ca="1">IF($D44="Finalizado",_xlfn.XLOOKUP(P44,Resumen!$A$6:$A$22,Resumen!X$6:X$22,0)+_xlfn.XLOOKUP(P44,Resumen!$A$6:$A$22,Resumen!Y$6:Y$22,0),"")</f>
        <v>0</v>
      </c>
      <c r="T44" s="44">
        <f t="shared" ca="1" si="5"/>
        <v>1</v>
      </c>
      <c r="U44" s="44">
        <f t="shared" ca="1" si="9"/>
        <v>0</v>
      </c>
      <c r="V44" s="44">
        <f t="shared" ca="1" si="10"/>
        <v>0</v>
      </c>
      <c r="W44" s="44">
        <f t="shared" ca="1" si="6"/>
        <v>1</v>
      </c>
      <c r="X44" s="45">
        <f t="shared" ca="1" si="7"/>
        <v>5</v>
      </c>
      <c r="Y44" s="207"/>
      <c r="AA44" s="19" t="s">
        <v>49</v>
      </c>
      <c r="AB44"/>
      <c r="AC44" s="46" t="str">
        <f t="shared" ca="1" si="22"/>
        <v>Valentín FC</v>
      </c>
      <c r="AD44">
        <f t="shared" ca="1" si="23"/>
        <v>17</v>
      </c>
      <c r="AE44">
        <f t="shared" ca="1" si="24"/>
        <v>7</v>
      </c>
      <c r="AF44">
        <f t="shared" ca="1" si="25"/>
        <v>4</v>
      </c>
      <c r="AG44">
        <f t="shared" ca="1" si="26"/>
        <v>6</v>
      </c>
      <c r="AH44">
        <f t="shared" ca="1" si="27"/>
        <v>57</v>
      </c>
      <c r="AI44">
        <f t="shared" ca="1" si="28"/>
        <v>42</v>
      </c>
      <c r="AJ44">
        <f t="shared" ca="1" si="29"/>
        <v>15</v>
      </c>
      <c r="AK44">
        <f t="shared" ca="1" si="30"/>
        <v>150</v>
      </c>
      <c r="AL44">
        <f t="shared" ca="1" si="31"/>
        <v>25</v>
      </c>
      <c r="AM44">
        <f t="shared" ca="1" si="32"/>
        <v>25015.757666666668</v>
      </c>
      <c r="AO44" s="1">
        <f t="shared" ca="1" si="36"/>
        <v>9</v>
      </c>
      <c r="AP44">
        <f t="shared" ca="1" si="47"/>
        <v>25015.757666666668</v>
      </c>
      <c r="AQ44" s="46" t="str">
        <f t="shared" ca="1" si="33"/>
        <v>Valentín FC</v>
      </c>
      <c r="AR44">
        <f t="shared" ca="1" si="37"/>
        <v>17</v>
      </c>
      <c r="AS44">
        <f t="shared" ca="1" si="38"/>
        <v>7</v>
      </c>
      <c r="AT44">
        <f t="shared" ca="1" si="39"/>
        <v>4</v>
      </c>
      <c r="AU44">
        <f t="shared" ca="1" si="40"/>
        <v>6</v>
      </c>
      <c r="AV44">
        <f t="shared" ca="1" si="41"/>
        <v>57</v>
      </c>
      <c r="AW44">
        <f t="shared" ca="1" si="42"/>
        <v>42</v>
      </c>
      <c r="AX44">
        <f t="shared" ca="1" si="43"/>
        <v>15</v>
      </c>
      <c r="AY44">
        <f t="shared" ca="1" si="44"/>
        <v>150</v>
      </c>
      <c r="AZ44">
        <f t="shared" ca="1" si="45"/>
        <v>25</v>
      </c>
      <c r="BA44">
        <f t="shared" ca="1" si="34"/>
        <v>25015.757666666668</v>
      </c>
      <c r="BB44" s="1">
        <f t="shared" ca="1" si="35"/>
        <v>9</v>
      </c>
      <c r="BC44" s="1">
        <f t="shared" ca="1" si="46"/>
        <v>0</v>
      </c>
    </row>
    <row r="45" spans="1:55" x14ac:dyDescent="0.25">
      <c r="A45" s="213"/>
      <c r="B45" s="61">
        <f>IF(Fixture!C44,Fixture!C44,"")</f>
        <v>45711</v>
      </c>
      <c r="C45" s="58">
        <v>0.43055555555555602</v>
      </c>
      <c r="D45" s="82" t="str">
        <f t="shared" ca="1" si="21"/>
        <v>Finalizado</v>
      </c>
      <c r="E45" s="207"/>
      <c r="F45" s="43">
        <f>+Fixture!B44</f>
        <v>43</v>
      </c>
      <c r="G45" s="42" t="str">
        <f>IF(VLOOKUP(F45,Fixture!$B$2:$F$137,3,FALSE)&lt;&gt;0,VLOOKUP(F45,Fixture!$B$2:$F$137,3,FALSE),"")</f>
        <v>Atalanta</v>
      </c>
      <c r="H45" s="44">
        <f ca="1">IF($D45="Finalizado",_xlfn.XLOOKUP(G45,Resumen!$A$6:$A$22,Resumen!V$6:V$22,0),"")</f>
        <v>2</v>
      </c>
      <c r="I45" s="44">
        <f ca="1">IF($D45="Finalizado",_xlfn.XLOOKUP(G45,Resumen!$A$6:$A$22,Resumen!W$6:W$22,0),"")</f>
        <v>0</v>
      </c>
      <c r="J45" s="44">
        <f ca="1">IF($D45="Finalizado",_xlfn.XLOOKUP(G45,Resumen!$A$6:$A$22,Resumen!X$6:X$22,0)+_xlfn.XLOOKUP(G45,Resumen!$A$6:$A$22,Resumen!Y$6:Y$22,0),"")</f>
        <v>0</v>
      </c>
      <c r="K45" s="44">
        <f t="shared" ca="1" si="0"/>
        <v>0</v>
      </c>
      <c r="L45" s="44">
        <f t="shared" ca="1" si="1"/>
        <v>0</v>
      </c>
      <c r="M45" s="44">
        <f t="shared" ca="1" si="2"/>
        <v>1</v>
      </c>
      <c r="N45" s="44">
        <f t="shared" ca="1" si="3"/>
        <v>1</v>
      </c>
      <c r="O45" s="45">
        <f t="shared" ca="1" si="4"/>
        <v>0</v>
      </c>
      <c r="P45" s="42" t="str">
        <f>IF(VLOOKUP(F45,Fixture!$B$2:$F$137,5,FALSE)&lt;&gt;0,VLOOKUP(F45,Fixture!$B$2:$F$137,5,FALSE),"")</f>
        <v>Hojas Anchas</v>
      </c>
      <c r="Q45" s="44">
        <f ca="1">IF($D45="Finalizado",_xlfn.XLOOKUP(P45,Resumen!$A$6:$A$22,Resumen!V$6:V$22,0),"")</f>
        <v>4</v>
      </c>
      <c r="R45" s="44">
        <f ca="1">IF($D45="Finalizado",_xlfn.XLOOKUP(P45,Resumen!$A$6:$A$22,Resumen!W$6:W$22,0),"")</f>
        <v>0</v>
      </c>
      <c r="S45" s="44">
        <f ca="1">IF($D45="Finalizado",_xlfn.XLOOKUP(P45,Resumen!$A$6:$A$22,Resumen!X$6:X$22,0)+_xlfn.XLOOKUP(P45,Resumen!$A$6:$A$22,Resumen!Y$6:Y$22,0),"")</f>
        <v>0</v>
      </c>
      <c r="T45" s="44">
        <f t="shared" ca="1" si="5"/>
        <v>1</v>
      </c>
      <c r="U45" s="44">
        <f t="shared" ca="1" si="9"/>
        <v>0</v>
      </c>
      <c r="V45" s="44">
        <f t="shared" ca="1" si="10"/>
        <v>0</v>
      </c>
      <c r="W45" s="44">
        <f t="shared" ca="1" si="6"/>
        <v>1</v>
      </c>
      <c r="X45" s="45">
        <f t="shared" ca="1" si="7"/>
        <v>0</v>
      </c>
      <c r="Y45" s="207"/>
      <c r="AA45" s="19" t="s">
        <v>240</v>
      </c>
      <c r="AB45"/>
      <c r="AC45" s="46" t="str">
        <f t="shared" ca="1" si="22"/>
        <v>Amenadim</v>
      </c>
      <c r="AD45">
        <f t="shared" ca="1" si="23"/>
        <v>17</v>
      </c>
      <c r="AE45">
        <f t="shared" ca="1" si="24"/>
        <v>8</v>
      </c>
      <c r="AF45">
        <f t="shared" ca="1" si="25"/>
        <v>1</v>
      </c>
      <c r="AG45">
        <f t="shared" ca="1" si="26"/>
        <v>8</v>
      </c>
      <c r="AH45">
        <f t="shared" ca="1" si="27"/>
        <v>58</v>
      </c>
      <c r="AI45">
        <f t="shared" ca="1" si="28"/>
        <v>50</v>
      </c>
      <c r="AJ45">
        <f t="shared" ca="1" si="29"/>
        <v>8</v>
      </c>
      <c r="AK45">
        <f t="shared" ca="1" si="30"/>
        <v>85</v>
      </c>
      <c r="AL45">
        <f t="shared" ca="1" si="31"/>
        <v>25</v>
      </c>
      <c r="AM45">
        <f t="shared" ca="1" si="32"/>
        <v>27026.866111111111</v>
      </c>
      <c r="AO45" s="1">
        <f t="shared" ca="1" si="36"/>
        <v>10</v>
      </c>
      <c r="AP45">
        <f t="shared" ca="1" si="47"/>
        <v>25008.859176470589</v>
      </c>
      <c r="AQ45" s="46" t="str">
        <f t="shared" ca="1" si="33"/>
        <v>Amenadim</v>
      </c>
      <c r="AR45">
        <f t="shared" ca="1" si="37"/>
        <v>17</v>
      </c>
      <c r="AS45">
        <f t="shared" ca="1" si="38"/>
        <v>8</v>
      </c>
      <c r="AT45">
        <f t="shared" ca="1" si="39"/>
        <v>1</v>
      </c>
      <c r="AU45">
        <f t="shared" ca="1" si="40"/>
        <v>8</v>
      </c>
      <c r="AV45">
        <f t="shared" ca="1" si="41"/>
        <v>58</v>
      </c>
      <c r="AW45">
        <f t="shared" ca="1" si="42"/>
        <v>50</v>
      </c>
      <c r="AX45">
        <f t="shared" ca="1" si="43"/>
        <v>8</v>
      </c>
      <c r="AY45">
        <f t="shared" ca="1" si="44"/>
        <v>85</v>
      </c>
      <c r="AZ45">
        <f t="shared" ca="1" si="45"/>
        <v>25</v>
      </c>
      <c r="BA45">
        <f t="shared" ca="1" si="34"/>
        <v>25008.859176470589</v>
      </c>
      <c r="BB45" s="1">
        <f t="shared" ca="1" si="35"/>
        <v>10</v>
      </c>
      <c r="BC45" s="1">
        <f t="shared" ca="1" si="46"/>
        <v>0</v>
      </c>
    </row>
    <row r="46" spans="1:55" x14ac:dyDescent="0.25">
      <c r="A46" s="213"/>
      <c r="B46" s="61">
        <f>IF(Fixture!C45,Fixture!C45,"")</f>
        <v>45711</v>
      </c>
      <c r="C46" s="58">
        <v>0.47916666666666602</v>
      </c>
      <c r="D46" s="82" t="str">
        <f t="shared" ca="1" si="21"/>
        <v>Finalizado</v>
      </c>
      <c r="E46" s="207"/>
      <c r="F46" s="43">
        <f>+Fixture!B45</f>
        <v>44</v>
      </c>
      <c r="G46" s="42" t="str">
        <f>IF(VLOOKUP(F46,Fixture!$B$2:$F$137,3,FALSE)&lt;&gt;0,VLOOKUP(F46,Fixture!$B$2:$F$137,3,FALSE),"")</f>
        <v>Amenadim</v>
      </c>
      <c r="H46" s="44">
        <f ca="1">IF($D46="Finalizado",_xlfn.XLOOKUP(G46,Resumen!$A$6:$A$22,Resumen!V$6:V$22,0),"")</f>
        <v>2</v>
      </c>
      <c r="I46" s="44">
        <f ca="1">IF($D46="Finalizado",_xlfn.XLOOKUP(G46,Resumen!$A$6:$A$22,Resumen!W$6:W$22,0),"")</f>
        <v>0</v>
      </c>
      <c r="J46" s="44">
        <f ca="1">IF($D46="Finalizado",_xlfn.XLOOKUP(G46,Resumen!$A$6:$A$22,Resumen!X$6:X$22,0)+_xlfn.XLOOKUP(G46,Resumen!$A$6:$A$22,Resumen!Y$6:Y$22,0),"")</f>
        <v>0</v>
      </c>
      <c r="K46" s="44">
        <f t="shared" ca="1" si="0"/>
        <v>0</v>
      </c>
      <c r="L46" s="44">
        <f t="shared" ca="1" si="1"/>
        <v>0</v>
      </c>
      <c r="M46" s="44">
        <f t="shared" ca="1" si="2"/>
        <v>1</v>
      </c>
      <c r="N46" s="44">
        <f t="shared" ca="1" si="3"/>
        <v>1</v>
      </c>
      <c r="O46" s="45">
        <f t="shared" ca="1" si="4"/>
        <v>0</v>
      </c>
      <c r="P46" s="42" t="str">
        <f>IF(VLOOKUP(F46,Fixture!$B$2:$F$137,5,FALSE)&lt;&gt;0,VLOOKUP(F46,Fixture!$B$2:$F$137,5,FALSE),"")</f>
        <v>Los Amigos</v>
      </c>
      <c r="Q46" s="44">
        <f ca="1">IF($D46="Finalizado",_xlfn.XLOOKUP(P46,Resumen!$A$6:$A$22,Resumen!V$6:V$22,0),"")</f>
        <v>6</v>
      </c>
      <c r="R46" s="44">
        <f ca="1">IF($D46="Finalizado",_xlfn.XLOOKUP(P46,Resumen!$A$6:$A$22,Resumen!W$6:W$22,0),"")</f>
        <v>3</v>
      </c>
      <c r="S46" s="44">
        <f ca="1">IF($D46="Finalizado",_xlfn.XLOOKUP(P46,Resumen!$A$6:$A$22,Resumen!X$6:X$22,0)+_xlfn.XLOOKUP(P46,Resumen!$A$6:$A$22,Resumen!Y$6:Y$22,0),"")</f>
        <v>0</v>
      </c>
      <c r="T46" s="44">
        <f t="shared" ca="1" si="5"/>
        <v>1</v>
      </c>
      <c r="U46" s="44">
        <f t="shared" ca="1" si="9"/>
        <v>0</v>
      </c>
      <c r="V46" s="44">
        <f t="shared" ca="1" si="10"/>
        <v>0</v>
      </c>
      <c r="W46" s="44">
        <f t="shared" ca="1" si="6"/>
        <v>1</v>
      </c>
      <c r="X46" s="45">
        <f t="shared" ca="1" si="7"/>
        <v>15</v>
      </c>
      <c r="Y46" s="207"/>
      <c r="AA46" s="19" t="s">
        <v>241</v>
      </c>
      <c r="AB46"/>
      <c r="AC46" s="46" t="str">
        <f t="shared" ca="1" si="22"/>
        <v>Hojas Anchas</v>
      </c>
      <c r="AD46">
        <f t="shared" ca="1" si="23"/>
        <v>17</v>
      </c>
      <c r="AE46">
        <f t="shared" ca="1" si="24"/>
        <v>6</v>
      </c>
      <c r="AF46">
        <f t="shared" ca="1" si="25"/>
        <v>5</v>
      </c>
      <c r="AG46">
        <f t="shared" ca="1" si="26"/>
        <v>6</v>
      </c>
      <c r="AH46">
        <f t="shared" ca="1" si="27"/>
        <v>55</v>
      </c>
      <c r="AI46">
        <f t="shared" ca="1" si="28"/>
        <v>56</v>
      </c>
      <c r="AJ46">
        <f t="shared" ca="1" si="29"/>
        <v>-1</v>
      </c>
      <c r="AK46">
        <f t="shared" ca="1" si="30"/>
        <v>160</v>
      </c>
      <c r="AL46">
        <f t="shared" ca="1" si="31"/>
        <v>23</v>
      </c>
      <c r="AM46">
        <f t="shared" ca="1" si="32"/>
        <v>27006.954714285715</v>
      </c>
      <c r="AO46" s="1">
        <f t="shared" ca="1" si="36"/>
        <v>11</v>
      </c>
      <c r="AP46">
        <f t="shared" ca="1" si="47"/>
        <v>22999.655624999999</v>
      </c>
      <c r="AQ46" s="46" t="str">
        <f t="shared" ca="1" si="33"/>
        <v>Hojas Anchas</v>
      </c>
      <c r="AR46">
        <f t="shared" ca="1" si="37"/>
        <v>17</v>
      </c>
      <c r="AS46">
        <f t="shared" ca="1" si="38"/>
        <v>6</v>
      </c>
      <c r="AT46">
        <f t="shared" ca="1" si="39"/>
        <v>5</v>
      </c>
      <c r="AU46">
        <f t="shared" ca="1" si="40"/>
        <v>6</v>
      </c>
      <c r="AV46">
        <f t="shared" ca="1" si="41"/>
        <v>55</v>
      </c>
      <c r="AW46">
        <f t="shared" ca="1" si="42"/>
        <v>56</v>
      </c>
      <c r="AX46">
        <f t="shared" ca="1" si="43"/>
        <v>-1</v>
      </c>
      <c r="AY46">
        <f ca="1">SUMIF($AQ$56:$AQ$100,$AQ46,$AY$56:$AY$100)</f>
        <v>160</v>
      </c>
      <c r="AZ46">
        <f t="shared" ca="1" si="45"/>
        <v>23</v>
      </c>
      <c r="BA46">
        <f t="shared" ca="1" si="34"/>
        <v>22999.655624999999</v>
      </c>
      <c r="BB46" s="1">
        <f t="shared" ca="1" si="35"/>
        <v>11</v>
      </c>
      <c r="BC46" s="1">
        <f t="shared" ca="1" si="46"/>
        <v>0</v>
      </c>
    </row>
    <row r="47" spans="1:55" x14ac:dyDescent="0.25">
      <c r="A47" s="213"/>
      <c r="B47" s="61">
        <f>IF(Fixture!C46,Fixture!C46,"")</f>
        <v>45711</v>
      </c>
      <c r="C47" s="58">
        <v>0.52777777777777701</v>
      </c>
      <c r="D47" s="82" t="str">
        <f t="shared" ca="1" si="21"/>
        <v>Finalizado</v>
      </c>
      <c r="E47" s="207"/>
      <c r="F47" s="43">
        <f>+Fixture!B46</f>
        <v>45</v>
      </c>
      <c r="G47" s="42" t="str">
        <f>IF(VLOOKUP(F47,Fixture!$B$2:$F$137,3,FALSE)&lt;&gt;0,VLOOKUP(F47,Fixture!$B$2:$F$137,3,FALSE),"")</f>
        <v>CD El Corozo</v>
      </c>
      <c r="H47" s="44">
        <f ca="1">IF($D47="Finalizado",_xlfn.XLOOKUP(G47,Resumen!$A$6:$A$22,Resumen!V$6:V$22,0),"")</f>
        <v>4</v>
      </c>
      <c r="I47" s="44">
        <f ca="1">IF($D47="Finalizado",_xlfn.XLOOKUP(G47,Resumen!$A$6:$A$22,Resumen!W$6:W$22,0),"")</f>
        <v>1</v>
      </c>
      <c r="J47" s="44">
        <f ca="1">IF($D47="Finalizado",_xlfn.XLOOKUP(G47,Resumen!$A$6:$A$22,Resumen!X$6:X$22,0)+_xlfn.XLOOKUP(G47,Resumen!$A$6:$A$22,Resumen!Y$6:Y$22,0),"")</f>
        <v>0</v>
      </c>
      <c r="K47" s="44">
        <f t="shared" ca="1" si="0"/>
        <v>1</v>
      </c>
      <c r="L47" s="44">
        <f t="shared" ca="1" si="1"/>
        <v>0</v>
      </c>
      <c r="M47" s="44">
        <f t="shared" ca="1" si="2"/>
        <v>0</v>
      </c>
      <c r="N47" s="44">
        <f t="shared" ca="1" si="3"/>
        <v>1</v>
      </c>
      <c r="O47" s="45">
        <f t="shared" ca="1" si="4"/>
        <v>5</v>
      </c>
      <c r="P47" s="42" t="str">
        <f>IF(VLOOKUP(F47,Fixture!$B$2:$F$137,5,FALSE)&lt;&gt;0,VLOOKUP(F47,Fixture!$B$2:$F$137,5,FALSE),"")</f>
        <v>Los Aliados</v>
      </c>
      <c r="Q47" s="44">
        <f ca="1">IF($D47="Finalizado",_xlfn.XLOOKUP(P47,Resumen!$A$6:$A$22,Resumen!V$6:V$22,0),"")</f>
        <v>3</v>
      </c>
      <c r="R47" s="44">
        <f ca="1">IF($D47="Finalizado",_xlfn.XLOOKUP(P47,Resumen!$A$6:$A$22,Resumen!W$6:W$22,0),"")</f>
        <v>2</v>
      </c>
      <c r="S47" s="44">
        <f ca="1">IF($D47="Finalizado",_xlfn.XLOOKUP(P47,Resumen!$A$6:$A$22,Resumen!X$6:X$22,0)+_xlfn.XLOOKUP(P47,Resumen!$A$6:$A$22,Resumen!Y$6:Y$22,0),"")</f>
        <v>0</v>
      </c>
      <c r="T47" s="44">
        <f t="shared" ca="1" si="5"/>
        <v>0</v>
      </c>
      <c r="U47" s="44">
        <f t="shared" ca="1" si="9"/>
        <v>0</v>
      </c>
      <c r="V47" s="44">
        <f t="shared" ca="1" si="10"/>
        <v>1</v>
      </c>
      <c r="W47" s="44">
        <f t="shared" ca="1" si="6"/>
        <v>1</v>
      </c>
      <c r="X47" s="45">
        <f t="shared" ca="1" si="7"/>
        <v>10</v>
      </c>
      <c r="Y47" s="207"/>
      <c r="AA47" s="19" t="s">
        <v>242</v>
      </c>
      <c r="AB47"/>
      <c r="AC47" s="46" t="str">
        <f t="shared" ca="1" si="22"/>
        <v>Deportivo Fénix</v>
      </c>
      <c r="AD47">
        <f t="shared" ca="1" si="23"/>
        <v>17</v>
      </c>
      <c r="AE47">
        <f t="shared" ca="1" si="24"/>
        <v>6</v>
      </c>
      <c r="AF47">
        <f t="shared" ca="1" si="25"/>
        <v>1</v>
      </c>
      <c r="AG47">
        <f t="shared" ca="1" si="26"/>
        <v>10</v>
      </c>
      <c r="AH47">
        <f t="shared" ca="1" si="27"/>
        <v>45</v>
      </c>
      <c r="AI47">
        <f t="shared" ca="1" si="28"/>
        <v>88</v>
      </c>
      <c r="AJ47">
        <f t="shared" ca="1" si="29"/>
        <v>-43</v>
      </c>
      <c r="AK47">
        <f t="shared" ca="1" si="30"/>
        <v>75</v>
      </c>
      <c r="AL47">
        <f t="shared" ca="1" si="31"/>
        <v>19</v>
      </c>
      <c r="AM47">
        <f t="shared" ca="1" si="32"/>
        <v>22999.655624999999</v>
      </c>
      <c r="AO47" s="1">
        <f t="shared" ca="1" si="36"/>
        <v>12</v>
      </c>
      <c r="AP47">
        <f t="shared" ca="1" si="47"/>
        <v>18957.64633333333</v>
      </c>
      <c r="AQ47" s="46" t="str">
        <f t="shared" ca="1" si="33"/>
        <v>Deportivo Fénix</v>
      </c>
      <c r="AR47">
        <f t="shared" ca="1" si="37"/>
        <v>17</v>
      </c>
      <c r="AS47">
        <f t="shared" ca="1" si="38"/>
        <v>6</v>
      </c>
      <c r="AT47">
        <f t="shared" ca="1" si="39"/>
        <v>1</v>
      </c>
      <c r="AU47">
        <f t="shared" ca="1" si="40"/>
        <v>10</v>
      </c>
      <c r="AV47">
        <f t="shared" ca="1" si="41"/>
        <v>45</v>
      </c>
      <c r="AW47">
        <f t="shared" ca="1" si="42"/>
        <v>88</v>
      </c>
      <c r="AX47">
        <f t="shared" ca="1" si="43"/>
        <v>-43</v>
      </c>
      <c r="AY47">
        <f t="shared" ca="1" si="44"/>
        <v>75</v>
      </c>
      <c r="AZ47">
        <f t="shared" ca="1" si="45"/>
        <v>19</v>
      </c>
      <c r="BA47">
        <f t="shared" ca="1" si="34"/>
        <v>18957.64633333333</v>
      </c>
      <c r="BB47" s="1">
        <f t="shared" ca="1" si="35"/>
        <v>12</v>
      </c>
      <c r="BC47" s="1">
        <f t="shared" ca="1" si="46"/>
        <v>0</v>
      </c>
    </row>
    <row r="48" spans="1:55" x14ac:dyDescent="0.25">
      <c r="A48" s="213"/>
      <c r="B48" s="61">
        <f>IF(Fixture!C47,Fixture!C47,"")</f>
        <v>45711</v>
      </c>
      <c r="C48" s="58">
        <v>0.57638888888888895</v>
      </c>
      <c r="D48" s="82" t="str">
        <f t="shared" ca="1" si="21"/>
        <v>Finalizado</v>
      </c>
      <c r="E48" s="207"/>
      <c r="F48" s="43">
        <f>+Fixture!B47</f>
        <v>46</v>
      </c>
      <c r="G48" s="42" t="str">
        <f>IF(VLOOKUP(F48,Fixture!$B$2:$F$137,3,FALSE)&lt;&gt;0,VLOOKUP(F48,Fixture!$B$2:$F$137,3,FALSE),"")</f>
        <v>La Unión FC</v>
      </c>
      <c r="H48" s="44">
        <f ca="1">IF($D48="Finalizado",_xlfn.XLOOKUP(G48,Resumen!$A$6:$A$22,Resumen!V$6:V$22,0),"")</f>
        <v>3</v>
      </c>
      <c r="I48" s="44">
        <f ca="1">IF($D48="Finalizado",_xlfn.XLOOKUP(G48,Resumen!$A$6:$A$22,Resumen!W$6:W$22,0),"")</f>
        <v>1</v>
      </c>
      <c r="J48" s="44">
        <f ca="1">IF($D48="Finalizado",_xlfn.XLOOKUP(G48,Resumen!$A$6:$A$22,Resumen!X$6:X$22,0)+_xlfn.XLOOKUP(G48,Resumen!$A$6:$A$22,Resumen!Y$6:Y$22,0),"")</f>
        <v>0</v>
      </c>
      <c r="K48" s="44">
        <f t="shared" ca="1" si="0"/>
        <v>1</v>
      </c>
      <c r="L48" s="44">
        <f t="shared" ca="1" si="1"/>
        <v>0</v>
      </c>
      <c r="M48" s="44">
        <f t="shared" ca="1" si="2"/>
        <v>0</v>
      </c>
      <c r="N48" s="44">
        <f t="shared" ca="1" si="3"/>
        <v>1</v>
      </c>
      <c r="O48" s="45">
        <f t="shared" ca="1" si="4"/>
        <v>5</v>
      </c>
      <c r="P48" s="42" t="str">
        <f>IF(VLOOKUP(F48,Fixture!$B$2:$F$137,5,FALSE)&lt;&gt;0,VLOOKUP(F48,Fixture!$B$2:$F$137,5,FALSE),"")</f>
        <v>Boca Juniors</v>
      </c>
      <c r="Q48" s="44">
        <f ca="1">IF($D48="Finalizado",_xlfn.XLOOKUP(P48,Resumen!$A$6:$A$22,Resumen!V$6:V$22,0),"")</f>
        <v>2</v>
      </c>
      <c r="R48" s="44">
        <f ca="1">IF($D48="Finalizado",_xlfn.XLOOKUP(P48,Resumen!$A$6:$A$22,Resumen!W$6:W$22,0),"")</f>
        <v>1</v>
      </c>
      <c r="S48" s="44">
        <f ca="1">IF($D48="Finalizado",_xlfn.XLOOKUP(P48,Resumen!$A$6:$A$22,Resumen!X$6:X$22,0)+_xlfn.XLOOKUP(P48,Resumen!$A$6:$A$22,Resumen!Y$6:Y$22,0),"")</f>
        <v>0</v>
      </c>
      <c r="T48" s="44">
        <f t="shared" ca="1" si="5"/>
        <v>0</v>
      </c>
      <c r="U48" s="44">
        <f t="shared" ca="1" si="9"/>
        <v>0</v>
      </c>
      <c r="V48" s="44">
        <f t="shared" ca="1" si="10"/>
        <v>1</v>
      </c>
      <c r="W48" s="44">
        <f t="shared" ca="1" si="6"/>
        <v>1</v>
      </c>
      <c r="X48" s="45">
        <f t="shared" ca="1" si="7"/>
        <v>5</v>
      </c>
      <c r="Y48" s="207"/>
      <c r="AA48" s="19" t="s">
        <v>245</v>
      </c>
      <c r="AB48"/>
      <c r="AC48" s="46" t="str">
        <f t="shared" ca="1" si="22"/>
        <v>Los Aliados</v>
      </c>
      <c r="AD48">
        <f t="shared" ca="1" si="23"/>
        <v>18</v>
      </c>
      <c r="AE48">
        <f t="shared" ca="1" si="24"/>
        <v>4</v>
      </c>
      <c r="AF48">
        <f t="shared" ca="1" si="25"/>
        <v>2</v>
      </c>
      <c r="AG48">
        <f t="shared" ca="1" si="26"/>
        <v>12</v>
      </c>
      <c r="AH48">
        <f t="shared" ca="1" si="27"/>
        <v>37</v>
      </c>
      <c r="AI48">
        <f t="shared" ca="1" si="28"/>
        <v>84</v>
      </c>
      <c r="AJ48">
        <f t="shared" ca="1" si="29"/>
        <v>-47</v>
      </c>
      <c r="AK48">
        <f t="shared" ca="1" si="30"/>
        <v>135</v>
      </c>
      <c r="AL48">
        <f t="shared" ca="1" si="31"/>
        <v>14</v>
      </c>
      <c r="AM48">
        <f t="shared" ca="1" si="32"/>
        <v>8970.2374285714286</v>
      </c>
      <c r="AO48" s="1">
        <f t="shared" ca="1" si="36"/>
        <v>13</v>
      </c>
      <c r="AP48">
        <f t="shared" ca="1" si="47"/>
        <v>13953.437740740741</v>
      </c>
      <c r="AQ48" s="46" t="str">
        <f t="shared" ca="1" si="33"/>
        <v>Los Aliados</v>
      </c>
      <c r="AR48">
        <f t="shared" ca="1" si="37"/>
        <v>18</v>
      </c>
      <c r="AS48">
        <f t="shared" ca="1" si="38"/>
        <v>4</v>
      </c>
      <c r="AT48">
        <f t="shared" ca="1" si="39"/>
        <v>2</v>
      </c>
      <c r="AU48">
        <f t="shared" ca="1" si="40"/>
        <v>12</v>
      </c>
      <c r="AV48">
        <f t="shared" ca="1" si="41"/>
        <v>37</v>
      </c>
      <c r="AW48">
        <f t="shared" ca="1" si="42"/>
        <v>84</v>
      </c>
      <c r="AX48">
        <f t="shared" ca="1" si="43"/>
        <v>-47</v>
      </c>
      <c r="AY48">
        <f t="shared" ca="1" si="44"/>
        <v>135</v>
      </c>
      <c r="AZ48">
        <f t="shared" ca="1" si="45"/>
        <v>14</v>
      </c>
      <c r="BA48">
        <f t="shared" ca="1" si="34"/>
        <v>13953.437740740741</v>
      </c>
      <c r="BB48" s="1">
        <f t="shared" ca="1" si="35"/>
        <v>13</v>
      </c>
      <c r="BC48" s="1">
        <f t="shared" ca="1" si="46"/>
        <v>0</v>
      </c>
    </row>
    <row r="49" spans="1:55" x14ac:dyDescent="0.25">
      <c r="A49" s="213"/>
      <c r="B49" s="61">
        <f>IF(Fixture!C48,Fixture!C48,"")</f>
        <v>45711</v>
      </c>
      <c r="C49" s="58">
        <v>0.625</v>
      </c>
      <c r="D49" s="82" t="str">
        <f t="shared" ca="1" si="21"/>
        <v>Finalizado</v>
      </c>
      <c r="E49" s="207"/>
      <c r="F49" s="43">
        <f>+Fixture!B48</f>
        <v>47</v>
      </c>
      <c r="G49" s="42" t="str">
        <f>IF(VLOOKUP(F49,Fixture!$B$2:$F$137,3,FALSE)&lt;&gt;0,VLOOKUP(F49,Fixture!$B$2:$F$137,3,FALSE),"")</f>
        <v>Ron Star</v>
      </c>
      <c r="H49" s="44">
        <f ca="1">IF($D49="Finalizado",_xlfn.XLOOKUP(G49,Resumen!$A$6:$A$22,Resumen!V$6:V$22,0),"")</f>
        <v>9</v>
      </c>
      <c r="I49" s="44">
        <f ca="1">IF($D49="Finalizado",_xlfn.XLOOKUP(G49,Resumen!$A$6:$A$22,Resumen!W$6:W$22,0),"")</f>
        <v>0</v>
      </c>
      <c r="J49" s="44">
        <f ca="1">IF($D49="Finalizado",_xlfn.XLOOKUP(G49,Resumen!$A$6:$A$22,Resumen!X$6:X$22,0)+_xlfn.XLOOKUP(G49,Resumen!$A$6:$A$22,Resumen!Y$6:Y$22,0),"")</f>
        <v>0</v>
      </c>
      <c r="K49" s="44">
        <f t="shared" ca="1" si="0"/>
        <v>1</v>
      </c>
      <c r="L49" s="44">
        <f t="shared" ca="1" si="1"/>
        <v>0</v>
      </c>
      <c r="M49" s="44">
        <f t="shared" ca="1" si="2"/>
        <v>0</v>
      </c>
      <c r="N49" s="44">
        <f t="shared" ca="1" si="3"/>
        <v>1</v>
      </c>
      <c r="O49" s="45">
        <f t="shared" ca="1" si="4"/>
        <v>0</v>
      </c>
      <c r="P49" s="42" t="str">
        <f>IF(VLOOKUP(F49,Fixture!$B$2:$F$137,5,FALSE)&lt;&gt;0,VLOOKUP(F49,Fixture!$B$2:$F$137,5,FALSE),"")</f>
        <v>La Nueva Era</v>
      </c>
      <c r="Q49" s="44">
        <f ca="1">IF($D49="Finalizado",_xlfn.XLOOKUP(P49,Resumen!$A$6:$A$22,Resumen!V$6:V$22,0),"")</f>
        <v>2</v>
      </c>
      <c r="R49" s="44">
        <f ca="1">IF($D49="Finalizado",_xlfn.XLOOKUP(P49,Resumen!$A$6:$A$22,Resumen!W$6:W$22,0),"")</f>
        <v>0</v>
      </c>
      <c r="S49" s="44">
        <f ca="1">IF($D49="Finalizado",_xlfn.XLOOKUP(P49,Resumen!$A$6:$A$22,Resumen!X$6:X$22,0)+_xlfn.XLOOKUP(P49,Resumen!$A$6:$A$22,Resumen!Y$6:Y$22,0),"")</f>
        <v>0</v>
      </c>
      <c r="T49" s="44">
        <f t="shared" ca="1" si="5"/>
        <v>0</v>
      </c>
      <c r="U49" s="44">
        <f t="shared" ca="1" si="9"/>
        <v>0</v>
      </c>
      <c r="V49" s="44">
        <f t="shared" ca="1" si="10"/>
        <v>1</v>
      </c>
      <c r="W49" s="44">
        <f t="shared" ca="1" si="6"/>
        <v>1</v>
      </c>
      <c r="X49" s="45">
        <f t="shared" ca="1" si="7"/>
        <v>0</v>
      </c>
      <c r="Y49" s="207"/>
      <c r="AA49" s="19" t="s">
        <v>252</v>
      </c>
      <c r="AB49"/>
      <c r="AC49" s="46" t="str">
        <f t="shared" ca="1" si="22"/>
        <v>Atalanta</v>
      </c>
      <c r="AD49">
        <f t="shared" ca="1" si="23"/>
        <v>18</v>
      </c>
      <c r="AE49">
        <f t="shared" ca="1" si="24"/>
        <v>2</v>
      </c>
      <c r="AF49">
        <f t="shared" ca="1" si="25"/>
        <v>3</v>
      </c>
      <c r="AG49">
        <f t="shared" ca="1" si="26"/>
        <v>13</v>
      </c>
      <c r="AH49">
        <f t="shared" ca="1" si="27"/>
        <v>36</v>
      </c>
      <c r="AI49">
        <f t="shared" ca="1" si="28"/>
        <v>66</v>
      </c>
      <c r="AJ49">
        <f t="shared" ca="1" si="29"/>
        <v>-30</v>
      </c>
      <c r="AK49">
        <f t="shared" ca="1" si="30"/>
        <v>70</v>
      </c>
      <c r="AL49">
        <f t="shared" ca="1" si="31"/>
        <v>9</v>
      </c>
      <c r="AM49">
        <f t="shared" ca="1" si="32"/>
        <v>8917.3362222222204</v>
      </c>
      <c r="AO49" s="1">
        <f t="shared" ca="1" si="36"/>
        <v>14</v>
      </c>
      <c r="AP49">
        <f t="shared" ca="1" si="47"/>
        <v>8970.2374285714286</v>
      </c>
      <c r="AQ49" s="46" t="str">
        <f t="shared" ca="1" si="33"/>
        <v>Atalanta</v>
      </c>
      <c r="AR49">
        <f t="shared" ca="1" si="37"/>
        <v>18</v>
      </c>
      <c r="AS49">
        <f t="shared" ca="1" si="38"/>
        <v>2</v>
      </c>
      <c r="AT49">
        <f t="shared" ca="1" si="39"/>
        <v>3</v>
      </c>
      <c r="AU49">
        <f t="shared" ca="1" si="40"/>
        <v>13</v>
      </c>
      <c r="AV49">
        <f t="shared" ca="1" si="41"/>
        <v>36</v>
      </c>
      <c r="AW49">
        <f t="shared" ca="1" si="42"/>
        <v>66</v>
      </c>
      <c r="AX49">
        <f t="shared" ca="1" si="43"/>
        <v>-30</v>
      </c>
      <c r="AY49">
        <f t="shared" ca="1" si="44"/>
        <v>70</v>
      </c>
      <c r="AZ49">
        <f t="shared" ca="1" si="45"/>
        <v>9</v>
      </c>
      <c r="BA49">
        <f t="shared" ca="1" si="34"/>
        <v>8970.2374285714286</v>
      </c>
      <c r="BB49" s="1">
        <f t="shared" ca="1" si="35"/>
        <v>14</v>
      </c>
      <c r="BC49" s="1">
        <f t="shared" ca="1" si="46"/>
        <v>0</v>
      </c>
    </row>
    <row r="50" spans="1:55" ht="16.5" thickBot="1" x14ac:dyDescent="0.3">
      <c r="A50" s="214"/>
      <c r="B50" s="61">
        <f>IF(Fixture!C49,Fixture!C49,"")</f>
        <v>45711</v>
      </c>
      <c r="C50" s="58">
        <v>0.67361111111111105</v>
      </c>
      <c r="D50" s="82" t="str">
        <f t="shared" ca="1" si="21"/>
        <v>Finalizado</v>
      </c>
      <c r="E50" s="208"/>
      <c r="F50" s="90">
        <f>+Fixture!B49</f>
        <v>48</v>
      </c>
      <c r="G50" s="42" t="str">
        <f>IF(VLOOKUP(F50,Fixture!$B$2:$F$137,3,FALSE)&lt;&gt;0,VLOOKUP(F50,Fixture!$B$2:$F$137,3,FALSE),"")</f>
        <v>Rayos FC</v>
      </c>
      <c r="H50" s="48">
        <f ca="1">IF($D50="Finalizado",_xlfn.XLOOKUP(G50,Resumen!$A$6:$A$22,Resumen!V$6:V$22,0),"")</f>
        <v>0</v>
      </c>
      <c r="I50" s="48">
        <f ca="1">IF($D50="Finalizado",_xlfn.XLOOKUP(G50,Resumen!$A$6:$A$22,Resumen!W$6:W$22,0),"")</f>
        <v>0</v>
      </c>
      <c r="J50" s="48">
        <f ca="1">IF($D50="Finalizado",_xlfn.XLOOKUP(G50,Resumen!$A$6:$A$22,Resumen!X$6:X$22,0)+_xlfn.XLOOKUP(G50,Resumen!$A$6:$A$22,Resumen!Y$6:Y$22,0),"")</f>
        <v>3</v>
      </c>
      <c r="K50" s="48">
        <f t="shared" ca="1" si="0"/>
        <v>0</v>
      </c>
      <c r="L50" s="48">
        <f t="shared" ca="1" si="1"/>
        <v>0</v>
      </c>
      <c r="M50" s="48">
        <f t="shared" ca="1" si="2"/>
        <v>1</v>
      </c>
      <c r="N50" s="48">
        <f t="shared" ca="1" si="3"/>
        <v>1</v>
      </c>
      <c r="O50" s="49">
        <f t="shared" ca="1" si="4"/>
        <v>30</v>
      </c>
      <c r="P50" s="42" t="str">
        <f>IF(VLOOKUP(F50,Fixture!$B$2:$F$137,5,FALSE)&lt;&gt;0,VLOOKUP(F50,Fixture!$B$2:$F$137,5,FALSE),"")</f>
        <v>Deportivo Fénix</v>
      </c>
      <c r="Q50" s="48">
        <f ca="1">IF($D50="Finalizado",_xlfn.XLOOKUP(P50,Resumen!$A$6:$A$22,Resumen!V$6:V$22,0),"")</f>
        <v>3</v>
      </c>
      <c r="R50" s="48">
        <f ca="1">IF($D50="Finalizado",_xlfn.XLOOKUP(P50,Resumen!$A$6:$A$22,Resumen!W$6:W$22,0),"")</f>
        <v>0</v>
      </c>
      <c r="S50" s="48">
        <f ca="1">IF($D50="Finalizado",_xlfn.XLOOKUP(P50,Resumen!$A$6:$A$22,Resumen!X$6:X$22,0)+_xlfn.XLOOKUP(P50,Resumen!$A$6:$A$22,Resumen!Y$6:Y$22,0),"")</f>
        <v>0</v>
      </c>
      <c r="T50" s="44">
        <f t="shared" ca="1" si="5"/>
        <v>1</v>
      </c>
      <c r="U50" s="44">
        <f t="shared" ca="1" si="9"/>
        <v>0</v>
      </c>
      <c r="V50" s="44">
        <f t="shared" ca="1" si="10"/>
        <v>0</v>
      </c>
      <c r="W50" s="48">
        <f t="shared" ca="1" si="6"/>
        <v>1</v>
      </c>
      <c r="X50" s="49">
        <f t="shared" ca="1" si="7"/>
        <v>0</v>
      </c>
      <c r="Y50" s="208"/>
      <c r="AA50" s="19" t="s">
        <v>253</v>
      </c>
      <c r="AB50"/>
      <c r="AC50" s="46" t="str">
        <f t="shared" ca="1" si="22"/>
        <v>La Nueva Era</v>
      </c>
      <c r="AD50">
        <f t="shared" ca="1" si="23"/>
        <v>17</v>
      </c>
      <c r="AE50">
        <f t="shared" ca="1" si="24"/>
        <v>3</v>
      </c>
      <c r="AF50">
        <f t="shared" ca="1" si="25"/>
        <v>0</v>
      </c>
      <c r="AG50">
        <f t="shared" ca="1" si="26"/>
        <v>14</v>
      </c>
      <c r="AH50">
        <f t="shared" ca="1" si="27"/>
        <v>34</v>
      </c>
      <c r="AI50">
        <f t="shared" ca="1" si="28"/>
        <v>117</v>
      </c>
      <c r="AJ50">
        <f t="shared" ca="1" si="29"/>
        <v>-83</v>
      </c>
      <c r="AK50">
        <f t="shared" ca="1" si="30"/>
        <v>45</v>
      </c>
      <c r="AL50">
        <f t="shared" ca="1" si="31"/>
        <v>9</v>
      </c>
      <c r="AM50">
        <f t="shared" ca="1" si="32"/>
        <v>38044.280666666658</v>
      </c>
      <c r="AO50" s="1">
        <f t="shared" ca="1" si="36"/>
        <v>15</v>
      </c>
      <c r="AP50">
        <f t="shared" ca="1" si="47"/>
        <v>8917.3362222222204</v>
      </c>
      <c r="AQ50" s="46" t="str">
        <f t="shared" ca="1" si="33"/>
        <v>La Nueva Era</v>
      </c>
      <c r="AR50">
        <f t="shared" ca="1" si="37"/>
        <v>17</v>
      </c>
      <c r="AS50">
        <f t="shared" ca="1" si="38"/>
        <v>3</v>
      </c>
      <c r="AT50">
        <f t="shared" ca="1" si="39"/>
        <v>0</v>
      </c>
      <c r="AU50">
        <f t="shared" ca="1" si="40"/>
        <v>14</v>
      </c>
      <c r="AV50">
        <f t="shared" ca="1" si="41"/>
        <v>34</v>
      </c>
      <c r="AW50">
        <f t="shared" ca="1" si="42"/>
        <v>117</v>
      </c>
      <c r="AX50">
        <f t="shared" ca="1" si="43"/>
        <v>-83</v>
      </c>
      <c r="AY50">
        <f t="shared" ca="1" si="44"/>
        <v>45</v>
      </c>
      <c r="AZ50">
        <f t="shared" ca="1" si="45"/>
        <v>9</v>
      </c>
      <c r="BA50">
        <f t="shared" ca="1" si="34"/>
        <v>8917.3362222222204</v>
      </c>
      <c r="BB50" s="1">
        <f t="shared" ca="1" si="35"/>
        <v>15</v>
      </c>
      <c r="BC50" s="1">
        <f t="shared" ca="1" si="46"/>
        <v>0</v>
      </c>
    </row>
    <row r="51" spans="1:55" x14ac:dyDescent="0.25">
      <c r="A51" s="212" t="s">
        <v>11</v>
      </c>
      <c r="B51" s="60">
        <f>IF(Fixture!C50,Fixture!C50,"")</f>
        <v>45718</v>
      </c>
      <c r="C51" s="58">
        <v>0.33333333333333331</v>
      </c>
      <c r="D51" s="82" t="str">
        <f t="shared" ca="1" si="21"/>
        <v>Finalizado</v>
      </c>
      <c r="E51" s="206" t="s">
        <v>114</v>
      </c>
      <c r="F51" s="43">
        <f>+Fixture!B50</f>
        <v>49</v>
      </c>
      <c r="G51" s="42" t="str">
        <f>IF(VLOOKUP(F51,Fixture!$B$2:$F$137,3,FALSE)&lt;&gt;0,VLOOKUP(F51,Fixture!$B$2:$F$137,3,FALSE),"")</f>
        <v>Ron Star</v>
      </c>
      <c r="H51" s="44">
        <f ca="1">IF($D51="Finalizado",_xlfn.XLOOKUP(G51,Resumen!$A$6:$A$22,Resumen!Z$6:Z$22,0),"")</f>
        <v>5</v>
      </c>
      <c r="I51" s="44">
        <f ca="1">IF($D51="Finalizado",_xlfn.XLOOKUP(G51,Resumen!$A$6:$A$22,Resumen!AA$6:AA$22,0),"")</f>
        <v>0</v>
      </c>
      <c r="J51" s="44">
        <f ca="1">IF($D51="Finalizado",_xlfn.XLOOKUP(G51,Resumen!$A$6:$A$22,Resumen!AB$6:AB$22,0)+_xlfn.XLOOKUP(G51,Resumen!$A$6:$A$22,Resumen!AC$6:AC$22,0),"")</f>
        <v>0</v>
      </c>
      <c r="K51" s="44">
        <f t="shared" ca="1" si="0"/>
        <v>0</v>
      </c>
      <c r="L51" s="44">
        <f t="shared" ca="1" si="1"/>
        <v>1</v>
      </c>
      <c r="M51" s="44">
        <f t="shared" ca="1" si="2"/>
        <v>0</v>
      </c>
      <c r="N51" s="44">
        <f t="shared" ca="1" si="3"/>
        <v>1</v>
      </c>
      <c r="O51" s="45">
        <f t="shared" ca="1" si="4"/>
        <v>0</v>
      </c>
      <c r="P51" s="42" t="str">
        <f>IF(VLOOKUP(F51,Fixture!$B$2:$F$137,5,FALSE)&lt;&gt;0,VLOOKUP(F51,Fixture!$B$2:$F$137,5,FALSE),"")</f>
        <v>La Amistad</v>
      </c>
      <c r="Q51" s="44">
        <f ca="1">IF($D51="Finalizado",_xlfn.XLOOKUP(P51,Resumen!$A$6:$A$22,Resumen!Z$6:Z$22,0),"")</f>
        <v>5</v>
      </c>
      <c r="R51" s="44">
        <f ca="1">IF($D51="Finalizado",_xlfn.XLOOKUP(P51,Resumen!$A$6:$A$22,Resumen!AA$6:AA$22,0),"")</f>
        <v>0</v>
      </c>
      <c r="S51" s="44">
        <f ca="1">IF($D51="Finalizado",_xlfn.XLOOKUP(P51,Resumen!$A$6:$A$22,Resumen!AB$6:AB$22,0)+_xlfn.XLOOKUP(P51,Resumen!$A$6:$A$22,Resumen!AC$6:AC$22,0),"")</f>
        <v>0</v>
      </c>
      <c r="T51" s="44">
        <f t="shared" ca="1" si="5"/>
        <v>0</v>
      </c>
      <c r="U51" s="44">
        <f t="shared" ca="1" si="9"/>
        <v>1</v>
      </c>
      <c r="V51" s="44">
        <f t="shared" ca="1" si="10"/>
        <v>0</v>
      </c>
      <c r="W51" s="44">
        <f t="shared" ca="1" si="6"/>
        <v>1</v>
      </c>
      <c r="X51" s="45">
        <f t="shared" ca="1" si="7"/>
        <v>0</v>
      </c>
      <c r="Y51" s="206" t="str">
        <f>+A51</f>
        <v>Fecha 7</v>
      </c>
      <c r="AA51" s="19" t="s">
        <v>383</v>
      </c>
      <c r="AB51"/>
      <c r="AC51" s="46" t="str">
        <f ca="1">VLOOKUP(AM93,$AB$78:$AC$93,2,FALSE)</f>
        <v>Rayos FC</v>
      </c>
      <c r="AD51">
        <f ca="1">VLOOKUP($AC51,$AC$78:$AK$93,9,FALSE)</f>
        <v>15</v>
      </c>
      <c r="AE51">
        <f ca="1">VLOOKUP($AC51,$AC$78:$AK$93,2,FALSE)</f>
        <v>1</v>
      </c>
      <c r="AF51">
        <f ca="1">VLOOKUP($AC51,$AC$78:$AK$93,3,FALSE)</f>
        <v>0</v>
      </c>
      <c r="AG51">
        <f ca="1">VLOOKUP($AC51,$AC$78:$AK$93,4,FALSE)</f>
        <v>14</v>
      </c>
      <c r="AH51">
        <f ca="1">VLOOKUP($AC51,$AC$78:$AK$93,5,FALSE)</f>
        <v>6</v>
      </c>
      <c r="AI51">
        <f ca="1">VLOOKUP($AC51,$AC$78:$AK$93,6,FALSE)</f>
        <v>50</v>
      </c>
      <c r="AJ51">
        <f ca="1">VLOOKUP($AC51,$AC$78:$AK$93,7,FALSE)</f>
        <v>-44</v>
      </c>
      <c r="AK51">
        <f ca="1">VLOOKUP($AC51,$AC$78:$AL$93,10,FALSE)</f>
        <v>370</v>
      </c>
      <c r="AL51">
        <f ca="1">VLOOKUP($AC51,$AC$78:$AK$93,8,FALSE)</f>
        <v>3</v>
      </c>
      <c r="AM51">
        <f ca="1">VLOOKUP($AC51,$AC$78:$AM$93,11,FALSE)</f>
        <v>18957.64633333333</v>
      </c>
      <c r="AO51" s="1">
        <f t="shared" ca="1" si="36"/>
        <v>16</v>
      </c>
      <c r="AP51">
        <f t="shared" ca="1" si="47"/>
        <v>2956.1062702702702</v>
      </c>
      <c r="AQ51" s="46" t="str">
        <f t="shared" ca="1" si="33"/>
        <v>Rayos FC</v>
      </c>
      <c r="AR51">
        <f t="shared" ca="1" si="37"/>
        <v>15</v>
      </c>
      <c r="AS51">
        <f t="shared" ca="1" si="38"/>
        <v>1</v>
      </c>
      <c r="AT51">
        <f t="shared" ca="1" si="39"/>
        <v>0</v>
      </c>
      <c r="AU51">
        <f t="shared" ca="1" si="40"/>
        <v>14</v>
      </c>
      <c r="AV51">
        <f t="shared" ca="1" si="41"/>
        <v>6</v>
      </c>
      <c r="AW51">
        <f t="shared" ca="1" si="42"/>
        <v>50</v>
      </c>
      <c r="AX51">
        <f t="shared" ca="1" si="43"/>
        <v>-44</v>
      </c>
      <c r="AY51">
        <f t="shared" ca="1" si="44"/>
        <v>370</v>
      </c>
      <c r="AZ51">
        <f t="shared" ca="1" si="45"/>
        <v>3</v>
      </c>
      <c r="BA51">
        <f t="shared" ca="1" si="34"/>
        <v>2956.1062702702702</v>
      </c>
      <c r="BB51" s="1">
        <f t="shared" ca="1" si="35"/>
        <v>16</v>
      </c>
      <c r="BC51" s="1">
        <f t="shared" ca="1" si="46"/>
        <v>0</v>
      </c>
    </row>
    <row r="52" spans="1:55" x14ac:dyDescent="0.25">
      <c r="A52" s="213"/>
      <c r="B52" s="61">
        <f>IF(Fixture!C51,Fixture!C51,"")</f>
        <v>45718</v>
      </c>
      <c r="C52" s="58">
        <v>0.38194444444444442</v>
      </c>
      <c r="D52" s="82" t="str">
        <f t="shared" ca="1" si="21"/>
        <v>Finalizado</v>
      </c>
      <c r="E52" s="207"/>
      <c r="F52" s="43">
        <f>+Fixture!B51</f>
        <v>50</v>
      </c>
      <c r="G52" s="42" t="str">
        <f>IF(VLOOKUP(F52,Fixture!$B$2:$F$137,3,FALSE)&lt;&gt;0,VLOOKUP(F52,Fixture!$B$2:$F$137,3,FALSE),"")</f>
        <v>Hojas Anchas</v>
      </c>
      <c r="H52" s="44">
        <f ca="1">IF($D52="Finalizado",_xlfn.XLOOKUP(G52,Resumen!$A$6:$A$22,Resumen!Z$6:Z$22,0),"")</f>
        <v>1</v>
      </c>
      <c r="I52" s="44">
        <f ca="1">IF($D52="Finalizado",_xlfn.XLOOKUP(G52,Resumen!$A$6:$A$22,Resumen!AA$6:AA$22,0),"")</f>
        <v>0</v>
      </c>
      <c r="J52" s="44">
        <f ca="1">IF($D52="Finalizado",_xlfn.XLOOKUP(G52,Resumen!$A$6:$A$22,Resumen!AB$6:AB$22,0)+_xlfn.XLOOKUP(G52,Resumen!$A$6:$A$22,Resumen!AC$6:AC$22,0),"")</f>
        <v>1</v>
      </c>
      <c r="K52" s="44">
        <f t="shared" ca="1" si="0"/>
        <v>0</v>
      </c>
      <c r="L52" s="44">
        <f t="shared" ca="1" si="1"/>
        <v>0</v>
      </c>
      <c r="M52" s="44">
        <f t="shared" ca="1" si="2"/>
        <v>1</v>
      </c>
      <c r="N52" s="44">
        <f t="shared" ca="1" si="3"/>
        <v>1</v>
      </c>
      <c r="O52" s="45">
        <f t="shared" ca="1" si="4"/>
        <v>10</v>
      </c>
      <c r="P52" s="42" t="str">
        <f>IF(VLOOKUP(F52,Fixture!$B$2:$F$137,5,FALSE)&lt;&gt;0,VLOOKUP(F52,Fixture!$B$2:$F$137,5,FALSE),"")</f>
        <v>Los Amigos</v>
      </c>
      <c r="Q52" s="44">
        <f ca="1">IF($D52="Finalizado",_xlfn.XLOOKUP(P52,Resumen!$A$6:$A$22,Resumen!Z$6:Z$22,0),"")</f>
        <v>6</v>
      </c>
      <c r="R52" s="44">
        <f ca="1">IF($D52="Finalizado",_xlfn.XLOOKUP(P52,Resumen!$A$6:$A$22,Resumen!AA$6:AA$22,0),"")</f>
        <v>1</v>
      </c>
      <c r="S52" s="44">
        <f ca="1">IF($D52="Finalizado",_xlfn.XLOOKUP(P52,Resumen!$A$6:$A$22,Resumen!AB$6:AB$22,0)+_xlfn.XLOOKUP(P52,Resumen!$A$6:$A$22,Resumen!AC$6:AC$22,0),"")</f>
        <v>0</v>
      </c>
      <c r="T52" s="44">
        <f t="shared" ca="1" si="5"/>
        <v>1</v>
      </c>
      <c r="U52" s="44">
        <f t="shared" ca="1" si="9"/>
        <v>0</v>
      </c>
      <c r="V52" s="44">
        <f t="shared" ca="1" si="10"/>
        <v>0</v>
      </c>
      <c r="W52" s="44">
        <f t="shared" ca="1" si="6"/>
        <v>1</v>
      </c>
      <c r="X52" s="45">
        <f t="shared" ca="1" si="7"/>
        <v>5</v>
      </c>
      <c r="Y52" s="207"/>
      <c r="AA52" s="19"/>
      <c r="AB52"/>
      <c r="AC52" s="46"/>
      <c r="AD52"/>
      <c r="AE52"/>
      <c r="AF52"/>
      <c r="AG52"/>
      <c r="AH52"/>
      <c r="AI52"/>
      <c r="AJ52"/>
      <c r="AK52"/>
      <c r="AL52"/>
      <c r="AM52"/>
      <c r="AP52"/>
      <c r="AQ52" s="46"/>
      <c r="AR52"/>
      <c r="AS52"/>
      <c r="AT52"/>
      <c r="AU52"/>
      <c r="AV52"/>
      <c r="AW52"/>
      <c r="AX52"/>
      <c r="AY52"/>
      <c r="AZ52"/>
      <c r="BA52"/>
    </row>
    <row r="53" spans="1:55" x14ac:dyDescent="0.25">
      <c r="A53" s="213"/>
      <c r="B53" s="61">
        <f>IF(Fixture!C52,Fixture!C52,"")</f>
        <v>45718</v>
      </c>
      <c r="C53" s="58">
        <v>0.43055555555555602</v>
      </c>
      <c r="D53" s="82" t="str">
        <f t="shared" ca="1" si="21"/>
        <v>Finalizado</v>
      </c>
      <c r="E53" s="207"/>
      <c r="F53" s="43">
        <f>+Fixture!B52</f>
        <v>51</v>
      </c>
      <c r="G53" s="42" t="str">
        <f>IF(VLOOKUP(F53,Fixture!$B$2:$F$137,3,FALSE)&lt;&gt;0,VLOOKUP(F53,Fixture!$B$2:$F$137,3,FALSE),"")</f>
        <v>Amenadim</v>
      </c>
      <c r="H53" s="44">
        <f ca="1">IF($D53="Finalizado",_xlfn.XLOOKUP(G53,Resumen!$A$6:$A$22,Resumen!Z$6:Z$22,0),"")</f>
        <v>4</v>
      </c>
      <c r="I53" s="44">
        <f ca="1">IF($D53="Finalizado",_xlfn.XLOOKUP(G53,Resumen!$A$6:$A$22,Resumen!AA$6:AA$22,0),"")</f>
        <v>1</v>
      </c>
      <c r="J53" s="44">
        <f ca="1">IF($D53="Finalizado",_xlfn.XLOOKUP(G53,Resumen!$A$6:$A$22,Resumen!AB$6:AB$22,0)+_xlfn.XLOOKUP(G53,Resumen!$A$6:$A$22,Resumen!AC$6:AC$22,0),"")</f>
        <v>0</v>
      </c>
      <c r="K53" s="44">
        <f t="shared" ca="1" si="0"/>
        <v>1</v>
      </c>
      <c r="L53" s="44">
        <f t="shared" ca="1" si="1"/>
        <v>0</v>
      </c>
      <c r="M53" s="44">
        <f t="shared" ca="1" si="2"/>
        <v>0</v>
      </c>
      <c r="N53" s="44">
        <f t="shared" ca="1" si="3"/>
        <v>1</v>
      </c>
      <c r="O53" s="45">
        <f t="shared" ca="1" si="4"/>
        <v>5</v>
      </c>
      <c r="P53" s="42" t="str">
        <f>IF(VLOOKUP(F53,Fixture!$B$2:$F$137,5,FALSE)&lt;&gt;0,VLOOKUP(F53,Fixture!$B$2:$F$137,5,FALSE),"")</f>
        <v>La Nueva Era</v>
      </c>
      <c r="Q53" s="44">
        <f ca="1">IF($D53="Finalizado",_xlfn.XLOOKUP(P53,Resumen!$A$6:$A$22,Resumen!Z$6:Z$22,0),"")</f>
        <v>3</v>
      </c>
      <c r="R53" s="44">
        <f ca="1">IF($D53="Finalizado",_xlfn.XLOOKUP(P53,Resumen!$A$6:$A$22,Resumen!AA$6:AA$22,0),"")</f>
        <v>1</v>
      </c>
      <c r="S53" s="44">
        <f ca="1">IF($D53="Finalizado",_xlfn.XLOOKUP(P53,Resumen!$A$6:$A$22,Resumen!AB$6:AB$22,0)+_xlfn.XLOOKUP(P53,Resumen!$A$6:$A$22,Resumen!AC$6:AC$22,0),"")</f>
        <v>0</v>
      </c>
      <c r="T53" s="44">
        <f t="shared" ca="1" si="5"/>
        <v>0</v>
      </c>
      <c r="U53" s="44">
        <f t="shared" ca="1" si="9"/>
        <v>0</v>
      </c>
      <c r="V53" s="44">
        <f t="shared" ca="1" si="10"/>
        <v>1</v>
      </c>
      <c r="W53" s="44">
        <f t="shared" ca="1" si="6"/>
        <v>1</v>
      </c>
      <c r="X53" s="45">
        <f t="shared" ca="1" si="7"/>
        <v>5</v>
      </c>
      <c r="Y53" s="207"/>
    </row>
    <row r="54" spans="1:55" ht="16.5" thickBot="1" x14ac:dyDescent="0.3">
      <c r="A54" s="213"/>
      <c r="B54" s="61">
        <f>IF(Fixture!C53,Fixture!C53,"")</f>
        <v>45718</v>
      </c>
      <c r="C54" s="58">
        <v>0.47916666666666602</v>
      </c>
      <c r="D54" s="82" t="str">
        <f t="shared" ca="1" si="21"/>
        <v>Finalizado</v>
      </c>
      <c r="E54" s="207"/>
      <c r="F54" s="43">
        <f>+Fixture!B53</f>
        <v>52</v>
      </c>
      <c r="G54" s="42" t="str">
        <f>IF(VLOOKUP(F54,Fixture!$B$2:$F$137,3,FALSE)&lt;&gt;0,VLOOKUP(F54,Fixture!$B$2:$F$137,3,FALSE),"")</f>
        <v>Villanueva</v>
      </c>
      <c r="H54" s="44">
        <f ca="1">IF($D54="Finalizado",_xlfn.XLOOKUP(G54,Resumen!$A$6:$A$22,Resumen!Z$6:Z$22,0),"")</f>
        <v>2</v>
      </c>
      <c r="I54" s="44">
        <f ca="1">IF($D54="Finalizado",_xlfn.XLOOKUP(G54,Resumen!$A$6:$A$22,Resumen!AA$6:AA$22,0),"")</f>
        <v>0</v>
      </c>
      <c r="J54" s="44">
        <f ca="1">IF($D54="Finalizado",_xlfn.XLOOKUP(G54,Resumen!$A$6:$A$22,Resumen!AB$6:AB$22,0)+_xlfn.XLOOKUP(G54,Resumen!$A$6:$A$22,Resumen!AC$6:AC$22,0),"")</f>
        <v>0</v>
      </c>
      <c r="K54" s="44">
        <f t="shared" ca="1" si="0"/>
        <v>1</v>
      </c>
      <c r="L54" s="44">
        <f t="shared" ca="1" si="1"/>
        <v>0</v>
      </c>
      <c r="M54" s="44">
        <f t="shared" ca="1" si="2"/>
        <v>0</v>
      </c>
      <c r="N54" s="44">
        <f t="shared" ca="1" si="3"/>
        <v>1</v>
      </c>
      <c r="O54" s="45">
        <f t="shared" ca="1" si="4"/>
        <v>0</v>
      </c>
      <c r="P54" s="42" t="str">
        <f>IF(VLOOKUP(F54,Fixture!$B$2:$F$137,5,FALSE)&lt;&gt;0,VLOOKUP(F54,Fixture!$B$2:$F$137,5,FALSE),"")</f>
        <v>Konami</v>
      </c>
      <c r="Q54" s="44">
        <f ca="1">IF($D54="Finalizado",_xlfn.XLOOKUP(P54,Resumen!$A$6:$A$22,Resumen!Z$6:Z$22,0),"")</f>
        <v>1</v>
      </c>
      <c r="R54" s="44">
        <f ca="1">IF($D54="Finalizado",_xlfn.XLOOKUP(P54,Resumen!$A$6:$A$22,Resumen!AA$6:AA$22,0),"")</f>
        <v>1</v>
      </c>
      <c r="S54" s="44">
        <f ca="1">IF($D54="Finalizado",_xlfn.XLOOKUP(P54,Resumen!$A$6:$A$22,Resumen!AB$6:AB$22,0)+_xlfn.XLOOKUP(P54,Resumen!$A$6:$A$22,Resumen!AC$6:AC$22,0),"")</f>
        <v>0</v>
      </c>
      <c r="T54" s="44">
        <f t="shared" ca="1" si="5"/>
        <v>0</v>
      </c>
      <c r="U54" s="44">
        <f t="shared" ca="1" si="9"/>
        <v>0</v>
      </c>
      <c r="V54" s="44">
        <f t="shared" ca="1" si="10"/>
        <v>1</v>
      </c>
      <c r="W54" s="44">
        <f t="shared" ca="1" si="6"/>
        <v>1</v>
      </c>
      <c r="X54" s="45">
        <f t="shared" ca="1" si="7"/>
        <v>5</v>
      </c>
      <c r="Y54" s="207"/>
      <c r="AA54" s="219" t="s">
        <v>270</v>
      </c>
      <c r="AB54" s="219"/>
      <c r="AC54" s="219"/>
      <c r="AD54" s="219"/>
      <c r="AE54" s="219"/>
      <c r="AF54" s="219"/>
      <c r="AG54" s="219"/>
      <c r="AH54" s="219"/>
      <c r="AI54" s="219"/>
      <c r="AJ54" s="219"/>
      <c r="AK54" s="219"/>
      <c r="AL54" s="219"/>
    </row>
    <row r="55" spans="1:55" ht="16.5" thickBot="1" x14ac:dyDescent="0.3">
      <c r="A55" s="213"/>
      <c r="B55" s="61">
        <f>IF(Fixture!C54,Fixture!C54,"")</f>
        <v>45718</v>
      </c>
      <c r="C55" s="58">
        <v>0.52777777777777701</v>
      </c>
      <c r="D55" s="82" t="str">
        <f t="shared" ca="1" si="21"/>
        <v>Finalizado</v>
      </c>
      <c r="E55" s="207"/>
      <c r="F55" s="43">
        <f>+Fixture!B54</f>
        <v>53</v>
      </c>
      <c r="G55" s="42" t="str">
        <f>IF(VLOOKUP(F55,Fixture!$B$2:$F$137,3,FALSE)&lt;&gt;0,VLOOKUP(F55,Fixture!$B$2:$F$137,3,FALSE),"")</f>
        <v>CD El Corozo</v>
      </c>
      <c r="H55" s="44">
        <f ca="1">IF($D55="Finalizado",_xlfn.XLOOKUP(G55,Resumen!$A$6:$A$22,Resumen!Z$6:Z$22,0),"")</f>
        <v>0</v>
      </c>
      <c r="I55" s="44">
        <f ca="1">IF($D55="Finalizado",_xlfn.XLOOKUP(G55,Resumen!$A$6:$A$22,Resumen!AA$6:AA$22,0),"")</f>
        <v>0</v>
      </c>
      <c r="J55" s="44">
        <f ca="1">IF($D55="Finalizado",_xlfn.XLOOKUP(G55,Resumen!$A$6:$A$22,Resumen!AB$6:AB$22,0)+_xlfn.XLOOKUP(G55,Resumen!$A$6:$A$22,Resumen!AC$6:AC$22,0),"")</f>
        <v>0</v>
      </c>
      <c r="K55" s="44">
        <f t="shared" ca="1" si="0"/>
        <v>0</v>
      </c>
      <c r="L55" s="44">
        <f t="shared" ca="1" si="1"/>
        <v>0</v>
      </c>
      <c r="M55" s="44">
        <f t="shared" ca="1" si="2"/>
        <v>1</v>
      </c>
      <c r="N55" s="44">
        <f t="shared" ca="1" si="3"/>
        <v>1</v>
      </c>
      <c r="O55" s="45">
        <f t="shared" ca="1" si="4"/>
        <v>0</v>
      </c>
      <c r="P55" s="42" t="str">
        <f>IF(VLOOKUP(F55,Fixture!$B$2:$F$137,5,FALSE)&lt;&gt;0,VLOOKUP(F55,Fixture!$B$2:$F$137,5,FALSE),"")</f>
        <v>Boca Juniors</v>
      </c>
      <c r="Q55" s="44">
        <f ca="1">IF($D55="Finalizado",_xlfn.XLOOKUP(P55,Resumen!$A$6:$A$22,Resumen!Z$6:Z$22,0),"")</f>
        <v>2</v>
      </c>
      <c r="R55" s="44">
        <f ca="1">IF($D55="Finalizado",_xlfn.XLOOKUP(P55,Resumen!$A$6:$A$22,Resumen!AA$6:AA$22,0),"")</f>
        <v>2</v>
      </c>
      <c r="S55" s="44">
        <f ca="1">IF($D55="Finalizado",_xlfn.XLOOKUP(P55,Resumen!$A$6:$A$22,Resumen!AB$6:AB$22,0)+_xlfn.XLOOKUP(P55,Resumen!$A$6:$A$22,Resumen!AC$6:AC$22,0),"")</f>
        <v>0</v>
      </c>
      <c r="T55" s="44">
        <f t="shared" ca="1" si="5"/>
        <v>1</v>
      </c>
      <c r="U55" s="44">
        <f t="shared" ca="1" si="9"/>
        <v>0</v>
      </c>
      <c r="V55" s="44">
        <f t="shared" ca="1" si="10"/>
        <v>0</v>
      </c>
      <c r="W55" s="44">
        <f t="shared" ca="1" si="6"/>
        <v>1</v>
      </c>
      <c r="X55" s="45">
        <f t="shared" ca="1" si="7"/>
        <v>10</v>
      </c>
      <c r="Y55" s="207"/>
      <c r="AA55" s="40" t="s">
        <v>122</v>
      </c>
      <c r="AB55" s="40"/>
      <c r="AC55" s="41" t="s">
        <v>2</v>
      </c>
      <c r="AD55" s="40" t="s">
        <v>115</v>
      </c>
      <c r="AE55" s="40" t="s">
        <v>116</v>
      </c>
      <c r="AF55" s="40" t="s">
        <v>117</v>
      </c>
      <c r="AG55" s="40" t="s">
        <v>123</v>
      </c>
      <c r="AH55" s="40" t="s">
        <v>124</v>
      </c>
      <c r="AI55" s="40" t="s">
        <v>125</v>
      </c>
      <c r="AJ55" s="40" t="s">
        <v>126</v>
      </c>
      <c r="AK55" s="40" t="s">
        <v>127</v>
      </c>
      <c r="AL55" s="40" t="s">
        <v>119</v>
      </c>
      <c r="AM55"/>
      <c r="AQ55" s="41" t="s">
        <v>2</v>
      </c>
      <c r="AR55" s="40" t="s">
        <v>127</v>
      </c>
      <c r="AS55" s="40" t="s">
        <v>115</v>
      </c>
      <c r="AT55" s="40" t="s">
        <v>116</v>
      </c>
      <c r="AU55" s="40" t="s">
        <v>117</v>
      </c>
      <c r="AV55" s="40" t="s">
        <v>123</v>
      </c>
      <c r="AW55" s="40" t="s">
        <v>124</v>
      </c>
      <c r="AX55" s="40" t="s">
        <v>125</v>
      </c>
      <c r="AY55" s="40" t="s">
        <v>119</v>
      </c>
      <c r="AZ55" s="40" t="s">
        <v>126</v>
      </c>
    </row>
    <row r="56" spans="1:55" x14ac:dyDescent="0.25">
      <c r="A56" s="213"/>
      <c r="B56" s="61">
        <f>IF(Fixture!C55,Fixture!C55,"")</f>
        <v>45718</v>
      </c>
      <c r="C56" s="58">
        <v>0.57638888888888895</v>
      </c>
      <c r="D56" s="82" t="str">
        <f t="shared" ca="1" si="21"/>
        <v>Finalizado</v>
      </c>
      <c r="E56" s="207"/>
      <c r="F56" s="43">
        <f>+Fixture!B55</f>
        <v>54</v>
      </c>
      <c r="G56" s="42" t="str">
        <f>IF(VLOOKUP(F56,Fixture!$B$2:$F$137,3,FALSE)&lt;&gt;0,VLOOKUP(F56,Fixture!$B$2:$F$137,3,FALSE),"")</f>
        <v>Atalanta</v>
      </c>
      <c r="H56" s="44">
        <f ca="1">IF($D56="Finalizado",_xlfn.XLOOKUP(G56,Resumen!$A$6:$A$22,Resumen!Z$6:Z$22,0),"")</f>
        <v>3</v>
      </c>
      <c r="I56" s="44">
        <f ca="1">IF($D56="Finalizado",_xlfn.XLOOKUP(G56,Resumen!$A$6:$A$22,Resumen!AA$6:AA$22,0),"")</f>
        <v>2</v>
      </c>
      <c r="J56" s="44">
        <f ca="1">IF($D56="Finalizado",_xlfn.XLOOKUP(G56,Resumen!$A$6:$A$22,Resumen!AB$6:AB$22,0)+_xlfn.XLOOKUP(G56,Resumen!$A$6:$A$22,Resumen!AC$6:AC$22,0),"")</f>
        <v>1</v>
      </c>
      <c r="K56" s="44">
        <f t="shared" ca="1" si="0"/>
        <v>0</v>
      </c>
      <c r="L56" s="44">
        <f t="shared" ca="1" si="1"/>
        <v>1</v>
      </c>
      <c r="M56" s="44">
        <f t="shared" ca="1" si="2"/>
        <v>0</v>
      </c>
      <c r="N56" s="44">
        <f t="shared" ca="1" si="3"/>
        <v>1</v>
      </c>
      <c r="O56" s="45">
        <f t="shared" ca="1" si="4"/>
        <v>20</v>
      </c>
      <c r="P56" s="42" t="str">
        <f>IF(VLOOKUP(F56,Fixture!$B$2:$F$137,5,FALSE)&lt;&gt;0,VLOOKUP(F56,Fixture!$B$2:$F$137,5,FALSE),"")</f>
        <v>Los Aliados</v>
      </c>
      <c r="Q56" s="44">
        <f ca="1">IF($D56="Finalizado",_xlfn.XLOOKUP(P56,Resumen!$A$6:$A$22,Resumen!Z$6:Z$22,0),"")</f>
        <v>3</v>
      </c>
      <c r="R56" s="44">
        <f ca="1">IF($D56="Finalizado",_xlfn.XLOOKUP(P56,Resumen!$A$6:$A$22,Resumen!AA$6:AA$22,0),"")</f>
        <v>0</v>
      </c>
      <c r="S56" s="44">
        <f ca="1">IF($D56="Finalizado",_xlfn.XLOOKUP(P56,Resumen!$A$6:$A$22,Resumen!AB$6:AB$22,0)+_xlfn.XLOOKUP(P56,Resumen!$A$6:$A$22,Resumen!AC$6:AC$22,0),"")</f>
        <v>1</v>
      </c>
      <c r="T56" s="44">
        <f t="shared" ca="1" si="5"/>
        <v>0</v>
      </c>
      <c r="U56" s="44">
        <f t="shared" ca="1" si="9"/>
        <v>1</v>
      </c>
      <c r="V56" s="44">
        <f t="shared" ca="1" si="10"/>
        <v>0</v>
      </c>
      <c r="W56" s="44">
        <f t="shared" ca="1" si="6"/>
        <v>1</v>
      </c>
      <c r="X56" s="45">
        <f t="shared" ca="1" si="7"/>
        <v>10</v>
      </c>
      <c r="Y56" s="207"/>
      <c r="AA56" s="19" t="s">
        <v>41</v>
      </c>
      <c r="AB56" s="19" t="e">
        <f t="shared" ref="AB56:AB62" ca="1" si="48">AJ56*1000+(AI56)+(AD56/10)+(AG56/1000)+IF(AL56&gt;0,(0.1/AL56),0)</f>
        <v>#N/A</v>
      </c>
      <c r="AC56" s="46" t="e">
        <f ca="1">VLOOKUP(AM123,$AB$123:$AC$131,2,FALSE)</f>
        <v>#N/A</v>
      </c>
      <c r="AD56" t="e">
        <f ca="1">VLOOKUP($AC56,$AC$123:$AK$131,2,FALSE)</f>
        <v>#N/A</v>
      </c>
      <c r="AE56" t="e">
        <f ca="1">VLOOKUP($AC56,$AC$123:$AK$131,3,FALSE)</f>
        <v>#N/A</v>
      </c>
      <c r="AF56" t="e">
        <f ca="1">VLOOKUP($AC56,$AC$123:$AK$131,4,FALSE)</f>
        <v>#N/A</v>
      </c>
      <c r="AG56" t="e">
        <f ca="1">VLOOKUP($AC56,$AC$123:$AK$131,5,FALSE)</f>
        <v>#N/A</v>
      </c>
      <c r="AH56" t="e">
        <f ca="1">VLOOKUP($AC56,$AC$123:$AK$131,6,FALSE)</f>
        <v>#N/A</v>
      </c>
      <c r="AI56" t="e">
        <f ca="1">VLOOKUP($AC56,$AC$123:$AK$131,7,FALSE)</f>
        <v>#N/A</v>
      </c>
      <c r="AJ56" t="e">
        <f ca="1">VLOOKUP($AC56,$AC$123:$AK$131,8,FALSE)</f>
        <v>#N/A</v>
      </c>
      <c r="AK56" t="e">
        <f ca="1">VLOOKUP($AC56,$AC$123:$AL$131,9,FALSE)</f>
        <v>#N/A</v>
      </c>
      <c r="AL56" t="e">
        <f ca="1">VLOOKUP($AC56,$AC$123:$AL$131,10,FALSE)</f>
        <v>#N/A</v>
      </c>
      <c r="AM56" t="e">
        <f ca="1">VLOOKUP($AC56,$AC$123:$AM$131,11,FALSE)</f>
        <v>#N/A</v>
      </c>
      <c r="AP56" s="1">
        <f ca="1">AB78</f>
        <v>33027.075769230767</v>
      </c>
      <c r="AQ56" s="1" t="str">
        <f t="shared" ref="AQ56:AQ71" ca="1" si="49">+AC36</f>
        <v>La Unión FC</v>
      </c>
      <c r="AR56" s="1">
        <f t="shared" ref="AR56:AR71" ca="1" si="50">+AD36</f>
        <v>18</v>
      </c>
      <c r="AS56" s="1">
        <f t="shared" ref="AS56:AS71" ca="1" si="51">+AE36</f>
        <v>14</v>
      </c>
      <c r="AT56" s="1">
        <f t="shared" ref="AT56:AT71" ca="1" si="52">+AF36</f>
        <v>3</v>
      </c>
      <c r="AU56" s="1">
        <f t="shared" ref="AU56:AU71" ca="1" si="53">+AG36</f>
        <v>1</v>
      </c>
      <c r="AV56" s="1">
        <f t="shared" ref="AV56:AV71" ca="1" si="54">+AH36</f>
        <v>104</v>
      </c>
      <c r="AW56" s="1">
        <f t="shared" ref="AW56:AW71" ca="1" si="55">+AI36</f>
        <v>52</v>
      </c>
      <c r="AX56" s="1">
        <f t="shared" ref="AX56:AX71" ca="1" si="56">+AJ36</f>
        <v>52</v>
      </c>
      <c r="AY56" s="1">
        <f t="shared" ref="AY56:AY71" ca="1" si="57">+AK36</f>
        <v>105</v>
      </c>
      <c r="AZ56" s="1">
        <f t="shared" ref="AZ56:AZ71" ca="1" si="58">+AL36</f>
        <v>45</v>
      </c>
      <c r="BA56" s="1">
        <f t="shared" ref="BA56:BA71" ca="1" si="59">+AM36</f>
        <v>13953.437740740741</v>
      </c>
    </row>
    <row r="57" spans="1:55" x14ac:dyDescent="0.25">
      <c r="A57" s="213"/>
      <c r="B57" s="61">
        <f>IF(Fixture!C56,Fixture!C56,"")</f>
        <v>45718</v>
      </c>
      <c r="C57" s="58">
        <v>0.625</v>
      </c>
      <c r="D57" s="82" t="str">
        <f t="shared" ca="1" si="21"/>
        <v>Finalizado</v>
      </c>
      <c r="E57" s="207"/>
      <c r="F57" s="43">
        <f>+Fixture!B56</f>
        <v>55</v>
      </c>
      <c r="G57" s="42" t="str">
        <f>IF(VLOOKUP(F57,Fixture!$B$2:$F$137,3,FALSE)&lt;&gt;0,VLOOKUP(F57,Fixture!$B$2:$F$137,3,FALSE),"")</f>
        <v>La Unión FC</v>
      </c>
      <c r="H57" s="44">
        <f ca="1">IF($D57="Finalizado",_xlfn.XLOOKUP(G57,Resumen!$A$6:$A$22,Resumen!Z$6:Z$22,0),"")</f>
        <v>10</v>
      </c>
      <c r="I57" s="44">
        <f ca="1">IF($D57="Finalizado",_xlfn.XLOOKUP(G57,Resumen!$A$6:$A$22,Resumen!AA$6:AA$22,0),"")</f>
        <v>0</v>
      </c>
      <c r="J57" s="44">
        <f ca="1">IF($D57="Finalizado",_xlfn.XLOOKUP(G57,Resumen!$A$6:$A$22,Resumen!AB$6:AB$22,0)+_xlfn.XLOOKUP(G57,Resumen!$A$6:$A$22,Resumen!AC$6:AC$22,0),"")</f>
        <v>0</v>
      </c>
      <c r="K57" s="44">
        <f t="shared" ca="1" si="0"/>
        <v>1</v>
      </c>
      <c r="L57" s="44">
        <f t="shared" ca="1" si="1"/>
        <v>0</v>
      </c>
      <c r="M57" s="44">
        <f t="shared" ca="1" si="2"/>
        <v>0</v>
      </c>
      <c r="N57" s="44">
        <f t="shared" ca="1" si="3"/>
        <v>1</v>
      </c>
      <c r="O57" s="45">
        <f t="shared" ca="1" si="4"/>
        <v>0</v>
      </c>
      <c r="P57" s="42" t="str">
        <f>IF(VLOOKUP(F57,Fixture!$B$2:$F$137,5,FALSE)&lt;&gt;0,VLOOKUP(F57,Fixture!$B$2:$F$137,5,FALSE),"")</f>
        <v>Deportivo Fénix</v>
      </c>
      <c r="Q57" s="44">
        <f ca="1">IF($D57="Finalizado",_xlfn.XLOOKUP(P57,Resumen!$A$6:$A$22,Resumen!Z$6:Z$22,0),"")</f>
        <v>1</v>
      </c>
      <c r="R57" s="44">
        <f ca="1">IF($D57="Finalizado",_xlfn.XLOOKUP(P57,Resumen!$A$6:$A$22,Resumen!AA$6:AA$22,0),"")</f>
        <v>0</v>
      </c>
      <c r="S57" s="44">
        <f ca="1">IF($D57="Finalizado",_xlfn.XLOOKUP(P57,Resumen!$A$6:$A$22,Resumen!AB$6:AB$22,0)+_xlfn.XLOOKUP(P57,Resumen!$A$6:$A$22,Resumen!AC$6:AC$22,0),"")</f>
        <v>0</v>
      </c>
      <c r="T57" s="44">
        <f t="shared" ca="1" si="5"/>
        <v>0</v>
      </c>
      <c r="U57" s="44">
        <f t="shared" ca="1" si="9"/>
        <v>0</v>
      </c>
      <c r="V57" s="44">
        <f t="shared" ca="1" si="10"/>
        <v>1</v>
      </c>
      <c r="W57" s="44">
        <f t="shared" ca="1" si="6"/>
        <v>1</v>
      </c>
      <c r="X57" s="45">
        <f t="shared" ca="1" si="7"/>
        <v>0</v>
      </c>
      <c r="Y57" s="207"/>
      <c r="AA57" s="19" t="s">
        <v>42</v>
      </c>
      <c r="AB57" s="19" t="e">
        <f t="shared" ca="1" si="48"/>
        <v>#N/A</v>
      </c>
      <c r="AC57" s="46" t="e">
        <f ca="1">VLOOKUP(AM124,$AB$123:$AC$131,2,FALSE)</f>
        <v>#N/A</v>
      </c>
      <c r="AD57" t="e">
        <f t="shared" ref="AD57:AD62" ca="1" si="60">VLOOKUP($AC57,$AC$123:$AK$131,2,FALSE)</f>
        <v>#N/A</v>
      </c>
      <c r="AE57" t="e">
        <f t="shared" ref="AE57:AE62" ca="1" si="61">VLOOKUP($AC57,$AC$123:$AK$131,3,FALSE)</f>
        <v>#N/A</v>
      </c>
      <c r="AF57" t="e">
        <f t="shared" ref="AF57:AF62" ca="1" si="62">VLOOKUP($AC57,$AC$123:$AK$131,4,FALSE)</f>
        <v>#N/A</v>
      </c>
      <c r="AG57" t="e">
        <f t="shared" ref="AG57:AG62" ca="1" si="63">VLOOKUP($AC57,$AC$123:$AK$131,5,FALSE)</f>
        <v>#N/A</v>
      </c>
      <c r="AH57" t="e">
        <f t="shared" ref="AH57:AH62" ca="1" si="64">VLOOKUP($AC57,$AC$123:$AK$131,6,FALSE)</f>
        <v>#N/A</v>
      </c>
      <c r="AI57" t="e">
        <f t="shared" ref="AI57:AI62" ca="1" si="65">VLOOKUP($AC57,$AC$123:$AK$131,7,FALSE)</f>
        <v>#N/A</v>
      </c>
      <c r="AJ57" t="e">
        <f t="shared" ref="AJ57:AJ62" ca="1" si="66">VLOOKUP($AC57,$AC$123:$AK$131,8,FALSE)</f>
        <v>#N/A</v>
      </c>
      <c r="AK57" t="e">
        <f t="shared" ref="AK57:AK62" ca="1" si="67">VLOOKUP($AC57,$AC$123:$AL$131,9,FALSE)</f>
        <v>#N/A</v>
      </c>
      <c r="AL57" t="e">
        <f t="shared" ref="AL57:AL62" ca="1" si="68">VLOOKUP($AC57,$AC$123:$AL$131,10,FALSE)</f>
        <v>#N/A</v>
      </c>
      <c r="AM57" t="e">
        <f t="shared" ref="AM57:AM62" ca="1" si="69">VLOOKUP($AC57,$AC$123:$AM$131,11,FALSE)</f>
        <v>#N/A</v>
      </c>
      <c r="AP57" s="1">
        <f t="shared" ref="AP57:AP70" ca="1" si="70">AB79</f>
        <v>8917.3362222222204</v>
      </c>
      <c r="AQ57" s="1" t="str">
        <f t="shared" ca="1" si="49"/>
        <v>La Amistad</v>
      </c>
      <c r="AR57" s="1">
        <f t="shared" ca="1" si="50"/>
        <v>17</v>
      </c>
      <c r="AS57" s="1">
        <f t="shared" ca="1" si="51"/>
        <v>12</v>
      </c>
      <c r="AT57" s="1">
        <f t="shared" ca="1" si="52"/>
        <v>2</v>
      </c>
      <c r="AU57" s="1">
        <f t="shared" ca="1" si="53"/>
        <v>3</v>
      </c>
      <c r="AV57" s="1">
        <f t="shared" ca="1" si="54"/>
        <v>79</v>
      </c>
      <c r="AW57" s="1">
        <f t="shared" ca="1" si="55"/>
        <v>36</v>
      </c>
      <c r="AX57" s="1">
        <f t="shared" ca="1" si="56"/>
        <v>43</v>
      </c>
      <c r="AY57" s="1">
        <f t="shared" ca="1" si="57"/>
        <v>60</v>
      </c>
      <c r="AZ57" s="1">
        <f t="shared" ca="1" si="58"/>
        <v>38</v>
      </c>
      <c r="BA57" s="1">
        <f t="shared" ca="1" si="59"/>
        <v>34024.178538461536</v>
      </c>
    </row>
    <row r="58" spans="1:55" ht="16.5" thickBot="1" x14ac:dyDescent="0.3">
      <c r="A58" s="214"/>
      <c r="B58" s="61">
        <f>IF(Fixture!C57,Fixture!C57,"")</f>
        <v>45718</v>
      </c>
      <c r="C58" s="58">
        <v>0.67361111111111105</v>
      </c>
      <c r="D58" s="82" t="str">
        <f t="shared" ca="1" si="21"/>
        <v>Finalizado</v>
      </c>
      <c r="E58" s="208"/>
      <c r="F58" s="90">
        <f>+Fixture!B57</f>
        <v>56</v>
      </c>
      <c r="G58" s="42" t="str">
        <f>IF(VLOOKUP(F58,Fixture!$B$2:$F$137,3,FALSE)&lt;&gt;0,VLOOKUP(F58,Fixture!$B$2:$F$137,3,FALSE),"")</f>
        <v>Valentín FC</v>
      </c>
      <c r="H58" s="48">
        <f ca="1">IF($D58="Finalizado",_xlfn.XLOOKUP(G58,Resumen!$A$6:$A$22,Resumen!Z$6:Z$22,0),"")</f>
        <v>3</v>
      </c>
      <c r="I58" s="48">
        <f ca="1">IF($D58="Finalizado",_xlfn.XLOOKUP(G58,Resumen!$A$6:$A$22,Resumen!AA$6:AA$22,0),"")</f>
        <v>0</v>
      </c>
      <c r="J58" s="48">
        <f ca="1">IF($D58="Finalizado",_xlfn.XLOOKUP(G58,Resumen!$A$6:$A$22,Resumen!AB$6:AB$22,0)+_xlfn.XLOOKUP(G58,Resumen!$A$6:$A$22,Resumen!AC$6:AC$22,0),"")</f>
        <v>0</v>
      </c>
      <c r="K58" s="48">
        <f t="shared" ca="1" si="0"/>
        <v>1</v>
      </c>
      <c r="L58" s="48">
        <f t="shared" ca="1" si="1"/>
        <v>0</v>
      </c>
      <c r="M58" s="48">
        <f t="shared" ca="1" si="2"/>
        <v>0</v>
      </c>
      <c r="N58" s="48">
        <f t="shared" ca="1" si="3"/>
        <v>1</v>
      </c>
      <c r="O58" s="49">
        <f t="shared" ca="1" si="4"/>
        <v>0</v>
      </c>
      <c r="P58" s="42" t="str">
        <f>IF(VLOOKUP(F58,Fixture!$B$2:$F$137,5,FALSE)&lt;&gt;0,VLOOKUP(F58,Fixture!$B$2:$F$137,5,FALSE),"")</f>
        <v>Rayos FC</v>
      </c>
      <c r="Q58" s="48">
        <f ca="1">IF($D58="Finalizado",_xlfn.XLOOKUP(P58,Resumen!$A$6:$A$22,Resumen!Z$6:Z$22,0),"")</f>
        <v>0</v>
      </c>
      <c r="R58" s="48">
        <f ca="1">IF($D58="Finalizado",_xlfn.XLOOKUP(P58,Resumen!$A$6:$A$22,Resumen!AA$6:AA$22,0),"")</f>
        <v>0</v>
      </c>
      <c r="S58" s="48">
        <f ca="1">IF($D58="Finalizado",_xlfn.XLOOKUP(P58,Resumen!$A$6:$A$22,Resumen!AB$6:AB$22,0)+_xlfn.XLOOKUP(P58,Resumen!$A$6:$A$22,Resumen!AC$6:AC$22,0),"")</f>
        <v>3</v>
      </c>
      <c r="T58" s="48">
        <f t="shared" ca="1" si="5"/>
        <v>0</v>
      </c>
      <c r="U58" s="48">
        <f t="shared" ca="1" si="9"/>
        <v>0</v>
      </c>
      <c r="V58" s="48">
        <f t="shared" ca="1" si="10"/>
        <v>1</v>
      </c>
      <c r="W58" s="48">
        <f t="shared" ca="1" si="6"/>
        <v>1</v>
      </c>
      <c r="X58" s="49">
        <f t="shared" ca="1" si="7"/>
        <v>30</v>
      </c>
      <c r="Y58" s="208"/>
      <c r="AA58" s="19" t="s">
        <v>43</v>
      </c>
      <c r="AB58" s="19" t="e">
        <f t="shared" ca="1" si="48"/>
        <v>#N/A</v>
      </c>
      <c r="AC58" s="46" t="e">
        <f ca="1">VLOOKUP(AM125,$AB$123:$AC$131,2,FALSE)</f>
        <v>#N/A</v>
      </c>
      <c r="AD58" t="e">
        <f t="shared" ca="1" si="60"/>
        <v>#N/A</v>
      </c>
      <c r="AE58" t="e">
        <f t="shared" ca="1" si="61"/>
        <v>#N/A</v>
      </c>
      <c r="AF58" t="e">
        <f t="shared" ca="1" si="62"/>
        <v>#N/A</v>
      </c>
      <c r="AG58" t="e">
        <f t="shared" ca="1" si="63"/>
        <v>#N/A</v>
      </c>
      <c r="AH58" t="e">
        <f t="shared" ca="1" si="64"/>
        <v>#N/A</v>
      </c>
      <c r="AI58" t="e">
        <f t="shared" ca="1" si="65"/>
        <v>#N/A</v>
      </c>
      <c r="AJ58" t="e">
        <f t="shared" ca="1" si="66"/>
        <v>#N/A</v>
      </c>
      <c r="AK58" t="e">
        <f t="shared" ca="1" si="67"/>
        <v>#N/A</v>
      </c>
      <c r="AL58" t="e">
        <f t="shared" ca="1" si="68"/>
        <v>#N/A</v>
      </c>
      <c r="AM58" t="e">
        <f t="shared" ca="1" si="69"/>
        <v>#N/A</v>
      </c>
      <c r="AP58" s="1">
        <f t="shared" ca="1" si="70"/>
        <v>38044.280666666658</v>
      </c>
      <c r="AQ58" s="1" t="str">
        <f t="shared" ca="1" si="49"/>
        <v>Ron Star</v>
      </c>
      <c r="AR58" s="1">
        <f t="shared" ca="1" si="50"/>
        <v>17</v>
      </c>
      <c r="AS58" s="1">
        <f t="shared" ca="1" si="51"/>
        <v>11</v>
      </c>
      <c r="AT58" s="1">
        <f t="shared" ca="1" si="52"/>
        <v>1</v>
      </c>
      <c r="AU58" s="1">
        <f t="shared" ca="1" si="53"/>
        <v>5</v>
      </c>
      <c r="AV58" s="1">
        <f t="shared" ca="1" si="54"/>
        <v>77</v>
      </c>
      <c r="AW58" s="1">
        <f t="shared" ca="1" si="55"/>
        <v>54</v>
      </c>
      <c r="AX58" s="1">
        <f t="shared" ca="1" si="56"/>
        <v>23</v>
      </c>
      <c r="AY58" s="1">
        <f t="shared" ca="1" si="57"/>
        <v>65</v>
      </c>
      <c r="AZ58" s="1">
        <f t="shared" ca="1" si="58"/>
        <v>34</v>
      </c>
      <c r="BA58" s="1">
        <f t="shared" ca="1" si="59"/>
        <v>28021.956625000003</v>
      </c>
    </row>
    <row r="59" spans="1:55" x14ac:dyDescent="0.25">
      <c r="A59" s="212" t="s">
        <v>12</v>
      </c>
      <c r="B59" s="60">
        <f>IF(Fixture!C58,Fixture!C58,"")</f>
        <v>45725</v>
      </c>
      <c r="C59" s="58">
        <v>0.33333333333333331</v>
      </c>
      <c r="D59" s="82" t="str">
        <f t="shared" ca="1" si="21"/>
        <v>Finalizado</v>
      </c>
      <c r="E59" s="206" t="s">
        <v>114</v>
      </c>
      <c r="F59" s="43">
        <f>+Fixture!B58</f>
        <v>57</v>
      </c>
      <c r="G59" s="42" t="str">
        <f>IF(VLOOKUP(F59,Fixture!$B$2:$F$137,3,FALSE)&lt;&gt;0,VLOOKUP(F59,Fixture!$B$2:$F$137,3,FALSE),"")</f>
        <v>Valentín FC</v>
      </c>
      <c r="H59" s="44">
        <f ca="1">IF($D59="Finalizado",_xlfn.XLOOKUP(G59,Resumen!$A$6:$A$22,Resumen!AD$6:AD$22,0),"")</f>
        <v>3</v>
      </c>
      <c r="I59" s="44">
        <f ca="1">IF($D59="Finalizado",_xlfn.XLOOKUP(G59,Resumen!$A$6:$A$22,Resumen!AE$6:AE$22,0),"")</f>
        <v>2</v>
      </c>
      <c r="J59" s="44">
        <f ca="1">IF($D59="Finalizado",_xlfn.XLOOKUP(G59,Resumen!$A$6:$A$22,Resumen!AF$6:AF$22,0)+_xlfn.XLOOKUP(G59,Resumen!$A$6:$A$22,Resumen!AG$6:AG$22,0),"")</f>
        <v>0</v>
      </c>
      <c r="K59" s="44">
        <f t="shared" ca="1" si="0"/>
        <v>1</v>
      </c>
      <c r="L59" s="44">
        <f t="shared" ca="1" si="1"/>
        <v>0</v>
      </c>
      <c r="M59" s="44">
        <f t="shared" ca="1" si="2"/>
        <v>0</v>
      </c>
      <c r="N59" s="44">
        <f t="shared" ca="1" si="3"/>
        <v>1</v>
      </c>
      <c r="O59" s="45">
        <f t="shared" ca="1" si="4"/>
        <v>10</v>
      </c>
      <c r="P59" s="42" t="str">
        <f>IF(VLOOKUP(F59,Fixture!$B$2:$F$137,5,FALSE)&lt;&gt;0,VLOOKUP(F59,Fixture!$B$2:$F$137,5,FALSE),"")</f>
        <v>Villanueva</v>
      </c>
      <c r="Q59" s="44">
        <f ca="1">IF($D59="Finalizado",_xlfn.XLOOKUP(P59,Resumen!$A$6:$A$22,Resumen!AD$6:AD$22,0),"")</f>
        <v>1</v>
      </c>
      <c r="R59" s="44">
        <f ca="1">IF($D59="Finalizado",_xlfn.XLOOKUP(P59,Resumen!$A$6:$A$22,Resumen!AE$6:AE$22,0),"")</f>
        <v>2</v>
      </c>
      <c r="S59" s="44">
        <f ca="1">IF($D59="Finalizado",_xlfn.XLOOKUP(P59,Resumen!$A$6:$A$22,Resumen!AF$6:AF$22,0)+_xlfn.XLOOKUP(P59,Resumen!$A$6:$A$22,Resumen!AG$6:AG$22,0),"")</f>
        <v>0</v>
      </c>
      <c r="T59" s="44">
        <f t="shared" ca="1" si="5"/>
        <v>0</v>
      </c>
      <c r="U59" s="44">
        <f t="shared" ca="1" si="9"/>
        <v>0</v>
      </c>
      <c r="V59" s="44">
        <f t="shared" ca="1" si="10"/>
        <v>1</v>
      </c>
      <c r="W59" s="44">
        <f t="shared" ca="1" si="6"/>
        <v>1</v>
      </c>
      <c r="X59" s="45">
        <f t="shared" ca="1" si="7"/>
        <v>10</v>
      </c>
      <c r="Y59" s="206" t="str">
        <f>+A59</f>
        <v>Fecha 8</v>
      </c>
      <c r="AA59" s="19" t="s">
        <v>44</v>
      </c>
      <c r="AB59" s="19" t="e">
        <f t="shared" ca="1" si="48"/>
        <v>#N/A</v>
      </c>
      <c r="AC59" s="46" t="e">
        <f ca="1">VLOOKUP(AM126,$AB$123:$AC$131,2,FALSE)</f>
        <v>#N/A</v>
      </c>
      <c r="AD59" t="e">
        <f t="shared" ca="1" si="60"/>
        <v>#N/A</v>
      </c>
      <c r="AE59" t="e">
        <f t="shared" ca="1" si="61"/>
        <v>#N/A</v>
      </c>
      <c r="AF59" t="e">
        <f t="shared" ca="1" si="62"/>
        <v>#N/A</v>
      </c>
      <c r="AG59" t="e">
        <f t="shared" ca="1" si="63"/>
        <v>#N/A</v>
      </c>
      <c r="AH59" t="e">
        <f t="shared" ca="1" si="64"/>
        <v>#N/A</v>
      </c>
      <c r="AI59" t="e">
        <f t="shared" ca="1" si="65"/>
        <v>#N/A</v>
      </c>
      <c r="AJ59" t="e">
        <f t="shared" ca="1" si="66"/>
        <v>#N/A</v>
      </c>
      <c r="AK59" t="e">
        <f t="shared" ca="1" si="67"/>
        <v>#N/A</v>
      </c>
      <c r="AL59" t="e">
        <f t="shared" ca="1" si="68"/>
        <v>#N/A</v>
      </c>
      <c r="AM59" t="e">
        <f t="shared" ca="1" si="69"/>
        <v>#N/A</v>
      </c>
      <c r="AP59" s="1">
        <f t="shared" ca="1" si="70"/>
        <v>31029.059857142856</v>
      </c>
      <c r="AQ59" s="1" t="str">
        <f t="shared" ca="1" si="49"/>
        <v>Los Amigos</v>
      </c>
      <c r="AR59" s="1">
        <f t="shared" ca="1" si="50"/>
        <v>17</v>
      </c>
      <c r="AS59" s="1">
        <f t="shared" ca="1" si="51"/>
        <v>10</v>
      </c>
      <c r="AT59" s="1">
        <f t="shared" ca="1" si="52"/>
        <v>3</v>
      </c>
      <c r="AU59" s="1">
        <f t="shared" ca="1" si="53"/>
        <v>4</v>
      </c>
      <c r="AV59" s="1">
        <f t="shared" ca="1" si="54"/>
        <v>75</v>
      </c>
      <c r="AW59" s="1">
        <f t="shared" ca="1" si="55"/>
        <v>49</v>
      </c>
      <c r="AX59" s="1">
        <f t="shared" ca="1" si="56"/>
        <v>26</v>
      </c>
      <c r="AY59" s="1">
        <f t="shared" ca="1" si="57"/>
        <v>130</v>
      </c>
      <c r="AZ59" s="1">
        <f t="shared" ca="1" si="58"/>
        <v>33</v>
      </c>
      <c r="BA59" s="1">
        <f t="shared" ca="1" si="59"/>
        <v>45053.50495238095</v>
      </c>
    </row>
    <row r="60" spans="1:55" x14ac:dyDescent="0.25">
      <c r="A60" s="213"/>
      <c r="B60" s="61">
        <f>IF(Fixture!C59,Fixture!C59,"")</f>
        <v>45725</v>
      </c>
      <c r="C60" s="58">
        <v>0.38194444444444442</v>
      </c>
      <c r="D60" s="82" t="str">
        <f t="shared" ca="1" si="21"/>
        <v>Finalizado</v>
      </c>
      <c r="E60" s="207"/>
      <c r="F60" s="43">
        <f>+Fixture!B59</f>
        <v>58</v>
      </c>
      <c r="G60" s="42" t="str">
        <f>IF(VLOOKUP(F60,Fixture!$B$2:$F$137,3,FALSE)&lt;&gt;0,VLOOKUP(F60,Fixture!$B$2:$F$137,3,FALSE),"")</f>
        <v>Amenadim</v>
      </c>
      <c r="H60" s="44">
        <f ca="1">IF($D60="Finalizado",_xlfn.XLOOKUP(G60,Resumen!$A$6:$A$22,Resumen!AD$6:AD$22,0),"")</f>
        <v>2</v>
      </c>
      <c r="I60" s="44">
        <f ca="1">IF($D60="Finalizado",_xlfn.XLOOKUP(G60,Resumen!$A$6:$A$22,Resumen!AE$6:AE$22,0),"")</f>
        <v>1</v>
      </c>
      <c r="J60" s="44">
        <f ca="1">IF($D60="Finalizado",_xlfn.XLOOKUP(G60,Resumen!$A$6:$A$22,Resumen!AF$6:AF$22,0)+_xlfn.XLOOKUP(G60,Resumen!$A$6:$A$22,Resumen!AG$6:AG$22,0),"")</f>
        <v>0</v>
      </c>
      <c r="K60" s="44">
        <f t="shared" ca="1" si="0"/>
        <v>0</v>
      </c>
      <c r="L60" s="44">
        <f t="shared" ca="1" si="1"/>
        <v>0</v>
      </c>
      <c r="M60" s="44">
        <f t="shared" ca="1" si="2"/>
        <v>1</v>
      </c>
      <c r="N60" s="44">
        <f t="shared" ca="1" si="3"/>
        <v>1</v>
      </c>
      <c r="O60" s="45">
        <f t="shared" ca="1" si="4"/>
        <v>5</v>
      </c>
      <c r="P60" s="42" t="str">
        <f>IF(VLOOKUP(F60,Fixture!$B$2:$F$137,5,FALSE)&lt;&gt;0,VLOOKUP(F60,Fixture!$B$2:$F$137,5,FALSE),"")</f>
        <v>La Amistad</v>
      </c>
      <c r="Q60" s="44">
        <f ca="1">IF($D60="Finalizado",_xlfn.XLOOKUP(P60,Resumen!$A$6:$A$22,Resumen!AD$6:AD$22,0),"")</f>
        <v>4</v>
      </c>
      <c r="R60" s="44">
        <f ca="1">IF($D60="Finalizado",_xlfn.XLOOKUP(P60,Resumen!$A$6:$A$22,Resumen!AE$6:AE$22,0),"")</f>
        <v>1</v>
      </c>
      <c r="S60" s="44">
        <f ca="1">IF($D60="Finalizado",_xlfn.XLOOKUP(P60,Resumen!$A$6:$A$22,Resumen!AF$6:AF$22,0)+_xlfn.XLOOKUP(P60,Resumen!$A$6:$A$22,Resumen!AG$6:AG$22,0),"")</f>
        <v>0</v>
      </c>
      <c r="T60" s="44">
        <f t="shared" ca="1" si="5"/>
        <v>1</v>
      </c>
      <c r="U60" s="44">
        <f t="shared" ca="1" si="9"/>
        <v>0</v>
      </c>
      <c r="V60" s="44">
        <f t="shared" ca="1" si="10"/>
        <v>0</v>
      </c>
      <c r="W60" s="44">
        <f t="shared" ca="1" si="6"/>
        <v>1</v>
      </c>
      <c r="X60" s="45">
        <f t="shared" ca="1" si="7"/>
        <v>5</v>
      </c>
      <c r="Y60" s="207"/>
      <c r="AA60" s="19" t="s">
        <v>45</v>
      </c>
      <c r="AB60" s="19" t="e">
        <f t="shared" ca="1" si="48"/>
        <v>#N/A</v>
      </c>
      <c r="AC60" s="46" t="e">
        <f ca="1">VLOOKUP(AM129,$AB$123:$AC$131,2,FALSE)</f>
        <v>#N/A</v>
      </c>
      <c r="AD60" t="e">
        <f t="shared" ca="1" si="60"/>
        <v>#N/A</v>
      </c>
      <c r="AE60" t="e">
        <f t="shared" ca="1" si="61"/>
        <v>#N/A</v>
      </c>
      <c r="AF60" t="e">
        <f t="shared" ca="1" si="62"/>
        <v>#N/A</v>
      </c>
      <c r="AG60" t="e">
        <f t="shared" ca="1" si="63"/>
        <v>#N/A</v>
      </c>
      <c r="AH60" t="e">
        <f t="shared" ca="1" si="64"/>
        <v>#N/A</v>
      </c>
      <c r="AI60" t="e">
        <f t="shared" ca="1" si="65"/>
        <v>#N/A</v>
      </c>
      <c r="AJ60" t="e">
        <f t="shared" ca="1" si="66"/>
        <v>#N/A</v>
      </c>
      <c r="AK60" t="e">
        <f t="shared" ca="1" si="67"/>
        <v>#N/A</v>
      </c>
      <c r="AL60" t="e">
        <f t="shared" ca="1" si="68"/>
        <v>#N/A</v>
      </c>
      <c r="AM60" t="e">
        <f t="shared" ca="1" si="69"/>
        <v>#N/A</v>
      </c>
      <c r="AP60" s="1">
        <f t="shared" ca="1" si="70"/>
        <v>28021.956625000003</v>
      </c>
      <c r="AQ60" s="1" t="str">
        <f t="shared" ca="1" si="49"/>
        <v>Konami</v>
      </c>
      <c r="AR60" s="1">
        <f t="shared" ca="1" si="50"/>
        <v>16</v>
      </c>
      <c r="AS60" s="1">
        <f t="shared" ca="1" si="51"/>
        <v>10</v>
      </c>
      <c r="AT60" s="1">
        <f t="shared" ca="1" si="52"/>
        <v>1</v>
      </c>
      <c r="AU60" s="1">
        <f t="shared" ca="1" si="53"/>
        <v>5</v>
      </c>
      <c r="AV60" s="1">
        <f t="shared" ca="1" si="54"/>
        <v>57</v>
      </c>
      <c r="AW60" s="1">
        <f t="shared" ca="1" si="55"/>
        <v>29</v>
      </c>
      <c r="AX60" s="1">
        <f t="shared" ca="1" si="56"/>
        <v>28</v>
      </c>
      <c r="AY60" s="1">
        <f t="shared" ca="1" si="57"/>
        <v>35</v>
      </c>
      <c r="AZ60" s="1">
        <f t="shared" ca="1" si="58"/>
        <v>31</v>
      </c>
      <c r="BA60" s="1">
        <f t="shared" ca="1" si="59"/>
        <v>33027.075769230767</v>
      </c>
    </row>
    <row r="61" spans="1:55" x14ac:dyDescent="0.25">
      <c r="A61" s="213"/>
      <c r="B61" s="61">
        <f>IF(Fixture!C60,Fixture!C60,"")</f>
        <v>45725</v>
      </c>
      <c r="C61" s="58">
        <v>0.43055555555555602</v>
      </c>
      <c r="D61" s="82" t="str">
        <f t="shared" ca="1" si="21"/>
        <v>Finalizado</v>
      </c>
      <c r="E61" s="207"/>
      <c r="F61" s="43">
        <f>+Fixture!B60</f>
        <v>59</v>
      </c>
      <c r="G61" s="42" t="str">
        <f>IF(VLOOKUP(F61,Fixture!$B$2:$F$137,3,FALSE)&lt;&gt;0,VLOOKUP(F61,Fixture!$B$2:$F$137,3,FALSE),"")</f>
        <v>Atalanta</v>
      </c>
      <c r="H61" s="44">
        <f ca="1">IF($D61="Finalizado",_xlfn.XLOOKUP(G61,Resumen!$A$6:$A$22,Resumen!AD$6:AD$22,0),"")</f>
        <v>0</v>
      </c>
      <c r="I61" s="44">
        <f ca="1">IF($D61="Finalizado",_xlfn.XLOOKUP(G61,Resumen!$A$6:$A$22,Resumen!AE$6:AE$22,0),"")</f>
        <v>0</v>
      </c>
      <c r="J61" s="44">
        <f ca="1">IF($D61="Finalizado",_xlfn.XLOOKUP(G61,Resumen!$A$6:$A$22,Resumen!AF$6:AF$22,0)+_xlfn.XLOOKUP(G61,Resumen!$A$6:$A$22,Resumen!AG$6:AG$22,0),"")</f>
        <v>0</v>
      </c>
      <c r="K61" s="44">
        <f t="shared" ca="1" si="0"/>
        <v>0</v>
      </c>
      <c r="L61" s="44">
        <f t="shared" ca="1" si="1"/>
        <v>0</v>
      </c>
      <c r="M61" s="44">
        <f t="shared" ca="1" si="2"/>
        <v>1</v>
      </c>
      <c r="N61" s="44">
        <f t="shared" ca="1" si="3"/>
        <v>1</v>
      </c>
      <c r="O61" s="45">
        <f t="shared" ca="1" si="4"/>
        <v>0</v>
      </c>
      <c r="P61" s="42" t="str">
        <f>IF(VLOOKUP(F61,Fixture!$B$2:$F$137,5,FALSE)&lt;&gt;0,VLOOKUP(F61,Fixture!$B$2:$F$137,5,FALSE),"")</f>
        <v>Boca Juniors</v>
      </c>
      <c r="Q61" s="44">
        <f ca="1">IF($D61="Finalizado",_xlfn.XLOOKUP(P61,Resumen!$A$6:$A$22,Resumen!AD$6:AD$22,0),"")</f>
        <v>1</v>
      </c>
      <c r="R61" s="44">
        <f ca="1">IF($D61="Finalizado",_xlfn.XLOOKUP(P61,Resumen!$A$6:$A$22,Resumen!AE$6:AE$22,0),"")</f>
        <v>2</v>
      </c>
      <c r="S61" s="44">
        <f ca="1">IF($D61="Finalizado",_xlfn.XLOOKUP(P61,Resumen!$A$6:$A$22,Resumen!AF$6:AF$22,0)+_xlfn.XLOOKUP(P61,Resumen!$A$6:$A$22,Resumen!AG$6:AG$22,0),"")</f>
        <v>0</v>
      </c>
      <c r="T61" s="44">
        <f t="shared" ca="1" si="5"/>
        <v>1</v>
      </c>
      <c r="U61" s="44">
        <f t="shared" ca="1" si="9"/>
        <v>0</v>
      </c>
      <c r="V61" s="44">
        <f t="shared" ca="1" si="10"/>
        <v>0</v>
      </c>
      <c r="W61" s="44">
        <f t="shared" ca="1" si="6"/>
        <v>1</v>
      </c>
      <c r="X61" s="45">
        <f t="shared" ca="1" si="7"/>
        <v>10</v>
      </c>
      <c r="Y61" s="207"/>
      <c r="AA61" s="19" t="s">
        <v>46</v>
      </c>
      <c r="AB61" s="19" t="e">
        <f t="shared" ca="1" si="48"/>
        <v>#N/A</v>
      </c>
      <c r="AC61" s="46" t="e">
        <f ca="1">VLOOKUP(AM130,$AB$123:$AC$131,2,FALSE)</f>
        <v>#N/A</v>
      </c>
      <c r="AD61" t="e">
        <f t="shared" ca="1" si="60"/>
        <v>#N/A</v>
      </c>
      <c r="AE61" t="e">
        <f t="shared" ca="1" si="61"/>
        <v>#N/A</v>
      </c>
      <c r="AF61" t="e">
        <f t="shared" ca="1" si="62"/>
        <v>#N/A</v>
      </c>
      <c r="AG61" t="e">
        <f t="shared" ca="1" si="63"/>
        <v>#N/A</v>
      </c>
      <c r="AH61" t="e">
        <f t="shared" ca="1" si="64"/>
        <v>#N/A</v>
      </c>
      <c r="AI61" t="e">
        <f t="shared" ca="1" si="65"/>
        <v>#N/A</v>
      </c>
      <c r="AJ61" t="e">
        <f t="shared" ca="1" si="66"/>
        <v>#N/A</v>
      </c>
      <c r="AK61" t="e">
        <f t="shared" ca="1" si="67"/>
        <v>#N/A</v>
      </c>
      <c r="AL61" t="e">
        <f t="shared" ca="1" si="68"/>
        <v>#N/A</v>
      </c>
      <c r="AM61" t="e">
        <f t="shared" ca="1" si="69"/>
        <v>#N/A</v>
      </c>
      <c r="AP61" s="1">
        <f t="shared" ca="1" si="70"/>
        <v>34024.178538461536</v>
      </c>
      <c r="AQ61" s="1" t="str">
        <f t="shared" ca="1" si="49"/>
        <v>Villanueva</v>
      </c>
      <c r="AR61" s="1">
        <f t="shared" ca="1" si="50"/>
        <v>16</v>
      </c>
      <c r="AS61" s="1">
        <f t="shared" ca="1" si="51"/>
        <v>9</v>
      </c>
      <c r="AT61" s="1">
        <f t="shared" ca="1" si="52"/>
        <v>1</v>
      </c>
      <c r="AU61" s="1">
        <f t="shared" ca="1" si="53"/>
        <v>6</v>
      </c>
      <c r="AV61" s="1">
        <f t="shared" ca="1" si="54"/>
        <v>56</v>
      </c>
      <c r="AW61" s="1">
        <f t="shared" ca="1" si="55"/>
        <v>35</v>
      </c>
      <c r="AX61" s="1">
        <f t="shared" ca="1" si="56"/>
        <v>21</v>
      </c>
      <c r="AY61" s="1">
        <f t="shared" ca="1" si="57"/>
        <v>160</v>
      </c>
      <c r="AZ61" s="1">
        <f t="shared" ca="1" si="58"/>
        <v>28</v>
      </c>
      <c r="BA61" s="1">
        <f t="shared" ca="1" si="59"/>
        <v>31029.059857142856</v>
      </c>
    </row>
    <row r="62" spans="1:55" x14ac:dyDescent="0.25">
      <c r="A62" s="213"/>
      <c r="B62" s="61">
        <f>IF(Fixture!C61,Fixture!C61,"")</f>
        <v>45725</v>
      </c>
      <c r="C62" s="58">
        <v>0.47916666666666602</v>
      </c>
      <c r="D62" s="82" t="str">
        <f t="shared" ca="1" si="21"/>
        <v>Finalizado</v>
      </c>
      <c r="E62" s="207"/>
      <c r="F62" s="43">
        <f>+Fixture!B61</f>
        <v>60</v>
      </c>
      <c r="G62" s="42" t="str">
        <f>IF(VLOOKUP(F62,Fixture!$B$2:$F$137,3,FALSE)&lt;&gt;0,VLOOKUP(F62,Fixture!$B$2:$F$137,3,FALSE),"")</f>
        <v>Ron Star</v>
      </c>
      <c r="H62" s="44">
        <f ca="1">IF($D62="Finalizado",_xlfn.XLOOKUP(G62,Resumen!$A$6:$A$22,Resumen!AD$6:AD$22,0),"")</f>
        <v>0</v>
      </c>
      <c r="I62" s="44">
        <f ca="1">IF($D62="Finalizado",_xlfn.XLOOKUP(G62,Resumen!$A$6:$A$22,Resumen!AE$6:AE$22,0),"")</f>
        <v>0</v>
      </c>
      <c r="J62" s="44">
        <f ca="1">IF($D62="Finalizado",_xlfn.XLOOKUP(G62,Resumen!$A$6:$A$22,Resumen!AF$6:AF$22,0)+_xlfn.XLOOKUP(G62,Resumen!$A$6:$A$22,Resumen!AG$6:AG$22,0),"")</f>
        <v>0</v>
      </c>
      <c r="K62" s="44">
        <f t="shared" ca="1" si="0"/>
        <v>0</v>
      </c>
      <c r="L62" s="44">
        <f t="shared" ca="1" si="1"/>
        <v>0</v>
      </c>
      <c r="M62" s="44">
        <f t="shared" ca="1" si="2"/>
        <v>1</v>
      </c>
      <c r="N62" s="44">
        <f t="shared" ca="1" si="3"/>
        <v>1</v>
      </c>
      <c r="O62" s="45">
        <f t="shared" ca="1" si="4"/>
        <v>0</v>
      </c>
      <c r="P62" s="42" t="str">
        <f>IF(VLOOKUP(F62,Fixture!$B$2:$F$137,5,FALSE)&lt;&gt;0,VLOOKUP(F62,Fixture!$B$2:$F$137,5,FALSE),"")</f>
        <v>Konami</v>
      </c>
      <c r="Q62" s="44">
        <f ca="1">IF($D62="Finalizado",_xlfn.XLOOKUP(P62,Resumen!$A$6:$A$22,Resumen!AD$6:AD$22,0),"")</f>
        <v>3</v>
      </c>
      <c r="R62" s="44">
        <f ca="1">IF($D62="Finalizado",_xlfn.XLOOKUP(P62,Resumen!$A$6:$A$22,Resumen!AE$6:AE$22,0),"")</f>
        <v>1</v>
      </c>
      <c r="S62" s="44">
        <f ca="1">IF($D62="Finalizado",_xlfn.XLOOKUP(P62,Resumen!$A$6:$A$22,Resumen!AF$6:AF$22,0)+_xlfn.XLOOKUP(P62,Resumen!$A$6:$A$22,Resumen!AG$6:AG$22,0),"")</f>
        <v>0</v>
      </c>
      <c r="T62" s="44">
        <f t="shared" ca="1" si="5"/>
        <v>1</v>
      </c>
      <c r="U62" s="44">
        <f t="shared" ca="1" si="9"/>
        <v>0</v>
      </c>
      <c r="V62" s="44">
        <f t="shared" ca="1" si="10"/>
        <v>0</v>
      </c>
      <c r="W62" s="44">
        <f t="shared" ca="1" si="6"/>
        <v>1</v>
      </c>
      <c r="X62" s="45">
        <f t="shared" ca="1" si="7"/>
        <v>5</v>
      </c>
      <c r="Y62" s="207"/>
      <c r="AA62" s="19" t="s">
        <v>47</v>
      </c>
      <c r="AB62" s="19" t="e">
        <f t="shared" ca="1" si="48"/>
        <v>#N/A</v>
      </c>
      <c r="AC62" s="46" t="e">
        <f ca="1">VLOOKUP(AM131,$AB$123:$AC$131,2,FALSE)</f>
        <v>#N/A</v>
      </c>
      <c r="AD62" t="e">
        <f t="shared" ca="1" si="60"/>
        <v>#N/A</v>
      </c>
      <c r="AE62" t="e">
        <f t="shared" ca="1" si="61"/>
        <v>#N/A</v>
      </c>
      <c r="AF62" t="e">
        <f t="shared" ca="1" si="62"/>
        <v>#N/A</v>
      </c>
      <c r="AG62" t="e">
        <f t="shared" ca="1" si="63"/>
        <v>#N/A</v>
      </c>
      <c r="AH62" t="e">
        <f t="shared" ca="1" si="64"/>
        <v>#N/A</v>
      </c>
      <c r="AI62" t="e">
        <f t="shared" ca="1" si="65"/>
        <v>#N/A</v>
      </c>
      <c r="AJ62" t="e">
        <f t="shared" ca="1" si="66"/>
        <v>#N/A</v>
      </c>
      <c r="AK62" t="e">
        <f t="shared" ca="1" si="67"/>
        <v>#N/A</v>
      </c>
      <c r="AL62" t="e">
        <f t="shared" ca="1" si="68"/>
        <v>#N/A</v>
      </c>
      <c r="AM62" t="e">
        <f t="shared" ca="1" si="69"/>
        <v>#N/A</v>
      </c>
      <c r="AP62" s="1">
        <f t="shared" ca="1" si="70"/>
        <v>25008.859176470589</v>
      </c>
      <c r="AQ62" s="1" t="str">
        <f t="shared" ca="1" si="49"/>
        <v>CD El Corozo</v>
      </c>
      <c r="AR62" s="1">
        <f t="shared" ca="1" si="50"/>
        <v>16</v>
      </c>
      <c r="AS62" s="1">
        <f t="shared" ca="1" si="51"/>
        <v>8</v>
      </c>
      <c r="AT62" s="1">
        <f t="shared" ca="1" si="52"/>
        <v>3</v>
      </c>
      <c r="AU62" s="1">
        <f t="shared" ca="1" si="53"/>
        <v>5</v>
      </c>
      <c r="AV62" s="1">
        <f t="shared" ca="1" si="54"/>
        <v>65</v>
      </c>
      <c r="AW62" s="1">
        <f t="shared" ca="1" si="55"/>
        <v>39</v>
      </c>
      <c r="AX62" s="1">
        <f t="shared" ca="1" si="56"/>
        <v>26</v>
      </c>
      <c r="AY62" s="1">
        <f t="shared" ca="1" si="57"/>
        <v>90</v>
      </c>
      <c r="AZ62" s="1">
        <f t="shared" ca="1" si="58"/>
        <v>27</v>
      </c>
      <c r="BA62" s="1">
        <f t="shared" ca="1" si="59"/>
        <v>2956.1062702702702</v>
      </c>
    </row>
    <row r="63" spans="1:55" x14ac:dyDescent="0.25">
      <c r="A63" s="213"/>
      <c r="B63" s="61">
        <f>IF(Fixture!C62,Fixture!C62,"")</f>
        <v>45725</v>
      </c>
      <c r="C63" s="58">
        <v>0.52777777777777701</v>
      </c>
      <c r="D63" s="82" t="str">
        <f t="shared" ca="1" si="21"/>
        <v>Finalizado</v>
      </c>
      <c r="E63" s="207"/>
      <c r="F63" s="43">
        <f>+Fixture!B62</f>
        <v>61</v>
      </c>
      <c r="G63" s="42" t="str">
        <f>IF(VLOOKUP(F63,Fixture!$B$2:$F$137,3,FALSE)&lt;&gt;0,VLOOKUP(F63,Fixture!$B$2:$F$137,3,FALSE),"")</f>
        <v>Hojas Anchas</v>
      </c>
      <c r="H63" s="44">
        <f ca="1">IF($D63="Finalizado",_xlfn.XLOOKUP(G63,Resumen!$A$6:$A$22,Resumen!AD$6:AD$22,0),"")</f>
        <v>4</v>
      </c>
      <c r="I63" s="44">
        <f ca="1">IF($D63="Finalizado",_xlfn.XLOOKUP(G63,Resumen!$A$6:$A$22,Resumen!AE$6:AE$22,0),"")</f>
        <v>1</v>
      </c>
      <c r="J63" s="44">
        <f ca="1">IF($D63="Finalizado",_xlfn.XLOOKUP(G63,Resumen!$A$6:$A$22,Resumen!AF$6:AF$22,0)+_xlfn.XLOOKUP(G63,Resumen!$A$6:$A$22,Resumen!AG$6:AG$22,0),"")</f>
        <v>0</v>
      </c>
      <c r="K63" s="44">
        <f t="shared" ca="1" si="0"/>
        <v>1</v>
      </c>
      <c r="L63" s="44">
        <f t="shared" ca="1" si="1"/>
        <v>0</v>
      </c>
      <c r="M63" s="44">
        <f t="shared" ca="1" si="2"/>
        <v>0</v>
      </c>
      <c r="N63" s="44">
        <f t="shared" ca="1" si="3"/>
        <v>1</v>
      </c>
      <c r="O63" s="45">
        <f t="shared" ca="1" si="4"/>
        <v>5</v>
      </c>
      <c r="P63" s="42" t="str">
        <f>IF(VLOOKUP(F63,Fixture!$B$2:$F$137,5,FALSE)&lt;&gt;0,VLOOKUP(F63,Fixture!$B$2:$F$137,5,FALSE),"")</f>
        <v>La Nueva Era</v>
      </c>
      <c r="Q63" s="44">
        <f ca="1">IF($D63="Finalizado",_xlfn.XLOOKUP(P63,Resumen!$A$6:$A$22,Resumen!AD$6:AD$22,0),"")</f>
        <v>3</v>
      </c>
      <c r="R63" s="44">
        <f ca="1">IF($D63="Finalizado",_xlfn.XLOOKUP(P63,Resumen!$A$6:$A$22,Resumen!AE$6:AE$22,0),"")</f>
        <v>2</v>
      </c>
      <c r="S63" s="44">
        <f ca="1">IF($D63="Finalizado",_xlfn.XLOOKUP(P63,Resumen!$A$6:$A$22,Resumen!AF$6:AF$22,0)+_xlfn.XLOOKUP(P63,Resumen!$A$6:$A$22,Resumen!AG$6:AG$22,0),"")</f>
        <v>0</v>
      </c>
      <c r="T63" s="44">
        <f t="shared" ca="1" si="5"/>
        <v>0</v>
      </c>
      <c r="U63" s="44">
        <f t="shared" ca="1" si="9"/>
        <v>0</v>
      </c>
      <c r="V63" s="44">
        <f t="shared" ca="1" si="10"/>
        <v>1</v>
      </c>
      <c r="W63" s="44">
        <f t="shared" ca="1" si="6"/>
        <v>1</v>
      </c>
      <c r="X63" s="45">
        <f t="shared" ca="1" si="7"/>
        <v>10</v>
      </c>
      <c r="Y63" s="207"/>
      <c r="AA63" s="219" t="s">
        <v>271</v>
      </c>
      <c r="AB63" s="219"/>
      <c r="AC63" s="219"/>
      <c r="AD63" s="219"/>
      <c r="AE63" s="219"/>
      <c r="AF63" s="219"/>
      <c r="AG63" s="219"/>
      <c r="AH63" s="219"/>
      <c r="AI63" s="219"/>
      <c r="AJ63" s="219"/>
      <c r="AK63" s="219"/>
      <c r="AL63" s="219"/>
      <c r="AP63" s="1">
        <f t="shared" ca="1" si="70"/>
        <v>22999.655624999999</v>
      </c>
      <c r="AQ63" s="1" t="str">
        <f t="shared" ca="1" si="49"/>
        <v>Boca Juniors</v>
      </c>
      <c r="AR63" s="1">
        <f t="shared" ca="1" si="50"/>
        <v>17</v>
      </c>
      <c r="AS63" s="1">
        <f t="shared" ca="1" si="51"/>
        <v>9</v>
      </c>
      <c r="AT63" s="1">
        <f t="shared" ca="1" si="52"/>
        <v>0</v>
      </c>
      <c r="AU63" s="1">
        <f t="shared" ca="1" si="53"/>
        <v>8</v>
      </c>
      <c r="AV63" s="1">
        <f t="shared" ca="1" si="54"/>
        <v>54</v>
      </c>
      <c r="AW63" s="1">
        <f t="shared" ca="1" si="55"/>
        <v>48</v>
      </c>
      <c r="AX63" s="1">
        <f t="shared" ca="1" si="56"/>
        <v>6</v>
      </c>
      <c r="AY63" s="1">
        <f t="shared" ca="1" si="57"/>
        <v>140</v>
      </c>
      <c r="AZ63" s="1">
        <f t="shared" ca="1" si="58"/>
        <v>27</v>
      </c>
      <c r="BA63" s="1">
        <f t="shared" ca="1" si="59"/>
        <v>25008.859176470589</v>
      </c>
    </row>
    <row r="64" spans="1:55" ht="16.5" thickBot="1" x14ac:dyDescent="0.3">
      <c r="A64" s="213"/>
      <c r="B64" s="61">
        <f>IF(Fixture!C63,Fixture!C63,"")</f>
        <v>45725</v>
      </c>
      <c r="C64" s="58">
        <v>0.57638888888888895</v>
      </c>
      <c r="D64" s="82" t="str">
        <f t="shared" ca="1" si="21"/>
        <v>Finalizado</v>
      </c>
      <c r="E64" s="207"/>
      <c r="F64" s="43">
        <f>+Fixture!B63</f>
        <v>62</v>
      </c>
      <c r="G64" s="42" t="str">
        <f>IF(VLOOKUP(F64,Fixture!$B$2:$F$137,3,FALSE)&lt;&gt;0,VLOOKUP(F64,Fixture!$B$2:$F$137,3,FALSE),"")</f>
        <v>CD El Corozo</v>
      </c>
      <c r="H64" s="44">
        <f ca="1">IF($D64="Finalizado",_xlfn.XLOOKUP(G64,Resumen!$A$6:$A$22,Resumen!AD$6:AD$22,0),"")</f>
        <v>5</v>
      </c>
      <c r="I64" s="44">
        <f ca="1">IF($D64="Finalizado",_xlfn.XLOOKUP(G64,Resumen!$A$6:$A$22,Resumen!AE$6:AE$22,0),"")</f>
        <v>0</v>
      </c>
      <c r="J64" s="44">
        <f ca="1">IF($D64="Finalizado",_xlfn.XLOOKUP(G64,Resumen!$A$6:$A$22,Resumen!AF$6:AF$22,0)+_xlfn.XLOOKUP(G64,Resumen!$A$6:$A$22,Resumen!AG$6:AG$22,0),"")</f>
        <v>0</v>
      </c>
      <c r="K64" s="44">
        <f t="shared" ca="1" si="0"/>
        <v>1</v>
      </c>
      <c r="L64" s="44">
        <f t="shared" ca="1" si="1"/>
        <v>0</v>
      </c>
      <c r="M64" s="44">
        <f t="shared" ca="1" si="2"/>
        <v>0</v>
      </c>
      <c r="N64" s="44">
        <f t="shared" ca="1" si="3"/>
        <v>1</v>
      </c>
      <c r="O64" s="45">
        <f t="shared" ca="1" si="4"/>
        <v>0</v>
      </c>
      <c r="P64" s="42" t="str">
        <f>IF(VLOOKUP(F64,Fixture!$B$2:$F$137,5,FALSE)&lt;&gt;0,VLOOKUP(F64,Fixture!$B$2:$F$137,5,FALSE),"")</f>
        <v>Deportivo Fénix</v>
      </c>
      <c r="Q64" s="44">
        <f ca="1">IF($D64="Finalizado",_xlfn.XLOOKUP(P64,Resumen!$A$6:$A$22,Resumen!AD$6:AD$22,0),"")</f>
        <v>3</v>
      </c>
      <c r="R64" s="44">
        <f ca="1">IF($D64="Finalizado",_xlfn.XLOOKUP(P64,Resumen!$A$6:$A$22,Resumen!AE$6:AE$22,0),"")</f>
        <v>2</v>
      </c>
      <c r="S64" s="44">
        <f ca="1">IF($D64="Finalizado",_xlfn.XLOOKUP(P64,Resumen!$A$6:$A$22,Resumen!AF$6:AF$22,0)+_xlfn.XLOOKUP(P64,Resumen!$A$6:$A$22,Resumen!AG$6:AG$22,0),"")</f>
        <v>0</v>
      </c>
      <c r="T64" s="44">
        <f t="shared" ca="1" si="5"/>
        <v>0</v>
      </c>
      <c r="U64" s="44">
        <f t="shared" ca="1" si="9"/>
        <v>0</v>
      </c>
      <c r="V64" s="44">
        <f t="shared" ca="1" si="10"/>
        <v>1</v>
      </c>
      <c r="W64" s="44">
        <f t="shared" ca="1" si="6"/>
        <v>1</v>
      </c>
      <c r="X64" s="45">
        <f t="shared" ca="1" si="7"/>
        <v>10</v>
      </c>
      <c r="Y64" s="207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P64" s="1">
        <f t="shared" ca="1" si="70"/>
        <v>25015.757666666668</v>
      </c>
      <c r="AQ64" s="1" t="str">
        <f t="shared" ca="1" si="49"/>
        <v>Valentín FC</v>
      </c>
      <c r="AR64" s="1">
        <f t="shared" ca="1" si="50"/>
        <v>17</v>
      </c>
      <c r="AS64" s="1">
        <f t="shared" ca="1" si="51"/>
        <v>7</v>
      </c>
      <c r="AT64" s="1">
        <f t="shared" ca="1" si="52"/>
        <v>4</v>
      </c>
      <c r="AU64" s="1">
        <f t="shared" ca="1" si="53"/>
        <v>6</v>
      </c>
      <c r="AV64" s="1">
        <f t="shared" ca="1" si="54"/>
        <v>57</v>
      </c>
      <c r="AW64" s="1">
        <f t="shared" ca="1" si="55"/>
        <v>42</v>
      </c>
      <c r="AX64" s="1">
        <f t="shared" ca="1" si="56"/>
        <v>15</v>
      </c>
      <c r="AY64" s="1">
        <f t="shared" ca="1" si="57"/>
        <v>150</v>
      </c>
      <c r="AZ64" s="1">
        <f t="shared" ca="1" si="58"/>
        <v>25</v>
      </c>
      <c r="BA64" s="1">
        <f t="shared" ca="1" si="59"/>
        <v>25015.757666666668</v>
      </c>
    </row>
    <row r="65" spans="1:53" ht="16.5" thickBot="1" x14ac:dyDescent="0.3">
      <c r="A65" s="213"/>
      <c r="B65" s="61">
        <f>IF(Fixture!C64,Fixture!C64,"")</f>
        <v>45725</v>
      </c>
      <c r="C65" s="58">
        <v>0.625</v>
      </c>
      <c r="D65" s="82" t="str">
        <f t="shared" ca="1" si="21"/>
        <v>Finalizado</v>
      </c>
      <c r="E65" s="207"/>
      <c r="F65" s="43">
        <f>+Fixture!B64</f>
        <v>63</v>
      </c>
      <c r="G65" s="42" t="str">
        <f>IF(VLOOKUP(F65,Fixture!$B$2:$F$137,3,FALSE)&lt;&gt;0,VLOOKUP(F65,Fixture!$B$2:$F$137,3,FALSE),"")</f>
        <v>Los Aliados</v>
      </c>
      <c r="H65" s="44">
        <f ca="1">IF($D65="Finalizado",_xlfn.XLOOKUP(G65,Resumen!$A$6:$A$22,Resumen!AD$6:AD$22,0),"")</f>
        <v>0</v>
      </c>
      <c r="I65" s="44">
        <f ca="1">IF($D65="Finalizado",_xlfn.XLOOKUP(G65,Resumen!$A$6:$A$22,Resumen!AE$6:AE$22,0),"")</f>
        <v>2</v>
      </c>
      <c r="J65" s="44">
        <f ca="1">IF($D65="Finalizado",_xlfn.XLOOKUP(G65,Resumen!$A$6:$A$22,Resumen!AF$6:AF$22,0)+_xlfn.XLOOKUP(G65,Resumen!$A$6:$A$22,Resumen!AG$6:AG$22,0),"")</f>
        <v>0</v>
      </c>
      <c r="K65" s="44">
        <f t="shared" ca="1" si="0"/>
        <v>0</v>
      </c>
      <c r="L65" s="44">
        <f t="shared" ca="1" si="1"/>
        <v>0</v>
      </c>
      <c r="M65" s="44">
        <f t="shared" ca="1" si="2"/>
        <v>1</v>
      </c>
      <c r="N65" s="44">
        <f t="shared" ca="1" si="3"/>
        <v>1</v>
      </c>
      <c r="O65" s="45">
        <f t="shared" ca="1" si="4"/>
        <v>10</v>
      </c>
      <c r="P65" s="42" t="str">
        <f>IF(VLOOKUP(F65,Fixture!$B$2:$F$137,5,FALSE)&lt;&gt;0,VLOOKUP(F65,Fixture!$B$2:$F$137,5,FALSE),"")</f>
        <v>Los Amigos</v>
      </c>
      <c r="Q65" s="44">
        <f ca="1">IF($D65="Finalizado",_xlfn.XLOOKUP(P65,Resumen!$A$6:$A$22,Resumen!AD$6:AD$22,0),"")</f>
        <v>1</v>
      </c>
      <c r="R65" s="44">
        <f ca="1">IF($D65="Finalizado",_xlfn.XLOOKUP(P65,Resumen!$A$6:$A$22,Resumen!AE$6:AE$22,0),"")</f>
        <v>1</v>
      </c>
      <c r="S65" s="44">
        <f ca="1">IF($D65="Finalizado",_xlfn.XLOOKUP(P65,Resumen!$A$6:$A$22,Resumen!AF$6:AF$22,0)+_xlfn.XLOOKUP(P65,Resumen!$A$6:$A$22,Resumen!AG$6:AG$22,0),"")</f>
        <v>0</v>
      </c>
      <c r="T65" s="44">
        <f t="shared" ca="1" si="5"/>
        <v>1</v>
      </c>
      <c r="U65" s="44">
        <f t="shared" ca="1" si="9"/>
        <v>0</v>
      </c>
      <c r="V65" s="44">
        <f t="shared" ca="1" si="10"/>
        <v>0</v>
      </c>
      <c r="W65" s="44">
        <f t="shared" ca="1" si="6"/>
        <v>1</v>
      </c>
      <c r="X65" s="45">
        <f t="shared" ca="1" si="7"/>
        <v>5</v>
      </c>
      <c r="Y65" s="207"/>
      <c r="AA65" s="40" t="s">
        <v>122</v>
      </c>
      <c r="AB65" s="40"/>
      <c r="AC65" s="41" t="s">
        <v>2</v>
      </c>
      <c r="AD65" s="40" t="s">
        <v>115</v>
      </c>
      <c r="AE65" s="40" t="s">
        <v>116</v>
      </c>
      <c r="AF65" s="40" t="s">
        <v>117</v>
      </c>
      <c r="AG65" s="40" t="s">
        <v>123</v>
      </c>
      <c r="AH65" s="40" t="s">
        <v>124</v>
      </c>
      <c r="AI65" s="40" t="s">
        <v>125</v>
      </c>
      <c r="AJ65" s="40" t="s">
        <v>126</v>
      </c>
      <c r="AK65" s="40" t="s">
        <v>127</v>
      </c>
      <c r="AL65" s="40" t="s">
        <v>119</v>
      </c>
      <c r="AM65"/>
      <c r="AP65" s="1">
        <f t="shared" ca="1" si="70"/>
        <v>27006.954714285715</v>
      </c>
      <c r="AQ65" s="1" t="str">
        <f t="shared" ca="1" si="49"/>
        <v>Amenadim</v>
      </c>
      <c r="AR65" s="1">
        <f t="shared" ca="1" si="50"/>
        <v>17</v>
      </c>
      <c r="AS65" s="1">
        <f t="shared" ca="1" si="51"/>
        <v>8</v>
      </c>
      <c r="AT65" s="1">
        <f t="shared" ca="1" si="52"/>
        <v>1</v>
      </c>
      <c r="AU65" s="1">
        <f t="shared" ca="1" si="53"/>
        <v>8</v>
      </c>
      <c r="AV65" s="1">
        <f t="shared" ca="1" si="54"/>
        <v>58</v>
      </c>
      <c r="AW65" s="1">
        <f t="shared" ca="1" si="55"/>
        <v>50</v>
      </c>
      <c r="AX65" s="1">
        <f t="shared" ca="1" si="56"/>
        <v>8</v>
      </c>
      <c r="AY65" s="1">
        <f t="shared" ca="1" si="57"/>
        <v>85</v>
      </c>
      <c r="AZ65" s="1">
        <f t="shared" ca="1" si="58"/>
        <v>25</v>
      </c>
      <c r="BA65" s="1">
        <f t="shared" ca="1" si="59"/>
        <v>27026.866111111111</v>
      </c>
    </row>
    <row r="66" spans="1:53" ht="16.5" thickBot="1" x14ac:dyDescent="0.3">
      <c r="A66" s="214"/>
      <c r="B66" s="61">
        <f>IF(Fixture!C65,Fixture!C65,"")</f>
        <v>45725</v>
      </c>
      <c r="C66" s="58">
        <v>0.67361111111111105</v>
      </c>
      <c r="D66" s="82" t="str">
        <f t="shared" ca="1" si="21"/>
        <v>Finalizado</v>
      </c>
      <c r="E66" s="208"/>
      <c r="F66" s="90">
        <f>+Fixture!B65</f>
        <v>64</v>
      </c>
      <c r="G66" s="42" t="str">
        <f>IF(VLOOKUP(F66,Fixture!$B$2:$F$137,3,FALSE)&lt;&gt;0,VLOOKUP(F66,Fixture!$B$2:$F$137,3,FALSE),"")</f>
        <v>La Unión FC</v>
      </c>
      <c r="H66" s="48">
        <f ca="1">IF($D66="Finalizado",_xlfn.XLOOKUP(G66,Resumen!$A$6:$A$22,Resumen!AD$6:AD$22,0),"")</f>
        <v>3</v>
      </c>
      <c r="I66" s="48">
        <f ca="1">IF($D66="Finalizado",_xlfn.XLOOKUP(G66,Resumen!$A$6:$A$22,Resumen!AE$6:AE$22,0),"")</f>
        <v>0</v>
      </c>
      <c r="J66" s="48">
        <f ca="1">IF($D66="Finalizado",_xlfn.XLOOKUP(G66,Resumen!$A$6:$A$22,Resumen!AF$6:AF$22,0)+_xlfn.XLOOKUP(G66,Resumen!$A$6:$A$22,Resumen!AG$6:AG$22,0),"")</f>
        <v>0</v>
      </c>
      <c r="K66" s="48">
        <f t="shared" ca="1" si="0"/>
        <v>1</v>
      </c>
      <c r="L66" s="48">
        <f t="shared" ca="1" si="1"/>
        <v>0</v>
      </c>
      <c r="M66" s="48">
        <f t="shared" ca="1" si="2"/>
        <v>0</v>
      </c>
      <c r="N66" s="48">
        <f t="shared" ca="1" si="3"/>
        <v>1</v>
      </c>
      <c r="O66" s="49">
        <f t="shared" ca="1" si="4"/>
        <v>0</v>
      </c>
      <c r="P66" s="42" t="str">
        <f>IF(VLOOKUP(F66,Fixture!$B$2:$F$137,5,FALSE)&lt;&gt;0,VLOOKUP(F66,Fixture!$B$2:$F$137,5,FALSE),"")</f>
        <v>Rayos FC</v>
      </c>
      <c r="Q66" s="48">
        <f ca="1">IF($D66="Finalizado",_xlfn.XLOOKUP(P66,Resumen!$A$6:$A$22,Resumen!AD$6:AD$22,0),"")</f>
        <v>0</v>
      </c>
      <c r="R66" s="48">
        <f ca="1">IF($D66="Finalizado",_xlfn.XLOOKUP(P66,Resumen!$A$6:$A$22,Resumen!AE$6:AE$22,0),"")</f>
        <v>0</v>
      </c>
      <c r="S66" s="48">
        <f ca="1">IF($D66="Finalizado",_xlfn.XLOOKUP(P66,Resumen!$A$6:$A$22,Resumen!AF$6:AF$22,0)+_xlfn.XLOOKUP(P66,Resumen!$A$6:$A$22,Resumen!AG$6:AG$22,0),"")</f>
        <v>3</v>
      </c>
      <c r="T66" s="48">
        <f t="shared" ca="1" si="5"/>
        <v>0</v>
      </c>
      <c r="U66" s="48">
        <f t="shared" ca="1" si="9"/>
        <v>0</v>
      </c>
      <c r="V66" s="48">
        <f t="shared" ca="1" si="10"/>
        <v>1</v>
      </c>
      <c r="W66" s="48">
        <f t="shared" ca="1" si="6"/>
        <v>1</v>
      </c>
      <c r="X66" s="49">
        <f t="shared" ca="1" si="7"/>
        <v>30</v>
      </c>
      <c r="Y66" s="208"/>
      <c r="AA66" s="19" t="s">
        <v>41</v>
      </c>
      <c r="AB66" s="19" t="e">
        <f t="shared" ref="AB66:AB73" ca="1" si="71">AJ66*1000+(AI66)+(AD66/10)+(AG66/1000)+IF(AL66&gt;0,(0.1/AL66),0)</f>
        <v>#VALUE!</v>
      </c>
      <c r="AC66" s="46" t="e">
        <f ca="1">VLOOKUP(AM134,$AB$134:$AC$142,2,FALSE)</f>
        <v>#VALUE!</v>
      </c>
      <c r="AD66" t="e">
        <f t="shared" ref="AD66:AD71" ca="1" si="72">VLOOKUP($AC66,$AC$134:$AK$142,2,FALSE)</f>
        <v>#VALUE!</v>
      </c>
      <c r="AE66" t="e">
        <f t="shared" ref="AE66:AE71" ca="1" si="73">VLOOKUP($AC66,$AC$134:$AK$142,3,FALSE)</f>
        <v>#VALUE!</v>
      </c>
      <c r="AF66" t="e">
        <f t="shared" ref="AF66:AF71" ca="1" si="74">VLOOKUP($AC66,$AC$134:$AK$142,4,FALSE)</f>
        <v>#VALUE!</v>
      </c>
      <c r="AG66" t="e">
        <f t="shared" ref="AG66:AG71" ca="1" si="75">VLOOKUP($AC66,$AC$134:$AK$142,5,FALSE)</f>
        <v>#VALUE!</v>
      </c>
      <c r="AH66" t="e">
        <f t="shared" ref="AH66:AH71" ca="1" si="76">VLOOKUP($AC66,$AC$134:$AK$142,6,FALSE)</f>
        <v>#VALUE!</v>
      </c>
      <c r="AI66" t="e">
        <f t="shared" ref="AI66:AI71" ca="1" si="77">VLOOKUP($AC66,$AC$134:$AK$142,7,FALSE)</f>
        <v>#VALUE!</v>
      </c>
      <c r="AJ66" t="e">
        <f t="shared" ref="AJ66:AJ71" ca="1" si="78">VLOOKUP($AC66,$AC$134:$AK$142,8,FALSE)</f>
        <v>#VALUE!</v>
      </c>
      <c r="AK66" t="e">
        <f t="shared" ref="AK66:AK71" ca="1" si="79">VLOOKUP($AC66,$AC$134:$AL$142,9,FALSE)</f>
        <v>#VALUE!</v>
      </c>
      <c r="AL66" t="e">
        <f t="shared" ref="AL66:AL71" ca="1" si="80">VLOOKUP($AC66,$AC$134:$AL$142,10,FALSE)</f>
        <v>#VALUE!</v>
      </c>
      <c r="AM66" t="e">
        <f t="shared" ref="AM66:AM71" ca="1" si="81">VLOOKUP($AC66,$AC$134:$AM$142,11,FALSE)</f>
        <v>#VALUE!</v>
      </c>
      <c r="AP66" s="1">
        <f t="shared" ca="1" si="70"/>
        <v>18957.64633333333</v>
      </c>
      <c r="AQ66" s="1" t="str">
        <f t="shared" ca="1" si="49"/>
        <v>Hojas Anchas</v>
      </c>
      <c r="AR66" s="1">
        <f t="shared" ca="1" si="50"/>
        <v>17</v>
      </c>
      <c r="AS66" s="1">
        <f t="shared" ca="1" si="51"/>
        <v>6</v>
      </c>
      <c r="AT66" s="1">
        <f t="shared" ca="1" si="52"/>
        <v>5</v>
      </c>
      <c r="AU66" s="1">
        <f t="shared" ca="1" si="53"/>
        <v>6</v>
      </c>
      <c r="AV66" s="1">
        <f t="shared" ca="1" si="54"/>
        <v>55</v>
      </c>
      <c r="AW66" s="1">
        <f t="shared" ca="1" si="55"/>
        <v>56</v>
      </c>
      <c r="AX66" s="1">
        <f t="shared" ca="1" si="56"/>
        <v>-1</v>
      </c>
      <c r="AY66" s="1">
        <f t="shared" ca="1" si="57"/>
        <v>160</v>
      </c>
      <c r="AZ66" s="1">
        <f t="shared" ca="1" si="58"/>
        <v>23</v>
      </c>
      <c r="BA66" s="1">
        <f t="shared" ca="1" si="59"/>
        <v>27006.954714285715</v>
      </c>
    </row>
    <row r="67" spans="1:53" x14ac:dyDescent="0.25">
      <c r="A67" s="212" t="s">
        <v>13</v>
      </c>
      <c r="B67" s="60">
        <f>IF(Fixture!C66,Fixture!C66,"")</f>
        <v>45704</v>
      </c>
      <c r="C67" s="58">
        <v>0.33333333333333331</v>
      </c>
      <c r="D67" s="82" t="str">
        <f t="shared" ca="1" si="21"/>
        <v>Finalizado</v>
      </c>
      <c r="E67" s="206" t="s">
        <v>114</v>
      </c>
      <c r="F67" s="43">
        <f>+Fixture!B66</f>
        <v>65</v>
      </c>
      <c r="G67" s="42" t="str">
        <f>IF(VLOOKUP(F67,Fixture!$B$2:$F$137,3,FALSE)&lt;&gt;0,VLOOKUP(F67,Fixture!$B$2:$F$137,3,FALSE),"")</f>
        <v>Ron Star</v>
      </c>
      <c r="H67" s="44">
        <f ca="1">IF($D67="Finalizado",_xlfn.XLOOKUP(G67,Resumen!$A$6:$A$22,Resumen!AH$6:AH$22,0),"")</f>
        <v>3</v>
      </c>
      <c r="I67" s="44">
        <f ca="1">IF($D67="Finalizado",_xlfn.XLOOKUP(G67,Resumen!$A$6:$A$22,Resumen!AI$6:AI$22,0),"")</f>
        <v>1</v>
      </c>
      <c r="J67" s="44">
        <f ca="1">IF($D67="Finalizado",_xlfn.XLOOKUP(G67,Resumen!$A$6:$A$22,Resumen!AJ$6:AJ$22,0)+_xlfn.XLOOKUP(G67,Resumen!$A$6:$A$22,Resumen!AK$6:AK$22,0),"")</f>
        <v>0</v>
      </c>
      <c r="K67" s="44">
        <f t="shared" ca="1" si="0"/>
        <v>1</v>
      </c>
      <c r="L67" s="44">
        <f t="shared" ref="L67:L130" ca="1" si="82">IF(D67="Finalizado",IF(H67=Q67,1,0),"")</f>
        <v>0</v>
      </c>
      <c r="M67" s="44">
        <f t="shared" ref="M67:M130" ca="1" si="83">IF(D67="Finalizado",IF(H67&lt;Q67,1,0),"")</f>
        <v>0</v>
      </c>
      <c r="N67" s="44">
        <f t="shared" ref="N67:N130" ca="1" si="84">IF(D67="Finalizado",1,"")</f>
        <v>1</v>
      </c>
      <c r="O67" s="45">
        <f t="shared" ref="O67:O130" ca="1" si="85">IF(D67="Finalizado",SUM(I67*5,J67*10),"")</f>
        <v>5</v>
      </c>
      <c r="P67" s="42" t="str">
        <f>IF(VLOOKUP(F67,Fixture!$B$2:$F$137,5,FALSE)&lt;&gt;0,VLOOKUP(F67,Fixture!$B$2:$F$137,5,FALSE),"")</f>
        <v>Villanueva</v>
      </c>
      <c r="Q67" s="44">
        <f ca="1">IF($D67="Finalizado",_xlfn.XLOOKUP(P67,Resumen!$A$6:$A$22,Resumen!AH$6:AH$22,0),"")</f>
        <v>0</v>
      </c>
      <c r="R67" s="44">
        <f ca="1">IF($D67="Finalizado",_xlfn.XLOOKUP(P67,Resumen!$A$6:$A$22,Resumen!AI$6:AI$22,0),"")</f>
        <v>3</v>
      </c>
      <c r="S67" s="44">
        <f ca="1">IF($D67="Finalizado",_xlfn.XLOOKUP(P67,Resumen!$A$6:$A$22,Resumen!AJ$6:AJ$22,0)+_xlfn.XLOOKUP(P67,Resumen!$A$6:$A$22,Resumen!AK$6:AK$22,0),"")</f>
        <v>0</v>
      </c>
      <c r="T67" s="44">
        <f t="shared" ref="T67:T130" ca="1" si="86">IF(D67="Finalizado",IF(Q67&gt;H67,1,0),"")</f>
        <v>0</v>
      </c>
      <c r="U67" s="44">
        <f t="shared" ca="1" si="9"/>
        <v>0</v>
      </c>
      <c r="V67" s="44">
        <f t="shared" ca="1" si="10"/>
        <v>1</v>
      </c>
      <c r="W67" s="44">
        <f t="shared" ref="W67:W130" ca="1" si="87">IF(D67="Finalizado",1,"")</f>
        <v>1</v>
      </c>
      <c r="X67" s="45">
        <f t="shared" ref="X67:X130" ca="1" si="88">IF(D67="Finalizado",SUM(R67*5,S67*10),"")</f>
        <v>15</v>
      </c>
      <c r="Y67" s="206" t="str">
        <f>+A67</f>
        <v>Fecha 9</v>
      </c>
      <c r="AA67" s="19" t="s">
        <v>42</v>
      </c>
      <c r="AB67" s="19" t="e">
        <f t="shared" ca="1" si="71"/>
        <v>#VALUE!</v>
      </c>
      <c r="AC67" s="46" t="e">
        <f ca="1">VLOOKUP(AM137,$AB$134:$AC$142,2,FALSE)</f>
        <v>#VALUE!</v>
      </c>
      <c r="AD67" t="e">
        <f t="shared" ca="1" si="72"/>
        <v>#VALUE!</v>
      </c>
      <c r="AE67" t="e">
        <f t="shared" ca="1" si="73"/>
        <v>#VALUE!</v>
      </c>
      <c r="AF67" t="e">
        <f t="shared" ca="1" si="74"/>
        <v>#VALUE!</v>
      </c>
      <c r="AG67" t="e">
        <f t="shared" ca="1" si="75"/>
        <v>#VALUE!</v>
      </c>
      <c r="AH67" t="e">
        <f t="shared" ca="1" si="76"/>
        <v>#VALUE!</v>
      </c>
      <c r="AI67" t="e">
        <f t="shared" ca="1" si="77"/>
        <v>#VALUE!</v>
      </c>
      <c r="AJ67" t="e">
        <f t="shared" ca="1" si="78"/>
        <v>#VALUE!</v>
      </c>
      <c r="AK67" t="e">
        <f t="shared" ca="1" si="79"/>
        <v>#VALUE!</v>
      </c>
      <c r="AL67" t="e">
        <f t="shared" ca="1" si="80"/>
        <v>#VALUE!</v>
      </c>
      <c r="AM67" t="e">
        <f t="shared" ca="1" si="81"/>
        <v>#VALUE!</v>
      </c>
      <c r="AP67" s="1">
        <f t="shared" ca="1" si="70"/>
        <v>2956.1062702702702</v>
      </c>
      <c r="AQ67" s="1" t="str">
        <f t="shared" ca="1" si="49"/>
        <v>Deportivo Fénix</v>
      </c>
      <c r="AR67" s="1">
        <f t="shared" ca="1" si="50"/>
        <v>17</v>
      </c>
      <c r="AS67" s="1">
        <f t="shared" ca="1" si="51"/>
        <v>6</v>
      </c>
      <c r="AT67" s="1">
        <f t="shared" ca="1" si="52"/>
        <v>1</v>
      </c>
      <c r="AU67" s="1">
        <f t="shared" ca="1" si="53"/>
        <v>10</v>
      </c>
      <c r="AV67" s="1">
        <f t="shared" ca="1" si="54"/>
        <v>45</v>
      </c>
      <c r="AW67" s="1">
        <f t="shared" ca="1" si="55"/>
        <v>88</v>
      </c>
      <c r="AX67" s="1">
        <f t="shared" ca="1" si="56"/>
        <v>-43</v>
      </c>
      <c r="AY67" s="1">
        <f t="shared" ca="1" si="57"/>
        <v>75</v>
      </c>
      <c r="AZ67" s="1">
        <f t="shared" ca="1" si="58"/>
        <v>19</v>
      </c>
      <c r="BA67" s="1">
        <f t="shared" ca="1" si="59"/>
        <v>22999.655624999999</v>
      </c>
    </row>
    <row r="68" spans="1:53" x14ac:dyDescent="0.25">
      <c r="A68" s="213"/>
      <c r="B68" s="61">
        <f>IF(Fixture!C67,Fixture!C67,"")</f>
        <v>45704</v>
      </c>
      <c r="C68" s="58">
        <v>0.38194444444444442</v>
      </c>
      <c r="D68" s="82" t="str">
        <f t="shared" ca="1" si="21"/>
        <v>Finalizado</v>
      </c>
      <c r="E68" s="207"/>
      <c r="F68" s="43">
        <f>+Fixture!B67</f>
        <v>66</v>
      </c>
      <c r="G68" s="42" t="str">
        <f>IF(VLOOKUP(F68,Fixture!$B$2:$F$137,3,FALSE)&lt;&gt;0,VLOOKUP(F68,Fixture!$B$2:$F$137,3,FALSE),"")</f>
        <v>Amenadim</v>
      </c>
      <c r="H68" s="44">
        <f ca="1">IF($D68="Finalizado",_xlfn.XLOOKUP(G68,Resumen!$A$6:$A$22,Resumen!AH$6:AH$22,0),"")</f>
        <v>4</v>
      </c>
      <c r="I68" s="44">
        <f ca="1">IF($D68="Finalizado",_xlfn.XLOOKUP(G68,Resumen!$A$6:$A$22,Resumen!AI$6:AI$22,0),"")</f>
        <v>1</v>
      </c>
      <c r="J68" s="44">
        <f ca="1">IF($D68="Finalizado",_xlfn.XLOOKUP(G68,Resumen!$A$6:$A$22,Resumen!AJ$6:AJ$22,0)+_xlfn.XLOOKUP(G68,Resumen!$A$6:$A$22,Resumen!AK$6:AK$22,0),"")</f>
        <v>0</v>
      </c>
      <c r="K68" s="44">
        <f t="shared" ca="1" si="0"/>
        <v>1</v>
      </c>
      <c r="L68" s="44">
        <f t="shared" ca="1" si="82"/>
        <v>0</v>
      </c>
      <c r="M68" s="44">
        <f t="shared" ca="1" si="83"/>
        <v>0</v>
      </c>
      <c r="N68" s="44">
        <f t="shared" ca="1" si="84"/>
        <v>1</v>
      </c>
      <c r="O68" s="45">
        <f t="shared" ca="1" si="85"/>
        <v>5</v>
      </c>
      <c r="P68" s="42" t="str">
        <f>IF(VLOOKUP(F68,Fixture!$B$2:$F$137,5,FALSE)&lt;&gt;0,VLOOKUP(F68,Fixture!$B$2:$F$137,5,FALSE),"")</f>
        <v>Konami</v>
      </c>
      <c r="Q68" s="44">
        <f ca="1">IF($D68="Finalizado",_xlfn.XLOOKUP(P68,Resumen!$A$6:$A$22,Resumen!AH$6:AH$22,0),"")</f>
        <v>3</v>
      </c>
      <c r="R68" s="44">
        <f ca="1">IF($D68="Finalizado",_xlfn.XLOOKUP(P68,Resumen!$A$6:$A$22,Resumen!AI$6:AI$22,0),"")</f>
        <v>0</v>
      </c>
      <c r="S68" s="44">
        <f ca="1">IF($D68="Finalizado",_xlfn.XLOOKUP(P68,Resumen!$A$6:$A$22,Resumen!AJ$6:AJ$22,0)+_xlfn.XLOOKUP(P68,Resumen!$A$6:$A$22,Resumen!AK$6:AK$22,0),"")</f>
        <v>0</v>
      </c>
      <c r="T68" s="44">
        <f t="shared" ca="1" si="86"/>
        <v>0</v>
      </c>
      <c r="U68" s="44">
        <f t="shared" ref="U68:U131" ca="1" si="89">IF(D68="Finalizado",IF(Q68=H68,1,0),"")</f>
        <v>0</v>
      </c>
      <c r="V68" s="44">
        <f t="shared" ref="V68:V131" ca="1" si="90">IF(D68="Finalizado",IF(Q68&lt;H68,1,0),"")</f>
        <v>1</v>
      </c>
      <c r="W68" s="44">
        <f t="shared" ca="1" si="87"/>
        <v>1</v>
      </c>
      <c r="X68" s="45">
        <f t="shared" ca="1" si="88"/>
        <v>0</v>
      </c>
      <c r="Y68" s="207"/>
      <c r="AA68" s="19" t="s">
        <v>43</v>
      </c>
      <c r="AB68" s="19" t="e">
        <f t="shared" ca="1" si="71"/>
        <v>#VALUE!</v>
      </c>
      <c r="AC68" s="46" t="e">
        <f ca="1">VLOOKUP(AM138,$AB$134:$AC$142,2,FALSE)</f>
        <v>#VALUE!</v>
      </c>
      <c r="AD68" t="e">
        <f t="shared" ca="1" si="72"/>
        <v>#VALUE!</v>
      </c>
      <c r="AE68" t="e">
        <f t="shared" ca="1" si="73"/>
        <v>#VALUE!</v>
      </c>
      <c r="AF68" t="e">
        <f t="shared" ca="1" si="74"/>
        <v>#VALUE!</v>
      </c>
      <c r="AG68" t="e">
        <f t="shared" ca="1" si="75"/>
        <v>#VALUE!</v>
      </c>
      <c r="AH68" t="e">
        <f t="shared" ca="1" si="76"/>
        <v>#VALUE!</v>
      </c>
      <c r="AI68" t="e">
        <f t="shared" ca="1" si="77"/>
        <v>#VALUE!</v>
      </c>
      <c r="AJ68" t="e">
        <f t="shared" ca="1" si="78"/>
        <v>#VALUE!</v>
      </c>
      <c r="AK68" t="e">
        <f t="shared" ca="1" si="79"/>
        <v>#VALUE!</v>
      </c>
      <c r="AL68" t="e">
        <f t="shared" ca="1" si="80"/>
        <v>#VALUE!</v>
      </c>
      <c r="AM68" t="e">
        <f t="shared" ca="1" si="81"/>
        <v>#VALUE!</v>
      </c>
      <c r="AP68" s="1">
        <f t="shared" ca="1" si="70"/>
        <v>45053.50495238095</v>
      </c>
      <c r="AQ68" s="1" t="str">
        <f t="shared" ca="1" si="49"/>
        <v>Los Aliados</v>
      </c>
      <c r="AR68" s="1">
        <f t="shared" ca="1" si="50"/>
        <v>18</v>
      </c>
      <c r="AS68" s="1">
        <f t="shared" ca="1" si="51"/>
        <v>4</v>
      </c>
      <c r="AT68" s="1">
        <f t="shared" ca="1" si="52"/>
        <v>2</v>
      </c>
      <c r="AU68" s="1">
        <f t="shared" ca="1" si="53"/>
        <v>12</v>
      </c>
      <c r="AV68" s="1">
        <f t="shared" ca="1" si="54"/>
        <v>37</v>
      </c>
      <c r="AW68" s="1">
        <f t="shared" ca="1" si="55"/>
        <v>84</v>
      </c>
      <c r="AX68" s="1">
        <f t="shared" ca="1" si="56"/>
        <v>-47</v>
      </c>
      <c r="AY68" s="1">
        <f t="shared" ca="1" si="57"/>
        <v>135</v>
      </c>
      <c r="AZ68" s="1">
        <f t="shared" ca="1" si="58"/>
        <v>14</v>
      </c>
      <c r="BA68" s="1">
        <f t="shared" ca="1" si="59"/>
        <v>8970.2374285714286</v>
      </c>
    </row>
    <row r="69" spans="1:53" x14ac:dyDescent="0.25">
      <c r="A69" s="213"/>
      <c r="B69" s="61">
        <f>IF(Fixture!C68,Fixture!C68,"")</f>
        <v>45704</v>
      </c>
      <c r="C69" s="58">
        <v>0.43055555555555602</v>
      </c>
      <c r="D69" s="82" t="str">
        <f t="shared" ca="1" si="21"/>
        <v>Finalizado</v>
      </c>
      <c r="E69" s="207"/>
      <c r="F69" s="43">
        <f>+Fixture!B68</f>
        <v>67</v>
      </c>
      <c r="G69" s="42" t="str">
        <f>IF(VLOOKUP(F69,Fixture!$B$2:$F$137,3,FALSE)&lt;&gt;0,VLOOKUP(F69,Fixture!$B$2:$F$137,3,FALSE),"")</f>
        <v>Hojas Anchas</v>
      </c>
      <c r="H69" s="44">
        <f ca="1">IF($D69="Finalizado",_xlfn.XLOOKUP(G69,Resumen!$A$6:$A$22,Resumen!AH$6:AH$22,0),"")</f>
        <v>3</v>
      </c>
      <c r="I69" s="44">
        <f ca="1">IF($D69="Finalizado",_xlfn.XLOOKUP(G69,Resumen!$A$6:$A$22,Resumen!AI$6:AI$22,0),"")</f>
        <v>0</v>
      </c>
      <c r="J69" s="44">
        <f ca="1">IF($D69="Finalizado",_xlfn.XLOOKUP(G69,Resumen!$A$6:$A$22,Resumen!AJ$6:AJ$22,0)+_xlfn.XLOOKUP(G69,Resumen!$A$6:$A$22,Resumen!AK$6:AK$22,0),"")</f>
        <v>1</v>
      </c>
      <c r="K69" s="44">
        <f t="shared" ca="1" si="0"/>
        <v>0</v>
      </c>
      <c r="L69" s="44">
        <f t="shared" ca="1" si="82"/>
        <v>0</v>
      </c>
      <c r="M69" s="44">
        <f t="shared" ca="1" si="83"/>
        <v>1</v>
      </c>
      <c r="N69" s="44">
        <f t="shared" ca="1" si="84"/>
        <v>1</v>
      </c>
      <c r="O69" s="45">
        <f t="shared" ca="1" si="85"/>
        <v>10</v>
      </c>
      <c r="P69" s="42" t="str">
        <f>IF(VLOOKUP(F69,Fixture!$B$2:$F$137,5,FALSE)&lt;&gt;0,VLOOKUP(F69,Fixture!$B$2:$F$137,5,FALSE),"")</f>
        <v>La Amistad</v>
      </c>
      <c r="Q69" s="44">
        <f ca="1">IF($D69="Finalizado",_xlfn.XLOOKUP(P69,Resumen!$A$6:$A$22,Resumen!AH$6:AH$22,0),"")</f>
        <v>5</v>
      </c>
      <c r="R69" s="44">
        <f ca="1">IF($D69="Finalizado",_xlfn.XLOOKUP(P69,Resumen!$A$6:$A$22,Resumen!AI$6:AI$22,0),"")</f>
        <v>2</v>
      </c>
      <c r="S69" s="44">
        <f ca="1">IF($D69="Finalizado",_xlfn.XLOOKUP(P69,Resumen!$A$6:$A$22,Resumen!AJ$6:AJ$22,0)+_xlfn.XLOOKUP(P69,Resumen!$A$6:$A$22,Resumen!AK$6:AK$22,0),"")</f>
        <v>0</v>
      </c>
      <c r="T69" s="44">
        <f t="shared" ca="1" si="86"/>
        <v>1</v>
      </c>
      <c r="U69" s="44">
        <f t="shared" ca="1" si="89"/>
        <v>0</v>
      </c>
      <c r="V69" s="44">
        <f t="shared" ca="1" si="90"/>
        <v>0</v>
      </c>
      <c r="W69" s="44">
        <f t="shared" ca="1" si="87"/>
        <v>1</v>
      </c>
      <c r="X69" s="45">
        <f t="shared" ca="1" si="88"/>
        <v>10</v>
      </c>
      <c r="Y69" s="207"/>
      <c r="AA69" s="19" t="s">
        <v>44</v>
      </c>
      <c r="AB69" s="19" t="e">
        <f t="shared" ca="1" si="71"/>
        <v>#VALUE!</v>
      </c>
      <c r="AC69" s="46" t="e">
        <f ca="1">VLOOKUP(AM139,$AB$134:$AC$142,2,FALSE)</f>
        <v>#VALUE!</v>
      </c>
      <c r="AD69" t="e">
        <f t="shared" ca="1" si="72"/>
        <v>#VALUE!</v>
      </c>
      <c r="AE69" t="e">
        <f t="shared" ca="1" si="73"/>
        <v>#VALUE!</v>
      </c>
      <c r="AF69" t="e">
        <f t="shared" ca="1" si="74"/>
        <v>#VALUE!</v>
      </c>
      <c r="AG69" t="e">
        <f t="shared" ca="1" si="75"/>
        <v>#VALUE!</v>
      </c>
      <c r="AH69" t="e">
        <f t="shared" ca="1" si="76"/>
        <v>#VALUE!</v>
      </c>
      <c r="AI69" t="e">
        <f t="shared" ca="1" si="77"/>
        <v>#VALUE!</v>
      </c>
      <c r="AJ69" t="e">
        <f t="shared" ca="1" si="78"/>
        <v>#VALUE!</v>
      </c>
      <c r="AK69" t="e">
        <f t="shared" ca="1" si="79"/>
        <v>#VALUE!</v>
      </c>
      <c r="AL69" t="e">
        <f t="shared" ca="1" si="80"/>
        <v>#VALUE!</v>
      </c>
      <c r="AM69" t="e">
        <f t="shared" ca="1" si="81"/>
        <v>#VALUE!</v>
      </c>
      <c r="AP69" s="1">
        <f t="shared" ca="1" si="70"/>
        <v>13953.437740740741</v>
      </c>
      <c r="AQ69" s="1" t="str">
        <f t="shared" ca="1" si="49"/>
        <v>Atalanta</v>
      </c>
      <c r="AR69" s="1">
        <f t="shared" ca="1" si="50"/>
        <v>18</v>
      </c>
      <c r="AS69" s="1">
        <f t="shared" ca="1" si="51"/>
        <v>2</v>
      </c>
      <c r="AT69" s="1">
        <f t="shared" ca="1" si="52"/>
        <v>3</v>
      </c>
      <c r="AU69" s="1">
        <f t="shared" ca="1" si="53"/>
        <v>13</v>
      </c>
      <c r="AV69" s="1">
        <f t="shared" ca="1" si="54"/>
        <v>36</v>
      </c>
      <c r="AW69" s="1">
        <f t="shared" ca="1" si="55"/>
        <v>66</v>
      </c>
      <c r="AX69" s="1">
        <f t="shared" ca="1" si="56"/>
        <v>-30</v>
      </c>
      <c r="AY69" s="1">
        <f t="shared" ca="1" si="57"/>
        <v>70</v>
      </c>
      <c r="AZ69" s="1">
        <f t="shared" ca="1" si="58"/>
        <v>9</v>
      </c>
      <c r="BA69" s="1">
        <f t="shared" ca="1" si="59"/>
        <v>8917.3362222222204</v>
      </c>
    </row>
    <row r="70" spans="1:53" x14ac:dyDescent="0.25">
      <c r="A70" s="213"/>
      <c r="B70" s="61">
        <f>IF(Fixture!C69,Fixture!C69,"")</f>
        <v>45704</v>
      </c>
      <c r="C70" s="58">
        <v>0.47916666666666602</v>
      </c>
      <c r="D70" s="82" t="str">
        <f t="shared" ca="1" si="21"/>
        <v>Finalizado</v>
      </c>
      <c r="E70" s="207"/>
      <c r="F70" s="43">
        <f>+Fixture!B69</f>
        <v>68</v>
      </c>
      <c r="G70" s="42" t="str">
        <f>IF(VLOOKUP(F70,Fixture!$B$2:$F$137,3,FALSE)&lt;&gt;0,VLOOKUP(F70,Fixture!$B$2:$F$137,3,FALSE),"")</f>
        <v>Los Aliados</v>
      </c>
      <c r="H70" s="44">
        <f ca="1">IF($D70="Finalizado",_xlfn.XLOOKUP(G70,Resumen!$A$6:$A$22,Resumen!AH$6:AH$22,0),"")</f>
        <v>1</v>
      </c>
      <c r="I70" s="44">
        <f ca="1">IF($D70="Finalizado",_xlfn.XLOOKUP(G70,Resumen!$A$6:$A$22,Resumen!AI$6:AI$22,0),"")</f>
        <v>0</v>
      </c>
      <c r="J70" s="44">
        <f ca="1">IF($D70="Finalizado",_xlfn.XLOOKUP(G70,Resumen!$A$6:$A$22,Resumen!AJ$6:AJ$22,0)+_xlfn.XLOOKUP(G70,Resumen!$A$6:$A$22,Resumen!AK$6:AK$22,0),"")</f>
        <v>0</v>
      </c>
      <c r="K70" s="44">
        <f t="shared" ca="1" si="0"/>
        <v>0</v>
      </c>
      <c r="L70" s="44">
        <f t="shared" ca="1" si="82"/>
        <v>0</v>
      </c>
      <c r="M70" s="44">
        <f t="shared" ca="1" si="83"/>
        <v>1</v>
      </c>
      <c r="N70" s="44">
        <f t="shared" ca="1" si="84"/>
        <v>1</v>
      </c>
      <c r="O70" s="45">
        <f t="shared" ca="1" si="85"/>
        <v>0</v>
      </c>
      <c r="P70" s="42" t="str">
        <f>IF(VLOOKUP(F70,Fixture!$B$2:$F$137,5,FALSE)&lt;&gt;0,VLOOKUP(F70,Fixture!$B$2:$F$137,5,FALSE),"")</f>
        <v>La Nueva Era</v>
      </c>
      <c r="Q70" s="44">
        <f ca="1">IF($D70="Finalizado",_xlfn.XLOOKUP(P70,Resumen!$A$6:$A$22,Resumen!AH$6:AH$22,0),"")</f>
        <v>2</v>
      </c>
      <c r="R70" s="44">
        <f ca="1">IF($D70="Finalizado",_xlfn.XLOOKUP(P70,Resumen!$A$6:$A$22,Resumen!AI$6:AI$22,0),"")</f>
        <v>1</v>
      </c>
      <c r="S70" s="44">
        <f ca="1">IF($D70="Finalizado",_xlfn.XLOOKUP(P70,Resumen!$A$6:$A$22,Resumen!AJ$6:AJ$22,0)+_xlfn.XLOOKUP(P70,Resumen!$A$6:$A$22,Resumen!AK$6:AK$22,0),"")</f>
        <v>0</v>
      </c>
      <c r="T70" s="44">
        <f t="shared" ca="1" si="86"/>
        <v>1</v>
      </c>
      <c r="U70" s="44">
        <f t="shared" ca="1" si="89"/>
        <v>0</v>
      </c>
      <c r="V70" s="44">
        <f t="shared" ca="1" si="90"/>
        <v>0</v>
      </c>
      <c r="W70" s="44">
        <f t="shared" ca="1" si="87"/>
        <v>1</v>
      </c>
      <c r="X70" s="45">
        <f t="shared" ca="1" si="88"/>
        <v>5</v>
      </c>
      <c r="Y70" s="207"/>
      <c r="AA70" s="19" t="s">
        <v>45</v>
      </c>
      <c r="AB70" s="19" t="e">
        <f t="shared" ca="1" si="71"/>
        <v>#VALUE!</v>
      </c>
      <c r="AC70" s="46" t="e">
        <f ca="1">VLOOKUP(AM140,$AB$134:$AC$142,2,FALSE)</f>
        <v>#VALUE!</v>
      </c>
      <c r="AD70" t="e">
        <f t="shared" ca="1" si="72"/>
        <v>#VALUE!</v>
      </c>
      <c r="AE70" t="e">
        <f t="shared" ca="1" si="73"/>
        <v>#VALUE!</v>
      </c>
      <c r="AF70" t="e">
        <f t="shared" ca="1" si="74"/>
        <v>#VALUE!</v>
      </c>
      <c r="AG70" t="e">
        <f t="shared" ca="1" si="75"/>
        <v>#VALUE!</v>
      </c>
      <c r="AH70" t="e">
        <f t="shared" ca="1" si="76"/>
        <v>#VALUE!</v>
      </c>
      <c r="AI70" t="e">
        <f t="shared" ca="1" si="77"/>
        <v>#VALUE!</v>
      </c>
      <c r="AJ70" t="e">
        <f t="shared" ca="1" si="78"/>
        <v>#VALUE!</v>
      </c>
      <c r="AK70" t="e">
        <f t="shared" ca="1" si="79"/>
        <v>#VALUE!</v>
      </c>
      <c r="AL70" t="e">
        <f t="shared" ca="1" si="80"/>
        <v>#VALUE!</v>
      </c>
      <c r="AM70" t="e">
        <f t="shared" ca="1" si="81"/>
        <v>#VALUE!</v>
      </c>
      <c r="AP70" s="1">
        <f t="shared" ca="1" si="70"/>
        <v>8970.2374285714286</v>
      </c>
      <c r="AQ70" s="1" t="str">
        <f t="shared" ca="1" si="49"/>
        <v>La Nueva Era</v>
      </c>
      <c r="AR70" s="1">
        <f t="shared" ca="1" si="50"/>
        <v>17</v>
      </c>
      <c r="AS70" s="1">
        <f t="shared" ca="1" si="51"/>
        <v>3</v>
      </c>
      <c r="AT70" s="1">
        <f t="shared" ca="1" si="52"/>
        <v>0</v>
      </c>
      <c r="AU70" s="1">
        <f t="shared" ca="1" si="53"/>
        <v>14</v>
      </c>
      <c r="AV70" s="1">
        <f t="shared" ca="1" si="54"/>
        <v>34</v>
      </c>
      <c r="AW70" s="1">
        <f t="shared" ca="1" si="55"/>
        <v>117</v>
      </c>
      <c r="AX70" s="1">
        <f t="shared" ca="1" si="56"/>
        <v>-83</v>
      </c>
      <c r="AY70" s="1">
        <f t="shared" ca="1" si="57"/>
        <v>45</v>
      </c>
      <c r="AZ70" s="1">
        <f t="shared" ca="1" si="58"/>
        <v>9</v>
      </c>
      <c r="BA70" s="1">
        <f t="shared" ca="1" si="59"/>
        <v>38044.280666666658</v>
      </c>
    </row>
    <row r="71" spans="1:53" x14ac:dyDescent="0.25">
      <c r="A71" s="213"/>
      <c r="B71" s="61">
        <f>IF(Fixture!C70,Fixture!C70,"")</f>
        <v>45809</v>
      </c>
      <c r="C71" s="58">
        <v>0.52777777777777701</v>
      </c>
      <c r="D71" s="82" t="str">
        <f t="shared" ca="1" si="21"/>
        <v>Finalizado</v>
      </c>
      <c r="E71" s="207"/>
      <c r="F71" s="43">
        <f>+Fixture!B70</f>
        <v>69</v>
      </c>
      <c r="G71" s="42" t="str">
        <f>IF(VLOOKUP(F71,Fixture!$B$2:$F$137,3,FALSE)&lt;&gt;0,VLOOKUP(F71,Fixture!$B$2:$F$137,3,FALSE),"")</f>
        <v>Boca Juniors</v>
      </c>
      <c r="H71" s="44">
        <f ca="1">IF($D71="Finalizado",_xlfn.XLOOKUP(G71,Resumen!$A$6:$A$22,Resumen!AH$6:AH$22,0),"")</f>
        <v>1</v>
      </c>
      <c r="I71" s="44">
        <f ca="1">IF($D71="Finalizado",_xlfn.XLOOKUP(G71,Resumen!$A$6:$A$22,Resumen!AI$6:AI$22,0),"")</f>
        <v>0</v>
      </c>
      <c r="J71" s="44">
        <f ca="1">IF($D71="Finalizado",_xlfn.XLOOKUP(G71,Resumen!$A$6:$A$22,Resumen!AJ$6:AJ$22,0)+_xlfn.XLOOKUP(G71,Resumen!$A$6:$A$22,Resumen!AK$6:AK$22,0),"")</f>
        <v>0</v>
      </c>
      <c r="K71" s="44">
        <f t="shared" ca="1" si="0"/>
        <v>0</v>
      </c>
      <c r="L71" s="44">
        <f t="shared" ca="1" si="82"/>
        <v>0</v>
      </c>
      <c r="M71" s="44">
        <f t="shared" ca="1" si="83"/>
        <v>1</v>
      </c>
      <c r="N71" s="44">
        <f t="shared" ca="1" si="84"/>
        <v>1</v>
      </c>
      <c r="O71" s="45">
        <f t="shared" ca="1" si="85"/>
        <v>0</v>
      </c>
      <c r="P71" s="42" t="str">
        <f>IF(VLOOKUP(F71,Fixture!$B$2:$F$137,5,FALSE)&lt;&gt;0,VLOOKUP(F71,Fixture!$B$2:$F$137,5,FALSE),"")</f>
        <v>Los Amigos</v>
      </c>
      <c r="Q71" s="44">
        <f ca="1">IF($D71="Finalizado",_xlfn.XLOOKUP(P71,Resumen!$A$6:$A$22,Resumen!AH$6:AH$22,0),"")</f>
        <v>4</v>
      </c>
      <c r="R71" s="44">
        <f ca="1">IF($D71="Finalizado",_xlfn.XLOOKUP(P71,Resumen!$A$6:$A$22,Resumen!AI$6:AI$22,0),"")</f>
        <v>0</v>
      </c>
      <c r="S71" s="44">
        <f ca="1">IF($D71="Finalizado",_xlfn.XLOOKUP(P71,Resumen!$A$6:$A$22,Resumen!AJ$6:AJ$22,0)+_xlfn.XLOOKUP(P71,Resumen!$A$6:$A$22,Resumen!AK$6:AK$22,0),"")</f>
        <v>0</v>
      </c>
      <c r="T71" s="44">
        <f t="shared" ca="1" si="86"/>
        <v>1</v>
      </c>
      <c r="U71" s="44">
        <f t="shared" ca="1" si="89"/>
        <v>0</v>
      </c>
      <c r="V71" s="44">
        <f t="shared" ca="1" si="90"/>
        <v>0</v>
      </c>
      <c r="W71" s="44">
        <f t="shared" ca="1" si="87"/>
        <v>1</v>
      </c>
      <c r="X71" s="45">
        <f t="shared" ca="1" si="88"/>
        <v>0</v>
      </c>
      <c r="Y71" s="207"/>
      <c r="AA71" s="19" t="s">
        <v>46</v>
      </c>
      <c r="AB71" s="19" t="e">
        <f t="shared" ca="1" si="71"/>
        <v>#VALUE!</v>
      </c>
      <c r="AC71" s="46" t="e">
        <f ca="1">VLOOKUP(AM141,$AB$134:$AC$142,2,FALSE)</f>
        <v>#VALUE!</v>
      </c>
      <c r="AD71" t="e">
        <f t="shared" ca="1" si="72"/>
        <v>#VALUE!</v>
      </c>
      <c r="AE71" t="e">
        <f t="shared" ca="1" si="73"/>
        <v>#VALUE!</v>
      </c>
      <c r="AF71" t="e">
        <f t="shared" ca="1" si="74"/>
        <v>#VALUE!</v>
      </c>
      <c r="AG71" t="e">
        <f t="shared" ca="1" si="75"/>
        <v>#VALUE!</v>
      </c>
      <c r="AH71" t="e">
        <f t="shared" ca="1" si="76"/>
        <v>#VALUE!</v>
      </c>
      <c r="AI71" t="e">
        <f t="shared" ca="1" si="77"/>
        <v>#VALUE!</v>
      </c>
      <c r="AJ71" t="e">
        <f t="shared" ca="1" si="78"/>
        <v>#VALUE!</v>
      </c>
      <c r="AK71" t="e">
        <f t="shared" ca="1" si="79"/>
        <v>#VALUE!</v>
      </c>
      <c r="AL71" t="e">
        <f t="shared" ca="1" si="80"/>
        <v>#VALUE!</v>
      </c>
      <c r="AM71" t="e">
        <f t="shared" ca="1" si="81"/>
        <v>#VALUE!</v>
      </c>
      <c r="AP71" s="1">
        <f ca="1">AB93</f>
        <v>27026.866111111111</v>
      </c>
      <c r="AQ71" s="1" t="str">
        <f t="shared" ca="1" si="49"/>
        <v>Rayos FC</v>
      </c>
      <c r="AR71" s="1">
        <f t="shared" ca="1" si="50"/>
        <v>15</v>
      </c>
      <c r="AS71" s="1">
        <f t="shared" ca="1" si="51"/>
        <v>1</v>
      </c>
      <c r="AT71" s="1">
        <f t="shared" ca="1" si="52"/>
        <v>0</v>
      </c>
      <c r="AU71" s="1">
        <f t="shared" ca="1" si="53"/>
        <v>14</v>
      </c>
      <c r="AV71" s="1">
        <f t="shared" ca="1" si="54"/>
        <v>6</v>
      </c>
      <c r="AW71" s="1">
        <f t="shared" ca="1" si="55"/>
        <v>50</v>
      </c>
      <c r="AX71" s="1">
        <f t="shared" ca="1" si="56"/>
        <v>-44</v>
      </c>
      <c r="AY71" s="1">
        <f t="shared" ca="1" si="57"/>
        <v>370</v>
      </c>
      <c r="AZ71" s="1">
        <f t="shared" ca="1" si="58"/>
        <v>3</v>
      </c>
      <c r="BA71" s="1">
        <f t="shared" ca="1" si="59"/>
        <v>18957.64633333333</v>
      </c>
    </row>
    <row r="72" spans="1:53" x14ac:dyDescent="0.25">
      <c r="A72" s="213"/>
      <c r="B72" s="61">
        <f>IF(Fixture!C71,Fixture!C71,"")</f>
        <v>45704</v>
      </c>
      <c r="C72" s="58">
        <v>0.57638888888888895</v>
      </c>
      <c r="D72" s="82" t="str">
        <f t="shared" ca="1" si="21"/>
        <v>Finalizado</v>
      </c>
      <c r="E72" s="207"/>
      <c r="F72" s="43">
        <f>+Fixture!B71</f>
        <v>70</v>
      </c>
      <c r="G72" s="42" t="str">
        <f>IF(VLOOKUP(F72,Fixture!$B$2:$F$137,3,FALSE)&lt;&gt;0,VLOOKUP(F72,Fixture!$B$2:$F$137,3,FALSE),"")</f>
        <v>Atalanta</v>
      </c>
      <c r="H72" s="44">
        <f ca="1">IF($D72="Finalizado",_xlfn.XLOOKUP(G72,Resumen!$A$6:$A$22,Resumen!AH$6:AH$22,0),"")</f>
        <v>2</v>
      </c>
      <c r="I72" s="44">
        <f ca="1">IF($D72="Finalizado",_xlfn.XLOOKUP(G72,Resumen!$A$6:$A$22,Resumen!AI$6:AI$22,0),"")</f>
        <v>2</v>
      </c>
      <c r="J72" s="44">
        <f ca="1">IF($D72="Finalizado",_xlfn.XLOOKUP(G72,Resumen!$A$6:$A$22,Resumen!AJ$6:AJ$22,0)+_xlfn.XLOOKUP(G72,Resumen!$A$6:$A$22,Resumen!AK$6:AK$22,0),"")</f>
        <v>0</v>
      </c>
      <c r="K72" s="44">
        <f t="shared" ca="1" si="0"/>
        <v>0</v>
      </c>
      <c r="L72" s="44">
        <f t="shared" ca="1" si="82"/>
        <v>0</v>
      </c>
      <c r="M72" s="44">
        <f t="shared" ca="1" si="83"/>
        <v>1</v>
      </c>
      <c r="N72" s="44">
        <f t="shared" ca="1" si="84"/>
        <v>1</v>
      </c>
      <c r="O72" s="45">
        <f t="shared" ca="1" si="85"/>
        <v>10</v>
      </c>
      <c r="P72" s="42" t="str">
        <f>IF(VLOOKUP(F72,Fixture!$B$2:$F$137,5,FALSE)&lt;&gt;0,VLOOKUP(F72,Fixture!$B$2:$F$137,5,FALSE),"")</f>
        <v>Deportivo Fénix</v>
      </c>
      <c r="Q72" s="44">
        <f ca="1">IF($D72="Finalizado",_xlfn.XLOOKUP(P72,Resumen!$A$6:$A$22,Resumen!AH$6:AH$22,0),"")</f>
        <v>3</v>
      </c>
      <c r="R72" s="44">
        <f ca="1">IF($D72="Finalizado",_xlfn.XLOOKUP(P72,Resumen!$A$6:$A$22,Resumen!AI$6:AI$22,0),"")</f>
        <v>1</v>
      </c>
      <c r="S72" s="44">
        <f ca="1">IF($D72="Finalizado",_xlfn.XLOOKUP(P72,Resumen!$A$6:$A$22,Resumen!AJ$6:AJ$22,0)+_xlfn.XLOOKUP(P72,Resumen!$A$6:$A$22,Resumen!AK$6:AK$22,0),"")</f>
        <v>0</v>
      </c>
      <c r="T72" s="44">
        <f t="shared" ca="1" si="86"/>
        <v>1</v>
      </c>
      <c r="U72" s="44">
        <f t="shared" ca="1" si="89"/>
        <v>0</v>
      </c>
      <c r="V72" s="44">
        <f t="shared" ca="1" si="90"/>
        <v>0</v>
      </c>
      <c r="W72" s="44">
        <f t="shared" ca="1" si="87"/>
        <v>1</v>
      </c>
      <c r="X72" s="45">
        <f t="shared" ca="1" si="88"/>
        <v>5</v>
      </c>
      <c r="Y72" s="207"/>
      <c r="AA72" s="19"/>
      <c r="AB72" s="19"/>
      <c r="AC72" s="46"/>
      <c r="AD72"/>
      <c r="AE72"/>
      <c r="AF72"/>
      <c r="AG72"/>
      <c r="AH72"/>
      <c r="AI72"/>
      <c r="AJ72"/>
      <c r="AK72"/>
      <c r="AL72"/>
      <c r="AM72"/>
    </row>
    <row r="73" spans="1:53" x14ac:dyDescent="0.25">
      <c r="A73" s="213"/>
      <c r="B73" s="61">
        <f>IF(Fixture!C72,Fixture!C72,"")</f>
        <v>45704</v>
      </c>
      <c r="C73" s="58">
        <v>0.625</v>
      </c>
      <c r="D73" s="82" t="str">
        <f t="shared" ca="1" si="21"/>
        <v>Finalizado</v>
      </c>
      <c r="E73" s="207"/>
      <c r="F73" s="43">
        <f>+Fixture!B72</f>
        <v>71</v>
      </c>
      <c r="G73" s="42" t="str">
        <f>IF(VLOOKUP(F73,Fixture!$B$2:$F$137,3,FALSE)&lt;&gt;0,VLOOKUP(F73,Fixture!$B$2:$F$137,3,FALSE),"")</f>
        <v>Valentín FC</v>
      </c>
      <c r="H73" s="44">
        <f ca="1">IF($D73="Finalizado",_xlfn.XLOOKUP(G73,Resumen!$A$6:$A$22,Resumen!AH$6:AH$22,0),"")</f>
        <v>3</v>
      </c>
      <c r="I73" s="44">
        <f ca="1">IF($D73="Finalizado",_xlfn.XLOOKUP(G73,Resumen!$A$6:$A$22,Resumen!AI$6:AI$22,0),"")</f>
        <v>1</v>
      </c>
      <c r="J73" s="44">
        <f ca="1">IF($D73="Finalizado",_xlfn.XLOOKUP(G73,Resumen!$A$6:$A$22,Resumen!AJ$6:AJ$22,0)+_xlfn.XLOOKUP(G73,Resumen!$A$6:$A$22,Resumen!AK$6:AK$22,0),"")</f>
        <v>0</v>
      </c>
      <c r="K73" s="44">
        <f t="shared" ca="1" si="0"/>
        <v>0</v>
      </c>
      <c r="L73" s="44">
        <f t="shared" ca="1" si="82"/>
        <v>1</v>
      </c>
      <c r="M73" s="44">
        <f t="shared" ca="1" si="83"/>
        <v>0</v>
      </c>
      <c r="N73" s="44">
        <f t="shared" ca="1" si="84"/>
        <v>1</v>
      </c>
      <c r="O73" s="45">
        <f t="shared" ca="1" si="85"/>
        <v>5</v>
      </c>
      <c r="P73" s="42" t="str">
        <f>IF(VLOOKUP(F73,Fixture!$B$2:$F$137,5,FALSE)&lt;&gt;0,VLOOKUP(F73,Fixture!$B$2:$F$137,5,FALSE),"")</f>
        <v>La Unión FC</v>
      </c>
      <c r="Q73" s="44">
        <f ca="1">IF($D73="Finalizado",_xlfn.XLOOKUP(P73,Resumen!$A$6:$A$22,Resumen!AH$6:AH$22,0),"")</f>
        <v>3</v>
      </c>
      <c r="R73" s="44">
        <f ca="1">IF($D73="Finalizado",_xlfn.XLOOKUP(P73,Resumen!$A$6:$A$22,Resumen!AI$6:AI$22,0),"")</f>
        <v>2</v>
      </c>
      <c r="S73" s="44">
        <f ca="1">IF($D73="Finalizado",_xlfn.XLOOKUP(P73,Resumen!$A$6:$A$22,Resumen!AJ$6:AJ$22,0)+_xlfn.XLOOKUP(P73,Resumen!$A$6:$A$22,Resumen!AK$6:AK$22,0),"")</f>
        <v>0</v>
      </c>
      <c r="T73" s="44">
        <f t="shared" ca="1" si="86"/>
        <v>0</v>
      </c>
      <c r="U73" s="44">
        <f t="shared" ca="1" si="89"/>
        <v>1</v>
      </c>
      <c r="V73" s="44">
        <f t="shared" ca="1" si="90"/>
        <v>0</v>
      </c>
      <c r="W73" s="44">
        <f t="shared" ca="1" si="87"/>
        <v>1</v>
      </c>
      <c r="X73" s="45">
        <f t="shared" ca="1" si="88"/>
        <v>10</v>
      </c>
      <c r="Y73" s="207"/>
      <c r="AA73" s="19" t="s">
        <v>47</v>
      </c>
      <c r="AB73" s="19" t="e">
        <f t="shared" ca="1" si="71"/>
        <v>#VALUE!</v>
      </c>
      <c r="AC73" s="46" t="e">
        <f t="shared" ref="AC73" ca="1" si="91">VLOOKUP(AM142,$AB$134:$AC$142,2,FALSE)</f>
        <v>#VALUE!</v>
      </c>
      <c r="AD73" t="e">
        <f ca="1">VLOOKUP($AC73,$AC$134:$AK$142,2,FALSE)</f>
        <v>#VALUE!</v>
      </c>
      <c r="AE73" t="e">
        <f ca="1">VLOOKUP($AC73,$AC$134:$AK$142,3,FALSE)</f>
        <v>#VALUE!</v>
      </c>
      <c r="AF73" t="e">
        <f ca="1">VLOOKUP($AC73,$AC$134:$AK$142,4,FALSE)</f>
        <v>#VALUE!</v>
      </c>
      <c r="AG73" t="e">
        <f ca="1">VLOOKUP($AC73,$AC$134:$AK$142,5,FALSE)</f>
        <v>#VALUE!</v>
      </c>
      <c r="AH73" t="e">
        <f ca="1">VLOOKUP($AC73,$AC$134:$AK$142,6,FALSE)</f>
        <v>#VALUE!</v>
      </c>
      <c r="AI73" t="e">
        <f ca="1">VLOOKUP($AC73,$AC$134:$AK$142,7,FALSE)</f>
        <v>#VALUE!</v>
      </c>
      <c r="AJ73" t="e">
        <f ca="1">VLOOKUP($AC73,$AC$134:$AK$142,8,FALSE)</f>
        <v>#VALUE!</v>
      </c>
      <c r="AK73" t="e">
        <f ca="1">VLOOKUP($AC73,$AC$134:$AL$142,9,FALSE)</f>
        <v>#VALUE!</v>
      </c>
      <c r="AL73" t="e">
        <f ca="1">VLOOKUP($AC73,$AC$134:$AL$142,10,FALSE)</f>
        <v>#VALUE!</v>
      </c>
      <c r="AM73" t="e">
        <f ca="1">VLOOKUP($AC73,$AC$134:$AM$142,11,FALSE)</f>
        <v>#VALUE!</v>
      </c>
    </row>
    <row r="74" spans="1:53" ht="16.5" thickBot="1" x14ac:dyDescent="0.3">
      <c r="A74" s="214"/>
      <c r="B74" s="61">
        <f>IF(Fixture!C73,Fixture!C73,"")</f>
        <v>45704</v>
      </c>
      <c r="C74" s="58">
        <v>0.67361111111111105</v>
      </c>
      <c r="D74" s="82" t="str">
        <f t="shared" ca="1" si="21"/>
        <v>Finalizado</v>
      </c>
      <c r="E74" s="208"/>
      <c r="F74" s="90">
        <f>+Fixture!B73</f>
        <v>72</v>
      </c>
      <c r="G74" s="42" t="str">
        <f>IF(VLOOKUP(F74,Fixture!$B$2:$F$137,3,FALSE)&lt;&gt;0,VLOOKUP(F74,Fixture!$B$2:$F$137,3,FALSE),"")</f>
        <v>CD El Corozo</v>
      </c>
      <c r="H74" s="48">
        <f ca="1">IF($D74="Finalizado",_xlfn.XLOOKUP(G74,Resumen!$A$6:$A$22,Resumen!AH$6:AH$22,0),"")</f>
        <v>3</v>
      </c>
      <c r="I74" s="48">
        <f ca="1">IF($D74="Finalizado",_xlfn.XLOOKUP(G74,Resumen!$A$6:$A$22,Resumen!AI$6:AI$22,0),"")</f>
        <v>0</v>
      </c>
      <c r="J74" s="48">
        <f ca="1">IF($D74="Finalizado",_xlfn.XLOOKUP(G74,Resumen!$A$6:$A$22,Resumen!AJ$6:AJ$22,0)+_xlfn.XLOOKUP(G74,Resumen!$A$6:$A$22,Resumen!AK$6:AK$22,0),"")</f>
        <v>0</v>
      </c>
      <c r="K74" s="48">
        <f t="shared" ca="1" si="0"/>
        <v>1</v>
      </c>
      <c r="L74" s="48">
        <f t="shared" ca="1" si="82"/>
        <v>0</v>
      </c>
      <c r="M74" s="48">
        <f t="shared" ca="1" si="83"/>
        <v>0</v>
      </c>
      <c r="N74" s="48">
        <f t="shared" ca="1" si="84"/>
        <v>1</v>
      </c>
      <c r="O74" s="49">
        <f t="shared" ca="1" si="85"/>
        <v>0</v>
      </c>
      <c r="P74" s="42" t="str">
        <f>IF(VLOOKUP(F74,Fixture!$B$2:$F$137,5,FALSE)&lt;&gt;0,VLOOKUP(F74,Fixture!$B$2:$F$137,5,FALSE),"")</f>
        <v>Rayos FC</v>
      </c>
      <c r="Q74" s="48">
        <f ca="1">IF($D74="Finalizado",_xlfn.XLOOKUP(P74,Resumen!$A$6:$A$22,Resumen!AH$6:AH$22,0),"")</f>
        <v>0</v>
      </c>
      <c r="R74" s="48">
        <f ca="1">IF($D74="Finalizado",_xlfn.XLOOKUP(P74,Resumen!$A$6:$A$22,Resumen!AI$6:AI$22,0),"")</f>
        <v>0</v>
      </c>
      <c r="S74" s="48">
        <f ca="1">IF($D74="Finalizado",_xlfn.XLOOKUP(P74,Resumen!$A$6:$A$22,Resumen!AJ$6:AJ$22,0)+_xlfn.XLOOKUP(P74,Resumen!$A$6:$A$22,Resumen!AK$6:AK$22,0),"")</f>
        <v>3</v>
      </c>
      <c r="T74" s="48">
        <f t="shared" ca="1" si="86"/>
        <v>0</v>
      </c>
      <c r="U74" s="48">
        <f t="shared" ca="1" si="89"/>
        <v>0</v>
      </c>
      <c r="V74" s="48">
        <f t="shared" ca="1" si="90"/>
        <v>1</v>
      </c>
      <c r="W74" s="48">
        <f t="shared" ca="1" si="87"/>
        <v>1</v>
      </c>
      <c r="X74" s="49">
        <f t="shared" ca="1" si="88"/>
        <v>30</v>
      </c>
      <c r="Y74" s="208"/>
      <c r="AP74" s="1" t="e">
        <f ca="1">+AB123</f>
        <v>#N/A</v>
      </c>
    </row>
    <row r="75" spans="1:53" x14ac:dyDescent="0.25">
      <c r="A75" s="212" t="s">
        <v>14</v>
      </c>
      <c r="B75" s="60">
        <f>IF(Fixture!C74,Fixture!C74,"")</f>
        <v>45746</v>
      </c>
      <c r="C75" s="58">
        <v>0.33333333333333331</v>
      </c>
      <c r="D75" s="82" t="str">
        <f t="shared" ca="1" si="21"/>
        <v>Finalizado</v>
      </c>
      <c r="E75" s="206" t="s">
        <v>114</v>
      </c>
      <c r="F75" s="43">
        <f>+Fixture!B74</f>
        <v>73</v>
      </c>
      <c r="G75" s="42" t="str">
        <f>IF(VLOOKUP(F75,Fixture!$B$2:$F$137,3,FALSE)&lt;&gt;0,VLOOKUP(F75,Fixture!$B$2:$F$137,3,FALSE),"")</f>
        <v>Amenadim</v>
      </c>
      <c r="H75" s="44">
        <f ca="1">IF($D75="Finalizado",_xlfn.XLOOKUP(G75,Resumen!$A$6:$A$22,Resumen!AL$6:AL$22,0),"")</f>
        <v>4</v>
      </c>
      <c r="I75" s="44">
        <f ca="1">IF($D75="Finalizado",_xlfn.XLOOKUP(G75,Resumen!$A$6:$A$22,Resumen!AM$6:AM$22,0),"")</f>
        <v>2</v>
      </c>
      <c r="J75" s="44">
        <f ca="1">IF($D75="Finalizado",_xlfn.XLOOKUP(G75,Resumen!$A$6:$A$22,Resumen!AN$6:AN$22,0)+_xlfn.XLOOKUP(G75,Resumen!$A$6:$A$22,Resumen!AO$6:AO$22,0),"")</f>
        <v>0</v>
      </c>
      <c r="K75" s="44">
        <f t="shared" ca="1" si="0"/>
        <v>1</v>
      </c>
      <c r="L75" s="44">
        <f t="shared" ca="1" si="82"/>
        <v>0</v>
      </c>
      <c r="M75" s="44">
        <f t="shared" ca="1" si="83"/>
        <v>0</v>
      </c>
      <c r="N75" s="44">
        <f t="shared" ca="1" si="84"/>
        <v>1</v>
      </c>
      <c r="O75" s="45">
        <f t="shared" ca="1" si="85"/>
        <v>10</v>
      </c>
      <c r="P75" s="42" t="str">
        <f>IF(VLOOKUP(F75,Fixture!$B$2:$F$137,5,FALSE)&lt;&gt;0,VLOOKUP(F75,Fixture!$B$2:$F$137,5,FALSE),"")</f>
        <v>Villanueva</v>
      </c>
      <c r="Q75" s="44">
        <f ca="1">IF($D75="Finalizado",_xlfn.XLOOKUP(P75,Resumen!$A$6:$A$22,Resumen!AL$6:AL$22,0),"")</f>
        <v>3</v>
      </c>
      <c r="R75" s="44">
        <f ca="1">IF($D75="Finalizado",_xlfn.XLOOKUP(P75,Resumen!$A$6:$A$22,Resumen!AM$6:AM$22,0),"")</f>
        <v>1</v>
      </c>
      <c r="S75" s="44">
        <f ca="1">IF($D75="Finalizado",_xlfn.XLOOKUP(P75,Resumen!$A$6:$A$22,Resumen!AN$6:AN$22,0)+_xlfn.XLOOKUP(P75,Resumen!$A$6:$A$22,Resumen!AO$6:AO$22,0),"")</f>
        <v>0</v>
      </c>
      <c r="T75" s="44">
        <f t="shared" ca="1" si="86"/>
        <v>0</v>
      </c>
      <c r="U75" s="44">
        <f t="shared" ca="1" si="89"/>
        <v>0</v>
      </c>
      <c r="V75" s="44">
        <f t="shared" ca="1" si="90"/>
        <v>1</v>
      </c>
      <c r="W75" s="44">
        <f t="shared" ca="1" si="87"/>
        <v>1</v>
      </c>
      <c r="X75" s="45">
        <f t="shared" ca="1" si="88"/>
        <v>5</v>
      </c>
      <c r="Y75" s="206" t="str">
        <f>+A75</f>
        <v>Fecha 10</v>
      </c>
      <c r="AP75" s="1" t="e">
        <f t="shared" ref="AP75:AP77" ca="1" si="92">+AB124</f>
        <v>#N/A</v>
      </c>
    </row>
    <row r="76" spans="1:53" ht="16.5" thickBot="1" x14ac:dyDescent="0.3">
      <c r="A76" s="213"/>
      <c r="B76" s="61">
        <f>IF(Fixture!C75,Fixture!C75,"")</f>
        <v>45746</v>
      </c>
      <c r="C76" s="58">
        <v>0.38194444444444442</v>
      </c>
      <c r="D76" s="82" t="str">
        <f t="shared" ca="1" si="21"/>
        <v>Finalizado</v>
      </c>
      <c r="E76" s="207"/>
      <c r="F76" s="43">
        <f>+Fixture!B75</f>
        <v>74</v>
      </c>
      <c r="G76" s="42" t="str">
        <f>IF(VLOOKUP(F76,Fixture!$B$2:$F$137,3,FALSE)&lt;&gt;0,VLOOKUP(F76,Fixture!$B$2:$F$137,3,FALSE),"")</f>
        <v>Hojas Anchas</v>
      </c>
      <c r="H76" s="44">
        <f ca="1">IF($D76="Finalizado",_xlfn.XLOOKUP(G76,Resumen!$A$6:$A$22,Resumen!AL$6:AL$22,0),"")</f>
        <v>2</v>
      </c>
      <c r="I76" s="44">
        <f ca="1">IF($D76="Finalizado",_xlfn.XLOOKUP(G76,Resumen!$A$6:$A$22,Resumen!AM$6:AM$22,0),"")</f>
        <v>2</v>
      </c>
      <c r="J76" s="44">
        <f ca="1">IF($D76="Finalizado",_xlfn.XLOOKUP(G76,Resumen!$A$6:$A$22,Resumen!AN$6:AN$22,0)+_xlfn.XLOOKUP(G76,Resumen!$A$6:$A$22,Resumen!AO$6:AO$22,0),"")</f>
        <v>0</v>
      </c>
      <c r="K76" s="44">
        <f t="shared" ref="K76:K141" ca="1" si="93">IF(D76="Finalizado",IF(H76&gt;Q76,1,0),"")</f>
        <v>1</v>
      </c>
      <c r="L76" s="44">
        <f t="shared" ca="1" si="82"/>
        <v>0</v>
      </c>
      <c r="M76" s="44">
        <f t="shared" ca="1" si="83"/>
        <v>0</v>
      </c>
      <c r="N76" s="44">
        <f t="shared" ca="1" si="84"/>
        <v>1</v>
      </c>
      <c r="O76" s="45">
        <f t="shared" ca="1" si="85"/>
        <v>10</v>
      </c>
      <c r="P76" s="42" t="str">
        <f>IF(VLOOKUP(F76,Fixture!$B$2:$F$137,5,FALSE)&lt;&gt;0,VLOOKUP(F76,Fixture!$B$2:$F$137,5,FALSE),"")</f>
        <v>Konami</v>
      </c>
      <c r="Q76" s="44">
        <f ca="1">IF($D76="Finalizado",_xlfn.XLOOKUP(P76,Resumen!$A$6:$A$22,Resumen!AL$6:AL$22,0),"")</f>
        <v>1</v>
      </c>
      <c r="R76" s="44">
        <f ca="1">IF($D76="Finalizado",_xlfn.XLOOKUP(P76,Resumen!$A$6:$A$22,Resumen!AM$6:AM$22,0),"")</f>
        <v>1</v>
      </c>
      <c r="S76" s="44">
        <f ca="1">IF($D76="Finalizado",_xlfn.XLOOKUP(P76,Resumen!$A$6:$A$22,Resumen!AN$6:AN$22,0)+_xlfn.XLOOKUP(P76,Resumen!$A$6:$A$22,Resumen!AO$6:AO$22,0),"")</f>
        <v>0</v>
      </c>
      <c r="T76" s="44">
        <f t="shared" ca="1" si="86"/>
        <v>0</v>
      </c>
      <c r="U76" s="44">
        <f t="shared" ca="1" si="89"/>
        <v>0</v>
      </c>
      <c r="V76" s="44">
        <f t="shared" ca="1" si="90"/>
        <v>1</v>
      </c>
      <c r="W76" s="44">
        <f t="shared" ca="1" si="87"/>
        <v>1</v>
      </c>
      <c r="X76" s="45">
        <f t="shared" ca="1" si="88"/>
        <v>5</v>
      </c>
      <c r="Y76" s="207"/>
      <c r="AP76" s="1" t="e">
        <f t="shared" ca="1" si="92"/>
        <v>#N/A</v>
      </c>
    </row>
    <row r="77" spans="1:53" ht="16.5" thickBot="1" x14ac:dyDescent="0.3">
      <c r="A77" s="213"/>
      <c r="B77" s="61">
        <f>IF(Fixture!C76,Fixture!C76,"")</f>
        <v>45746</v>
      </c>
      <c r="C77" s="58">
        <v>0.43055555555555602</v>
      </c>
      <c r="D77" s="82" t="str">
        <f t="shared" ca="1" si="21"/>
        <v>Finalizado</v>
      </c>
      <c r="E77" s="207"/>
      <c r="F77" s="43">
        <f>+Fixture!B76</f>
        <v>75</v>
      </c>
      <c r="G77" s="42" t="str">
        <f>IF(VLOOKUP(F77,Fixture!$B$2:$F$137,3,FALSE)&lt;&gt;0,VLOOKUP(F77,Fixture!$B$2:$F$137,3,FALSE),"")</f>
        <v>Los Aliados</v>
      </c>
      <c r="H77" s="44">
        <f ca="1">IF($D77="Finalizado",_xlfn.XLOOKUP(G77,Resumen!$A$6:$A$22,Resumen!AL$6:AL$22,0),"")</f>
        <v>0</v>
      </c>
      <c r="I77" s="44">
        <f ca="1">IF($D77="Finalizado",_xlfn.XLOOKUP(G77,Resumen!$A$6:$A$22,Resumen!AM$6:AM$22,0),"")</f>
        <v>0</v>
      </c>
      <c r="J77" s="44">
        <f ca="1">IF($D77="Finalizado",_xlfn.XLOOKUP(G77,Resumen!$A$6:$A$22,Resumen!AN$6:AN$22,0)+_xlfn.XLOOKUP(G77,Resumen!$A$6:$A$22,Resumen!AO$6:AO$22,0),"")</f>
        <v>3</v>
      </c>
      <c r="K77" s="44">
        <f t="shared" ca="1" si="93"/>
        <v>0</v>
      </c>
      <c r="L77" s="44">
        <f t="shared" ca="1" si="82"/>
        <v>0</v>
      </c>
      <c r="M77" s="44">
        <f t="shared" ca="1" si="83"/>
        <v>1</v>
      </c>
      <c r="N77" s="44">
        <f t="shared" ca="1" si="84"/>
        <v>1</v>
      </c>
      <c r="O77" s="45">
        <f t="shared" ca="1" si="85"/>
        <v>30</v>
      </c>
      <c r="P77" s="42" t="str">
        <f>IF(VLOOKUP(F77,Fixture!$B$2:$F$137,5,FALSE)&lt;&gt;0,VLOOKUP(F77,Fixture!$B$2:$F$137,5,FALSE),"")</f>
        <v>La Amistad</v>
      </c>
      <c r="Q77" s="44">
        <f ca="1">IF($D77="Finalizado",_xlfn.XLOOKUP(P77,Resumen!$A$6:$A$22,Resumen!AL$6:AL$22,0),"")</f>
        <v>3</v>
      </c>
      <c r="R77" s="44">
        <f ca="1">IF($D77="Finalizado",_xlfn.XLOOKUP(P77,Resumen!$A$6:$A$22,Resumen!AM$6:AM$22,0),"")</f>
        <v>0</v>
      </c>
      <c r="S77" s="44">
        <f ca="1">IF($D77="Finalizado",_xlfn.XLOOKUP(P77,Resumen!$A$6:$A$22,Resumen!AN$6:AN$22,0)+_xlfn.XLOOKUP(P77,Resumen!$A$6:$A$22,Resumen!AO$6:AO$22,0),"")</f>
        <v>0</v>
      </c>
      <c r="T77" s="44">
        <f t="shared" ca="1" si="86"/>
        <v>1</v>
      </c>
      <c r="U77" s="44">
        <f t="shared" ca="1" si="89"/>
        <v>0</v>
      </c>
      <c r="V77" s="44">
        <f t="shared" ca="1" si="90"/>
        <v>0</v>
      </c>
      <c r="W77" s="44">
        <f t="shared" ca="1" si="87"/>
        <v>1</v>
      </c>
      <c r="X77" s="45">
        <f t="shared" ca="1" si="88"/>
        <v>0</v>
      </c>
      <c r="Y77" s="207"/>
      <c r="AA77" s="40" t="s">
        <v>122</v>
      </c>
      <c r="AB77" s="40"/>
      <c r="AC77" s="41" t="s">
        <v>2</v>
      </c>
      <c r="AD77" s="40" t="s">
        <v>115</v>
      </c>
      <c r="AE77" s="40" t="s">
        <v>116</v>
      </c>
      <c r="AF77" s="40" t="s">
        <v>117</v>
      </c>
      <c r="AG77" s="40" t="s">
        <v>123</v>
      </c>
      <c r="AH77" s="40" t="s">
        <v>124</v>
      </c>
      <c r="AI77" s="40" t="s">
        <v>125</v>
      </c>
      <c r="AJ77" s="40" t="s">
        <v>126</v>
      </c>
      <c r="AK77" s="40" t="s">
        <v>127</v>
      </c>
      <c r="AL77" s="40" t="s">
        <v>119</v>
      </c>
      <c r="AM77"/>
      <c r="AP77" s="1" t="e">
        <f t="shared" ca="1" si="92"/>
        <v>#N/A</v>
      </c>
    </row>
    <row r="78" spans="1:53" x14ac:dyDescent="0.25">
      <c r="A78" s="213"/>
      <c r="B78" s="61">
        <f>IF(Fixture!C77,Fixture!C77,"")</f>
        <v>45746</v>
      </c>
      <c r="C78" s="58">
        <v>0.47916666666666602</v>
      </c>
      <c r="D78" s="82" t="str">
        <f t="shared" ca="1" si="21"/>
        <v>Finalizado</v>
      </c>
      <c r="E78" s="207"/>
      <c r="F78" s="43">
        <f>+Fixture!B77</f>
        <v>76</v>
      </c>
      <c r="G78" s="42" t="str">
        <f>IF(VLOOKUP(F78,Fixture!$B$2:$F$137,3,FALSE)&lt;&gt;0,VLOOKUP(F78,Fixture!$B$2:$F$137,3,FALSE),"")</f>
        <v>Boca Juniors</v>
      </c>
      <c r="H78" s="44">
        <f ca="1">IF($D78="Finalizado",_xlfn.XLOOKUP(G78,Resumen!$A$6:$A$22,Resumen!AL$6:AL$22,0),"")</f>
        <v>7</v>
      </c>
      <c r="I78" s="44">
        <f ca="1">IF($D78="Finalizado",_xlfn.XLOOKUP(G78,Resumen!$A$6:$A$22,Resumen!AM$6:AM$22,0),"")</f>
        <v>2</v>
      </c>
      <c r="J78" s="44">
        <f ca="1">IF($D78="Finalizado",_xlfn.XLOOKUP(G78,Resumen!$A$6:$A$22,Resumen!AN$6:AN$22,0)+_xlfn.XLOOKUP(G78,Resumen!$A$6:$A$22,Resumen!AO$6:AO$22,0),"")</f>
        <v>0</v>
      </c>
      <c r="K78" s="44">
        <f t="shared" ca="1" si="93"/>
        <v>1</v>
      </c>
      <c r="L78" s="44">
        <f t="shared" ca="1" si="82"/>
        <v>0</v>
      </c>
      <c r="M78" s="44">
        <f t="shared" ca="1" si="83"/>
        <v>0</v>
      </c>
      <c r="N78" s="44">
        <f t="shared" ca="1" si="84"/>
        <v>1</v>
      </c>
      <c r="O78" s="45">
        <f t="shared" ca="1" si="85"/>
        <v>10</v>
      </c>
      <c r="P78" s="42" t="str">
        <f>IF(VLOOKUP(F78,Fixture!$B$2:$F$137,5,FALSE)&lt;&gt;0,VLOOKUP(F78,Fixture!$B$2:$F$137,5,FALSE),"")</f>
        <v>La Nueva Era</v>
      </c>
      <c r="Q78" s="44">
        <f ca="1">IF($D78="Finalizado",_xlfn.XLOOKUP(P78,Resumen!$A$6:$A$22,Resumen!AL$6:AL$22,0),"")</f>
        <v>4</v>
      </c>
      <c r="R78" s="44">
        <f ca="1">IF($D78="Finalizado",_xlfn.XLOOKUP(P78,Resumen!$A$6:$A$22,Resumen!AM$6:AM$22,0),"")</f>
        <v>0</v>
      </c>
      <c r="S78" s="44">
        <f ca="1">IF($D78="Finalizado",_xlfn.XLOOKUP(P78,Resumen!$A$6:$A$22,Resumen!AN$6:AN$22,0)+_xlfn.XLOOKUP(P78,Resumen!$A$6:$A$22,Resumen!AO$6:AO$22,0),"")</f>
        <v>0</v>
      </c>
      <c r="T78" s="44">
        <f t="shared" ca="1" si="86"/>
        <v>0</v>
      </c>
      <c r="U78" s="44">
        <f t="shared" ca="1" si="89"/>
        <v>0</v>
      </c>
      <c r="V78" s="44">
        <f t="shared" ca="1" si="90"/>
        <v>1</v>
      </c>
      <c r="W78" s="44">
        <f t="shared" ca="1" si="87"/>
        <v>1</v>
      </c>
      <c r="X78" s="45">
        <f t="shared" ca="1" si="88"/>
        <v>0</v>
      </c>
      <c r="Y78" s="207"/>
      <c r="AA78" s="19">
        <v>1</v>
      </c>
      <c r="AB78" s="19">
        <f ca="1">AJ78*1000+(AI78)+(AD78/10)+(AG78/1000)+IF(AL78&gt;0,(0.1/AL78),0)</f>
        <v>33027.075769230767</v>
      </c>
      <c r="AC78" s="46" t="str">
        <f>+Equipos!B3</f>
        <v>Los Amigos</v>
      </c>
      <c r="AD78">
        <f ca="1">SUMIF($G$3:$G$138,AC78,$K$3:$K$138)+SUMIF($P$3:$P$138,AC78,$T$3:$T$138)</f>
        <v>10</v>
      </c>
      <c r="AE78">
        <f ca="1">SUMIF($G$3:$G$138,AC78,$L$3:$L$138)+SUMIF($P$3:$P$138,AC78,$U$3:$U$138)</f>
        <v>3</v>
      </c>
      <c r="AF78">
        <f ca="1">SUMIF($G$3:$G$138,AC78,$M$3:$M$138)+SUMIF($P$3:$P$138,AC78,$V$3:$V$138)</f>
        <v>4</v>
      </c>
      <c r="AG78">
        <f ca="1">SUMIF($G$3:$G$138,AC78,$H$3:$H$138)+SUMIF($P$3:$P$138,AC78,$Q$3:$Q$138)</f>
        <v>75</v>
      </c>
      <c r="AH78">
        <f ca="1">SUMIF($G$3:$G$138,AC78,$Q$3:$Q$138)+SUMIF($P$3:$P$138,AC78,$H$3:$H$138)</f>
        <v>49</v>
      </c>
      <c r="AI78">
        <f ca="1">+AG78-AH78</f>
        <v>26</v>
      </c>
      <c r="AJ78">
        <f ca="1">AD78*3+AE78*1</f>
        <v>33</v>
      </c>
      <c r="AK78">
        <f ca="1">SUMIF($G$3:$G$138,AC78,$N$3:$N$138)+SUMIF($P$3:$P$138,AC78,$W$3:$W$138)</f>
        <v>17</v>
      </c>
      <c r="AL78">
        <f ca="1">SUMIF($G$3:$G$138,AC78,$O$3:$O$138)+SUMIF($P$3:$P$138,AC78,$X$3:$X$138)</f>
        <v>130</v>
      </c>
      <c r="AM78">
        <f t="shared" ref="AM78:AM92" ca="1" si="94">LARGE($AB$78:$AB$93,AA78)</f>
        <v>45053.50495238095</v>
      </c>
      <c r="AP78" s="1">
        <f ca="1">+AB129</f>
        <v>3024.807666666667</v>
      </c>
      <c r="AQ78" s="1" t="e">
        <f ca="1">+AC56</f>
        <v>#N/A</v>
      </c>
      <c r="AR78" s="1" t="e">
        <f ca="1">+AK56</f>
        <v>#N/A</v>
      </c>
      <c r="AS78" s="1" t="e">
        <f t="shared" ref="AS78:AX80" ca="1" si="95">+AD56</f>
        <v>#N/A</v>
      </c>
      <c r="AT78" s="1" t="e">
        <f t="shared" ca="1" si="95"/>
        <v>#N/A</v>
      </c>
      <c r="AU78" s="1" t="e">
        <f t="shared" ca="1" si="95"/>
        <v>#N/A</v>
      </c>
      <c r="AV78" s="1" t="e">
        <f t="shared" ca="1" si="95"/>
        <v>#N/A</v>
      </c>
      <c r="AW78" s="1" t="e">
        <f t="shared" ca="1" si="95"/>
        <v>#N/A</v>
      </c>
      <c r="AX78" s="1" t="e">
        <f t="shared" ca="1" si="95"/>
        <v>#N/A</v>
      </c>
      <c r="AY78" s="1" t="e">
        <f ca="1">+AL56</f>
        <v>#N/A</v>
      </c>
      <c r="AZ78" s="1" t="e">
        <f ca="1">+AJ56</f>
        <v>#N/A</v>
      </c>
      <c r="BA78" s="1" t="e">
        <f ca="1">+AM56</f>
        <v>#N/A</v>
      </c>
    </row>
    <row r="79" spans="1:53" x14ac:dyDescent="0.25">
      <c r="A79" s="213"/>
      <c r="B79" s="61">
        <f>IF(Fixture!C78,Fixture!C78,"")</f>
        <v>45746</v>
      </c>
      <c r="C79" s="58">
        <v>0.52777777777777701</v>
      </c>
      <c r="D79" s="82" t="str">
        <f t="shared" ca="1" si="21"/>
        <v>Finalizado</v>
      </c>
      <c r="E79" s="207"/>
      <c r="F79" s="43">
        <f>+Fixture!B78</f>
        <v>77</v>
      </c>
      <c r="G79" s="42" t="str">
        <f>IF(VLOOKUP(F79,Fixture!$B$2:$F$137,3,FALSE)&lt;&gt;0,VLOOKUP(F79,Fixture!$B$2:$F$137,3,FALSE),"")</f>
        <v>Deportivo Fénix</v>
      </c>
      <c r="H79" s="44">
        <f ca="1">IF($D79="Finalizado",_xlfn.XLOOKUP(G79,Resumen!$A$6:$A$22,Resumen!AL$6:AL$22,0),"")</f>
        <v>1</v>
      </c>
      <c r="I79" s="44">
        <f ca="1">IF($D79="Finalizado",_xlfn.XLOOKUP(G79,Resumen!$A$6:$A$22,Resumen!AM$6:AM$22,0),"")</f>
        <v>2</v>
      </c>
      <c r="J79" s="44">
        <f ca="1">IF($D79="Finalizado",_xlfn.XLOOKUP(G79,Resumen!$A$6:$A$22,Resumen!AN$6:AN$22,0)+_xlfn.XLOOKUP(G79,Resumen!$A$6:$A$22,Resumen!AO$6:AO$22,0),"")</f>
        <v>1</v>
      </c>
      <c r="K79" s="44">
        <f t="shared" ca="1" si="93"/>
        <v>0</v>
      </c>
      <c r="L79" s="44">
        <f t="shared" ca="1" si="82"/>
        <v>0</v>
      </c>
      <c r="M79" s="44">
        <f t="shared" ca="1" si="83"/>
        <v>1</v>
      </c>
      <c r="N79" s="44">
        <f t="shared" ca="1" si="84"/>
        <v>1</v>
      </c>
      <c r="O79" s="45">
        <f t="shared" ca="1" si="85"/>
        <v>20</v>
      </c>
      <c r="P79" s="42" t="str">
        <f>IF(VLOOKUP(F79,Fixture!$B$2:$F$137,5,FALSE)&lt;&gt;0,VLOOKUP(F79,Fixture!$B$2:$F$137,5,FALSE),"")</f>
        <v>Los Amigos</v>
      </c>
      <c r="Q79" s="44">
        <f ca="1">IF($D79="Finalizado",_xlfn.XLOOKUP(P79,Resumen!$A$6:$A$22,Resumen!AL$6:AL$22,0),"")</f>
        <v>7</v>
      </c>
      <c r="R79" s="44">
        <f ca="1">IF($D79="Finalizado",_xlfn.XLOOKUP(P79,Resumen!$A$6:$A$22,Resumen!AM$6:AM$22,0),"")</f>
        <v>2</v>
      </c>
      <c r="S79" s="44">
        <f ca="1">IF($D79="Finalizado",_xlfn.XLOOKUP(P79,Resumen!$A$6:$A$22,Resumen!AN$6:AN$22,0)+_xlfn.XLOOKUP(P79,Resumen!$A$6:$A$22,Resumen!AO$6:AO$22,0),"")</f>
        <v>0</v>
      </c>
      <c r="T79" s="44">
        <f t="shared" ca="1" si="86"/>
        <v>1</v>
      </c>
      <c r="U79" s="44">
        <f t="shared" ca="1" si="89"/>
        <v>0</v>
      </c>
      <c r="V79" s="44">
        <f t="shared" ca="1" si="90"/>
        <v>0</v>
      </c>
      <c r="W79" s="44">
        <f t="shared" ca="1" si="87"/>
        <v>1</v>
      </c>
      <c r="X79" s="45">
        <f t="shared" ca="1" si="88"/>
        <v>10</v>
      </c>
      <c r="Y79" s="207"/>
      <c r="AA79" s="19">
        <v>2</v>
      </c>
      <c r="AB79" s="19">
        <f t="shared" ref="AB79:AB93" ca="1" si="96">AJ79*1000+(AI79)+(AD79/10)+(AG79/1000)+IF(AL79&gt;0,(0.1/AL79),0)</f>
        <v>8917.3362222222204</v>
      </c>
      <c r="AC79" s="46" t="str">
        <f>+Equipos!B4</f>
        <v>La Nueva Era</v>
      </c>
      <c r="AD79">
        <f t="shared" ref="AD79:AD93" ca="1" si="97">SUMIF($G$3:$G$138,AC79,$K$3:$K$138)+SUMIF($P$3:$P$138,AC79,$T$3:$T$138)</f>
        <v>3</v>
      </c>
      <c r="AE79">
        <f t="shared" ref="AE79:AE93" ca="1" si="98">SUMIF($G$3:$G$138,AC79,$L$3:$L$138)+SUMIF($P$3:$P$138,AC79,$U$3:$U$138)</f>
        <v>0</v>
      </c>
      <c r="AF79">
        <f t="shared" ref="AF79:AF93" ca="1" si="99">SUMIF($G$3:$G$138,AC79,$M$3:$M$138)+SUMIF($P$3:$P$138,AC79,$V$3:$V$138)</f>
        <v>14</v>
      </c>
      <c r="AG79">
        <f t="shared" ref="AG79:AG93" ca="1" si="100">SUMIF($G$3:$G$138,AC79,$H$3:$H$138)+SUMIF($P$3:$P$138,AC79,$Q$3:$Q$138)</f>
        <v>34</v>
      </c>
      <c r="AH79">
        <f t="shared" ref="AH79:AH93" ca="1" si="101">SUMIF($G$3:$G$138,AC79,$Q$3:$Q$138)+SUMIF($P$3:$P$138,AC79,$H$3:$H$138)</f>
        <v>117</v>
      </c>
      <c r="AI79">
        <f t="shared" ref="AI79:AI93" ca="1" si="102">+AG79-AH79</f>
        <v>-83</v>
      </c>
      <c r="AJ79">
        <f t="shared" ref="AJ79:AJ93" ca="1" si="103">AD79*3+AE79*1</f>
        <v>9</v>
      </c>
      <c r="AK79">
        <f t="shared" ref="AK79:AK93" ca="1" si="104">SUMIF($G$3:$G$138,AC79,$N$3:$N$138)+SUMIF($P$3:$P$138,AC79,$W$3:$W$138)</f>
        <v>17</v>
      </c>
      <c r="AL79">
        <f t="shared" ref="AL79:AL93" ca="1" si="105">SUMIF($G$3:$G$138,AC79,$O$3:$O$138)+SUMIF($P$3:$P$138,AC79,$X$3:$X$138)</f>
        <v>45</v>
      </c>
      <c r="AM79">
        <f t="shared" ca="1" si="94"/>
        <v>38044.280666666658</v>
      </c>
      <c r="AP79" s="1">
        <f ca="1">+AB130</f>
        <v>3016.0010000000002</v>
      </c>
      <c r="AQ79" s="1" t="e">
        <f ca="1">+AC57</f>
        <v>#N/A</v>
      </c>
      <c r="AR79" s="1" t="e">
        <f ca="1">+AK57</f>
        <v>#N/A</v>
      </c>
      <c r="AS79" s="1" t="e">
        <f t="shared" ca="1" si="95"/>
        <v>#N/A</v>
      </c>
      <c r="AT79" s="1" t="e">
        <f t="shared" ca="1" si="95"/>
        <v>#N/A</v>
      </c>
      <c r="AU79" s="1" t="e">
        <f t="shared" ca="1" si="95"/>
        <v>#N/A</v>
      </c>
      <c r="AV79" s="1" t="e">
        <f t="shared" ca="1" si="95"/>
        <v>#N/A</v>
      </c>
      <c r="AW79" s="1" t="e">
        <f t="shared" ca="1" si="95"/>
        <v>#N/A</v>
      </c>
      <c r="AX79" s="1" t="e">
        <f t="shared" ca="1" si="95"/>
        <v>#N/A</v>
      </c>
      <c r="AY79" s="1" t="e">
        <f ca="1">+AL57</f>
        <v>#N/A</v>
      </c>
      <c r="AZ79" s="1" t="e">
        <f ca="1">+AJ57</f>
        <v>#N/A</v>
      </c>
      <c r="BA79" s="1" t="e">
        <f ca="1">+AM57</f>
        <v>#N/A</v>
      </c>
    </row>
    <row r="80" spans="1:53" x14ac:dyDescent="0.25">
      <c r="A80" s="213"/>
      <c r="B80" s="61">
        <f>IF(Fixture!C79,Fixture!C79,"")</f>
        <v>45746</v>
      </c>
      <c r="C80" s="58">
        <v>0.57638888888888895</v>
      </c>
      <c r="D80" s="82" t="str">
        <f t="shared" ca="1" si="21"/>
        <v>Finalizado</v>
      </c>
      <c r="E80" s="207"/>
      <c r="F80" s="43">
        <f>+Fixture!B79</f>
        <v>78</v>
      </c>
      <c r="G80" s="42" t="str">
        <f>IF(VLOOKUP(F80,Fixture!$B$2:$F$137,3,FALSE)&lt;&gt;0,VLOOKUP(F80,Fixture!$B$2:$F$137,3,FALSE),"")</f>
        <v>Valentín FC</v>
      </c>
      <c r="H80" s="44">
        <f ca="1">IF($D80="Finalizado",_xlfn.XLOOKUP(G80,Resumen!$A$6:$A$22,Resumen!AL$6:AL$22,0),"")</f>
        <v>4</v>
      </c>
      <c r="I80" s="44">
        <f ca="1">IF($D80="Finalizado",_xlfn.XLOOKUP(G80,Resumen!$A$6:$A$22,Resumen!AM$6:AM$22,0),"")</f>
        <v>2</v>
      </c>
      <c r="J80" s="44">
        <f ca="1">IF($D80="Finalizado",_xlfn.XLOOKUP(G80,Resumen!$A$6:$A$22,Resumen!AN$6:AN$22,0)+_xlfn.XLOOKUP(G80,Resumen!$A$6:$A$22,Resumen!AO$6:AO$22,0),"")</f>
        <v>0</v>
      </c>
      <c r="K80" s="44">
        <f t="shared" ca="1" si="93"/>
        <v>0</v>
      </c>
      <c r="L80" s="44">
        <f t="shared" ca="1" si="82"/>
        <v>0</v>
      </c>
      <c r="M80" s="44">
        <f t="shared" ca="1" si="83"/>
        <v>1</v>
      </c>
      <c r="N80" s="44">
        <f t="shared" ca="1" si="84"/>
        <v>1</v>
      </c>
      <c r="O80" s="45">
        <f t="shared" ca="1" si="85"/>
        <v>10</v>
      </c>
      <c r="P80" s="42" t="str">
        <f>IF(VLOOKUP(F80,Fixture!$B$2:$F$137,5,FALSE)&lt;&gt;0,VLOOKUP(F80,Fixture!$B$2:$F$137,5,FALSE),"")</f>
        <v>Ron Star</v>
      </c>
      <c r="Q80" s="44">
        <f ca="1">IF($D80="Finalizado",_xlfn.XLOOKUP(P80,Resumen!$A$6:$A$22,Resumen!AL$6:AL$22,0),"")</f>
        <v>7</v>
      </c>
      <c r="R80" s="44">
        <f ca="1">IF($D80="Finalizado",_xlfn.XLOOKUP(P80,Resumen!$A$6:$A$22,Resumen!AM$6:AM$22,0),"")</f>
        <v>2</v>
      </c>
      <c r="S80" s="44">
        <f ca="1">IF($D80="Finalizado",_xlfn.XLOOKUP(P80,Resumen!$A$6:$A$22,Resumen!AN$6:AN$22,0)+_xlfn.XLOOKUP(P80,Resumen!$A$6:$A$22,Resumen!AO$6:AO$22,0),"")</f>
        <v>0</v>
      </c>
      <c r="T80" s="44">
        <f t="shared" ca="1" si="86"/>
        <v>1</v>
      </c>
      <c r="U80" s="44">
        <f t="shared" ca="1" si="89"/>
        <v>0</v>
      </c>
      <c r="V80" s="44">
        <f t="shared" ca="1" si="90"/>
        <v>0</v>
      </c>
      <c r="W80" s="44">
        <f t="shared" ca="1" si="87"/>
        <v>1</v>
      </c>
      <c r="X80" s="45">
        <f t="shared" ca="1" si="88"/>
        <v>10</v>
      </c>
      <c r="Y80" s="207"/>
      <c r="AA80" s="19">
        <v>3</v>
      </c>
      <c r="AB80" s="19">
        <f t="shared" ca="1" si="96"/>
        <v>38044.280666666658</v>
      </c>
      <c r="AC80" s="46" t="str">
        <f>+Equipos!B5</f>
        <v>La Amistad</v>
      </c>
      <c r="AD80">
        <f t="shared" ca="1" si="97"/>
        <v>12</v>
      </c>
      <c r="AE80">
        <f t="shared" ca="1" si="98"/>
        <v>2</v>
      </c>
      <c r="AF80">
        <f t="shared" ca="1" si="99"/>
        <v>3</v>
      </c>
      <c r="AG80">
        <f t="shared" ca="1" si="100"/>
        <v>79</v>
      </c>
      <c r="AH80">
        <f t="shared" ca="1" si="101"/>
        <v>36</v>
      </c>
      <c r="AI80">
        <f t="shared" ca="1" si="102"/>
        <v>43</v>
      </c>
      <c r="AJ80">
        <f t="shared" ca="1" si="103"/>
        <v>38</v>
      </c>
      <c r="AK80">
        <f t="shared" ca="1" si="104"/>
        <v>17</v>
      </c>
      <c r="AL80">
        <f t="shared" ca="1" si="105"/>
        <v>60</v>
      </c>
      <c r="AM80">
        <f t="shared" ca="1" si="94"/>
        <v>34024.178538461536</v>
      </c>
      <c r="AP80" s="1" t="e">
        <f ca="1">+AB134</f>
        <v>#VALUE!</v>
      </c>
      <c r="AQ80" s="1" t="e">
        <f ca="1">+AC58</f>
        <v>#N/A</v>
      </c>
      <c r="AR80" s="1" t="e">
        <f ca="1">+AK58</f>
        <v>#N/A</v>
      </c>
      <c r="AS80" s="1" t="e">
        <f t="shared" ca="1" si="95"/>
        <v>#N/A</v>
      </c>
      <c r="AT80" s="1" t="e">
        <f t="shared" ca="1" si="95"/>
        <v>#N/A</v>
      </c>
      <c r="AU80" s="1" t="e">
        <f t="shared" ca="1" si="95"/>
        <v>#N/A</v>
      </c>
      <c r="AV80" s="1" t="e">
        <f t="shared" ca="1" si="95"/>
        <v>#N/A</v>
      </c>
      <c r="AW80" s="1" t="e">
        <f t="shared" ca="1" si="95"/>
        <v>#N/A</v>
      </c>
      <c r="AX80" s="1" t="e">
        <f t="shared" ca="1" si="95"/>
        <v>#N/A</v>
      </c>
      <c r="AY80" s="1" t="e">
        <f ca="1">+AL58</f>
        <v>#N/A</v>
      </c>
      <c r="AZ80" s="1" t="e">
        <f ca="1">+AJ58</f>
        <v>#N/A</v>
      </c>
      <c r="BA80" s="1" t="e">
        <f ca="1">+AM58</f>
        <v>#N/A</v>
      </c>
    </row>
    <row r="81" spans="1:53" x14ac:dyDescent="0.25">
      <c r="A81" s="213"/>
      <c r="B81" s="61">
        <f>IF(Fixture!C80,Fixture!C80,"")</f>
        <v>45746</v>
      </c>
      <c r="C81" s="58">
        <v>0.625</v>
      </c>
      <c r="D81" s="82" t="str">
        <f t="shared" ref="D81:D111" ca="1" si="106">IF(OR(B81="",C81="",B81&lt;$A$1),"Finalizado",IF(B81=$A$1,IF(AND(C81&lt;=$D$1,$D$1&lt;=(C81+0.08333333333)),"En juego",IF($A$1&lt;C81,"HOY!","Finalizado")),IF($D$1&gt;B81,"Finalizado","Proximamente..")))</f>
        <v>Finalizado</v>
      </c>
      <c r="E81" s="207"/>
      <c r="F81" s="43">
        <f>+Fixture!B80</f>
        <v>79</v>
      </c>
      <c r="G81" s="42" t="str">
        <f>IF(VLOOKUP(F81,Fixture!$B$2:$F$137,3,FALSE)&lt;&gt;0,VLOOKUP(F81,Fixture!$B$2:$F$137,3,FALSE),"")</f>
        <v>CD El Corozo</v>
      </c>
      <c r="H81" s="44">
        <f ca="1">IF($D81="Finalizado",_xlfn.XLOOKUP(G81,Resumen!$A$6:$A$22,Resumen!AL$6:AL$22,0),"")</f>
        <v>6</v>
      </c>
      <c r="I81" s="44">
        <f ca="1">IF($D81="Finalizado",_xlfn.XLOOKUP(G81,Resumen!$A$6:$A$22,Resumen!AM$6:AM$22,0),"")</f>
        <v>0</v>
      </c>
      <c r="J81" s="44">
        <f ca="1">IF($D81="Finalizado",_xlfn.XLOOKUP(G81,Resumen!$A$6:$A$22,Resumen!AN$6:AN$22,0)+_xlfn.XLOOKUP(G81,Resumen!$A$6:$A$22,Resumen!AO$6:AO$22,0),"")</f>
        <v>0</v>
      </c>
      <c r="K81" s="44">
        <f t="shared" ca="1" si="93"/>
        <v>1</v>
      </c>
      <c r="L81" s="44">
        <f t="shared" ca="1" si="82"/>
        <v>0</v>
      </c>
      <c r="M81" s="44">
        <f t="shared" ca="1" si="83"/>
        <v>0</v>
      </c>
      <c r="N81" s="44">
        <f t="shared" ca="1" si="84"/>
        <v>1</v>
      </c>
      <c r="O81" s="45">
        <f t="shared" ca="1" si="85"/>
        <v>0</v>
      </c>
      <c r="P81" s="42" t="str">
        <f>IF(VLOOKUP(F81,Fixture!$B$2:$F$137,5,FALSE)&lt;&gt;0,VLOOKUP(F81,Fixture!$B$2:$F$137,5,FALSE),"")</f>
        <v>La Unión FC</v>
      </c>
      <c r="Q81" s="44">
        <f ca="1">IF($D81="Finalizado",_xlfn.XLOOKUP(P81,Resumen!$A$6:$A$22,Resumen!AL$6:AL$22,0),"")</f>
        <v>4</v>
      </c>
      <c r="R81" s="44">
        <f ca="1">IF($D81="Finalizado",_xlfn.XLOOKUP(P81,Resumen!$A$6:$A$22,Resumen!AM$6:AM$22,0),"")</f>
        <v>1</v>
      </c>
      <c r="S81" s="44">
        <f ca="1">IF($D81="Finalizado",_xlfn.XLOOKUP(P81,Resumen!$A$6:$A$22,Resumen!AN$6:AN$22,0)+_xlfn.XLOOKUP(P81,Resumen!$A$6:$A$22,Resumen!AO$6:AO$22,0),"")</f>
        <v>0</v>
      </c>
      <c r="T81" s="44">
        <f t="shared" ca="1" si="86"/>
        <v>0</v>
      </c>
      <c r="U81" s="44">
        <f t="shared" ca="1" si="89"/>
        <v>0</v>
      </c>
      <c r="V81" s="44">
        <f t="shared" ca="1" si="90"/>
        <v>1</v>
      </c>
      <c r="W81" s="44">
        <f t="shared" ca="1" si="87"/>
        <v>1</v>
      </c>
      <c r="X81" s="45">
        <f t="shared" ca="1" si="88"/>
        <v>5</v>
      </c>
      <c r="Y81" s="207"/>
      <c r="AA81" s="19">
        <v>4</v>
      </c>
      <c r="AB81" s="19">
        <f t="shared" ca="1" si="96"/>
        <v>31029.059857142856</v>
      </c>
      <c r="AC81" s="46" t="str">
        <f>+Equipos!B6</f>
        <v>Konami</v>
      </c>
      <c r="AD81">
        <f t="shared" ca="1" si="97"/>
        <v>10</v>
      </c>
      <c r="AE81">
        <f t="shared" ca="1" si="98"/>
        <v>1</v>
      </c>
      <c r="AF81">
        <f t="shared" ca="1" si="99"/>
        <v>5</v>
      </c>
      <c r="AG81">
        <f t="shared" ca="1" si="100"/>
        <v>57</v>
      </c>
      <c r="AH81">
        <f t="shared" ca="1" si="101"/>
        <v>29</v>
      </c>
      <c r="AI81">
        <f t="shared" ca="1" si="102"/>
        <v>28</v>
      </c>
      <c r="AJ81">
        <f t="shared" ca="1" si="103"/>
        <v>31</v>
      </c>
      <c r="AK81">
        <f t="shared" ca="1" si="104"/>
        <v>16</v>
      </c>
      <c r="AL81">
        <f t="shared" ca="1" si="105"/>
        <v>35</v>
      </c>
      <c r="AM81">
        <f t="shared" ca="1" si="94"/>
        <v>33027.075769230767</v>
      </c>
    </row>
    <row r="82" spans="1:53" ht="16.5" thickBot="1" x14ac:dyDescent="0.3">
      <c r="A82" s="214"/>
      <c r="B82" s="61">
        <f>IF(Fixture!C81,Fixture!C81,"")</f>
        <v>45746</v>
      </c>
      <c r="C82" s="58">
        <v>0.67361111111111105</v>
      </c>
      <c r="D82" s="82" t="str">
        <f t="shared" ca="1" si="106"/>
        <v>Finalizado</v>
      </c>
      <c r="E82" s="208"/>
      <c r="F82" s="90">
        <f>+Fixture!B81</f>
        <v>80</v>
      </c>
      <c r="G82" s="42" t="str">
        <f>IF(VLOOKUP(F82,Fixture!$B$2:$F$137,3,FALSE)&lt;&gt;0,VLOOKUP(F82,Fixture!$B$2:$F$137,3,FALSE),"")</f>
        <v>Atalanta</v>
      </c>
      <c r="H82" s="48">
        <f ca="1">IF($D82="Finalizado",_xlfn.XLOOKUP(G82,Resumen!$A$6:$A$22,Resumen!AL$6:AL$22,0),"")</f>
        <v>3</v>
      </c>
      <c r="I82" s="48">
        <f ca="1">IF($D82="Finalizado",_xlfn.XLOOKUP(G82,Resumen!$A$6:$A$22,Resumen!AM$6:AM$22,0),"")</f>
        <v>0</v>
      </c>
      <c r="J82" s="48">
        <f ca="1">IF($D82="Finalizado",_xlfn.XLOOKUP(G82,Resumen!$A$6:$A$22,Resumen!AN$6:AN$22,0)+_xlfn.XLOOKUP(G82,Resumen!$A$6:$A$22,Resumen!AO$6:AO$22,0),"")</f>
        <v>0</v>
      </c>
      <c r="K82" s="48">
        <f t="shared" ca="1" si="93"/>
        <v>1</v>
      </c>
      <c r="L82" s="48">
        <f t="shared" ca="1" si="82"/>
        <v>0</v>
      </c>
      <c r="M82" s="48">
        <f t="shared" ca="1" si="83"/>
        <v>0</v>
      </c>
      <c r="N82" s="48">
        <f t="shared" ca="1" si="84"/>
        <v>1</v>
      </c>
      <c r="O82" s="49">
        <f t="shared" ca="1" si="85"/>
        <v>0</v>
      </c>
      <c r="P82" s="42" t="str">
        <f>IF(VLOOKUP(F82,Fixture!$B$2:$F$137,5,FALSE)&lt;&gt;0,VLOOKUP(F82,Fixture!$B$2:$F$137,5,FALSE),"")</f>
        <v>Rayos FC</v>
      </c>
      <c r="Q82" s="48">
        <f ca="1">IF($D82="Finalizado",_xlfn.XLOOKUP(P82,Resumen!$A$6:$A$22,Resumen!AL$6:AL$22,0),"")</f>
        <v>0</v>
      </c>
      <c r="R82" s="48">
        <f ca="1">IF($D82="Finalizado",_xlfn.XLOOKUP(P82,Resumen!$A$6:$A$22,Resumen!AM$6:AM$22,0),"")</f>
        <v>0</v>
      </c>
      <c r="S82" s="48">
        <f ca="1">IF($D82="Finalizado",_xlfn.XLOOKUP(P82,Resumen!$A$6:$A$22,Resumen!AN$6:AN$22,0)+_xlfn.XLOOKUP(P82,Resumen!$A$6:$A$22,Resumen!AO$6:AO$22,0),"")</f>
        <v>3</v>
      </c>
      <c r="T82" s="48">
        <f t="shared" ca="1" si="86"/>
        <v>0</v>
      </c>
      <c r="U82" s="48">
        <f t="shared" ca="1" si="89"/>
        <v>0</v>
      </c>
      <c r="V82" s="48">
        <f t="shared" ca="1" si="90"/>
        <v>1</v>
      </c>
      <c r="W82" s="48">
        <f t="shared" ca="1" si="87"/>
        <v>1</v>
      </c>
      <c r="X82" s="49">
        <f t="shared" ca="1" si="88"/>
        <v>30</v>
      </c>
      <c r="Y82" s="208"/>
      <c r="AA82" s="19">
        <v>5</v>
      </c>
      <c r="AB82" s="19">
        <f t="shared" ca="1" si="96"/>
        <v>28021.956625000003</v>
      </c>
      <c r="AC82" s="46" t="str">
        <f>+Equipos!B7</f>
        <v>Villanueva</v>
      </c>
      <c r="AD82">
        <f t="shared" ca="1" si="97"/>
        <v>9</v>
      </c>
      <c r="AE82">
        <f t="shared" ca="1" si="98"/>
        <v>1</v>
      </c>
      <c r="AF82">
        <f t="shared" ca="1" si="99"/>
        <v>6</v>
      </c>
      <c r="AG82">
        <f t="shared" ca="1" si="100"/>
        <v>56</v>
      </c>
      <c r="AH82">
        <f t="shared" ca="1" si="101"/>
        <v>35</v>
      </c>
      <c r="AI82">
        <f t="shared" ca="1" si="102"/>
        <v>21</v>
      </c>
      <c r="AJ82">
        <f t="shared" ca="1" si="103"/>
        <v>28</v>
      </c>
      <c r="AK82">
        <f t="shared" ca="1" si="104"/>
        <v>16</v>
      </c>
      <c r="AL82">
        <f t="shared" ca="1" si="105"/>
        <v>160</v>
      </c>
      <c r="AM82">
        <f t="shared" ca="1" si="94"/>
        <v>31029.059857142856</v>
      </c>
      <c r="AP82" s="1">
        <f t="shared" ref="AP82:AP86" ca="1" si="107">+AB137</f>
        <v>51.720000000000006</v>
      </c>
      <c r="AQ82" s="1" t="e">
        <f ca="1">+AC59</f>
        <v>#N/A</v>
      </c>
      <c r="AR82" s="1" t="e">
        <f ca="1">+AK59</f>
        <v>#N/A</v>
      </c>
      <c r="AS82" s="1" t="e">
        <f t="shared" ref="AS82:AX85" ca="1" si="108">+AD59</f>
        <v>#N/A</v>
      </c>
      <c r="AT82" s="1" t="e">
        <f t="shared" ca="1" si="108"/>
        <v>#N/A</v>
      </c>
      <c r="AU82" s="1" t="e">
        <f t="shared" ca="1" si="108"/>
        <v>#N/A</v>
      </c>
      <c r="AV82" s="1" t="e">
        <f t="shared" ca="1" si="108"/>
        <v>#N/A</v>
      </c>
      <c r="AW82" s="1" t="e">
        <f t="shared" ca="1" si="108"/>
        <v>#N/A</v>
      </c>
      <c r="AX82" s="1" t="e">
        <f t="shared" ca="1" si="108"/>
        <v>#N/A</v>
      </c>
      <c r="AY82" s="1" t="e">
        <f ca="1">+AL59</f>
        <v>#N/A</v>
      </c>
      <c r="AZ82" s="1" t="e">
        <f ca="1">+AJ59</f>
        <v>#N/A</v>
      </c>
      <c r="BA82" s="1" t="e">
        <f ca="1">+AM59</f>
        <v>#N/A</v>
      </c>
    </row>
    <row r="83" spans="1:53" x14ac:dyDescent="0.25">
      <c r="A83" s="212" t="s">
        <v>15</v>
      </c>
      <c r="B83" s="60">
        <f>IF(Fixture!C82,Fixture!C82,"")</f>
        <v>45753</v>
      </c>
      <c r="C83" s="58">
        <v>0.33333333333333331</v>
      </c>
      <c r="D83" s="82" t="str">
        <f t="shared" ca="1" si="106"/>
        <v>Finalizado</v>
      </c>
      <c r="E83" s="206" t="s">
        <v>114</v>
      </c>
      <c r="F83" s="43">
        <f>+Fixture!B82</f>
        <v>81</v>
      </c>
      <c r="G83" s="42" t="str">
        <f>IF(VLOOKUP(F83,Fixture!$B$2:$F$137,3,FALSE)&lt;&gt;0,VLOOKUP(F83,Fixture!$B$2:$F$137,3,FALSE),"")</f>
        <v>Amenadim</v>
      </c>
      <c r="H83" s="44">
        <f ca="1">IF($D83="Finalizado",_xlfn.XLOOKUP(G83,Resumen!$A$6:$A$22,Resumen!AP$6:AP$22,0),"")</f>
        <v>0</v>
      </c>
      <c r="I83" s="44">
        <f ca="1">IF($D83="Finalizado",_xlfn.XLOOKUP(G83,Resumen!$A$6:$A$22,Resumen!AQ$6:AQ$22,0),"")</f>
        <v>0</v>
      </c>
      <c r="J83" s="44">
        <f ca="1">IF($D83="Finalizado",_xlfn.XLOOKUP(G83,Resumen!$A$6:$A$22,Resumen!AR$6:AR$22,0)+_xlfn.XLOOKUP(G83,Resumen!$A$6:$A$22,Resumen!AS$6:AS$22,0),"")</f>
        <v>0</v>
      </c>
      <c r="K83" s="44">
        <f t="shared" ca="1" si="93"/>
        <v>0</v>
      </c>
      <c r="L83" s="44">
        <f t="shared" ca="1" si="82"/>
        <v>0</v>
      </c>
      <c r="M83" s="44">
        <f t="shared" ca="1" si="83"/>
        <v>1</v>
      </c>
      <c r="N83" s="44">
        <f t="shared" ca="1" si="84"/>
        <v>1</v>
      </c>
      <c r="O83" s="45">
        <f t="shared" ca="1" si="85"/>
        <v>0</v>
      </c>
      <c r="P83" s="42" t="str">
        <f>IF(VLOOKUP(F83,Fixture!$B$2:$F$137,5,FALSE)&lt;&gt;0,VLOOKUP(F83,Fixture!$B$2:$F$137,5,FALSE),"")</f>
        <v>Ron Star</v>
      </c>
      <c r="Q83" s="44">
        <f ca="1">IF($D83="Finalizado",_xlfn.XLOOKUP(P83,Resumen!$A$6:$A$22,Resumen!AP$6:AP$22,0),"")</f>
        <v>3</v>
      </c>
      <c r="R83" s="44">
        <f ca="1">IF($D83="Finalizado",_xlfn.XLOOKUP(P83,Resumen!$A$6:$A$22,Resumen!AQ$6:AQ$22,0),"")</f>
        <v>1</v>
      </c>
      <c r="S83" s="44">
        <f ca="1">IF($D83="Finalizado",_xlfn.XLOOKUP(P83,Resumen!$A$6:$A$22,Resumen!AR$6:AR$22,0)+_xlfn.XLOOKUP(P83,Resumen!$A$6:$A$22,Resumen!AS$6:AS$22,0),"")</f>
        <v>0</v>
      </c>
      <c r="T83" s="44">
        <f t="shared" ca="1" si="86"/>
        <v>1</v>
      </c>
      <c r="U83" s="44">
        <f t="shared" ca="1" si="89"/>
        <v>0</v>
      </c>
      <c r="V83" s="44">
        <f t="shared" ca="1" si="90"/>
        <v>0</v>
      </c>
      <c r="W83" s="44">
        <f t="shared" ca="1" si="87"/>
        <v>1</v>
      </c>
      <c r="X83" s="45">
        <f t="shared" ca="1" si="88"/>
        <v>5</v>
      </c>
      <c r="Y83" s="206" t="str">
        <f>+A83</f>
        <v>Fecha 11</v>
      </c>
      <c r="AA83" s="19">
        <v>6</v>
      </c>
      <c r="AB83" s="19">
        <f t="shared" ca="1" si="96"/>
        <v>34024.178538461536</v>
      </c>
      <c r="AC83" s="46" t="str">
        <f>+Equipos!B8</f>
        <v>Ron Star</v>
      </c>
      <c r="AD83">
        <f t="shared" ca="1" si="97"/>
        <v>11</v>
      </c>
      <c r="AE83">
        <f ca="1">SUMIF($G$3:$G$138,AC83,$L$3:$L$138)+SUMIF($P$3:$P$138,AC83,$U$3:$U$138)</f>
        <v>1</v>
      </c>
      <c r="AF83">
        <f t="shared" ca="1" si="99"/>
        <v>5</v>
      </c>
      <c r="AG83">
        <f t="shared" ca="1" si="100"/>
        <v>77</v>
      </c>
      <c r="AH83">
        <f t="shared" ca="1" si="101"/>
        <v>54</v>
      </c>
      <c r="AI83">
        <f t="shared" ca="1" si="102"/>
        <v>23</v>
      </c>
      <c r="AJ83">
        <f ca="1">AD83*3+AE83*1</f>
        <v>34</v>
      </c>
      <c r="AK83">
        <f ca="1">SUMIF($G$3:$G$138,AC83,$N$3:$N$138)+SUMIF($P$3:$P$138,AC83,$W$3:$W$138)</f>
        <v>17</v>
      </c>
      <c r="AL83">
        <f t="shared" ca="1" si="105"/>
        <v>65</v>
      </c>
      <c r="AM83">
        <f t="shared" ca="1" si="94"/>
        <v>28021.956625000003</v>
      </c>
      <c r="AP83" s="1">
        <f t="shared" ca="1" si="107"/>
        <v>3042.1076666666668</v>
      </c>
      <c r="AQ83" s="1" t="e">
        <f ca="1">+AC60</f>
        <v>#N/A</v>
      </c>
      <c r="AR83" s="1" t="e">
        <f ca="1">+AK60</f>
        <v>#N/A</v>
      </c>
      <c r="AS83" s="1" t="e">
        <f t="shared" ca="1" si="108"/>
        <v>#N/A</v>
      </c>
      <c r="AT83" s="1" t="e">
        <f t="shared" ca="1" si="108"/>
        <v>#N/A</v>
      </c>
      <c r="AU83" s="1" t="e">
        <f t="shared" ca="1" si="108"/>
        <v>#N/A</v>
      </c>
      <c r="AV83" s="1" t="e">
        <f t="shared" ca="1" si="108"/>
        <v>#N/A</v>
      </c>
      <c r="AW83" s="1" t="e">
        <f t="shared" ca="1" si="108"/>
        <v>#N/A</v>
      </c>
      <c r="AX83" s="1" t="e">
        <f t="shared" ca="1" si="108"/>
        <v>#N/A</v>
      </c>
      <c r="AY83" s="1" t="e">
        <f ca="1">+AL60</f>
        <v>#N/A</v>
      </c>
      <c r="AZ83" s="1" t="e">
        <f ca="1">+AJ60</f>
        <v>#N/A</v>
      </c>
      <c r="BA83" s="1" t="e">
        <f ca="1">+AM60</f>
        <v>#N/A</v>
      </c>
    </row>
    <row r="84" spans="1:53" x14ac:dyDescent="0.25">
      <c r="A84" s="213"/>
      <c r="B84" s="61">
        <f>IF(Fixture!C83,Fixture!C83,"")</f>
        <v>45753</v>
      </c>
      <c r="C84" s="58">
        <v>0.38194444444444442</v>
      </c>
      <c r="D84" s="82" t="str">
        <f t="shared" ca="1" si="106"/>
        <v>Finalizado</v>
      </c>
      <c r="E84" s="207"/>
      <c r="F84" s="43">
        <f>+Fixture!B83</f>
        <v>82</v>
      </c>
      <c r="G84" s="42" t="str">
        <f>IF(VLOOKUP(F84,Fixture!$B$2:$F$137,3,FALSE)&lt;&gt;0,VLOOKUP(F84,Fixture!$B$2:$F$137,3,FALSE),"")</f>
        <v>Hojas Anchas</v>
      </c>
      <c r="H84" s="44">
        <f ca="1">IF($D84="Finalizado",_xlfn.XLOOKUP(G84,Resumen!$A$6:$A$22,Resumen!AP$6:AP$22,0),"")</f>
        <v>2</v>
      </c>
      <c r="I84" s="44">
        <f ca="1">IF($D84="Finalizado",_xlfn.XLOOKUP(G84,Resumen!$A$6:$A$22,Resumen!AQ$6:AQ$22,0),"")</f>
        <v>2</v>
      </c>
      <c r="J84" s="44">
        <f ca="1">IF($D84="Finalizado",_xlfn.XLOOKUP(G84,Resumen!$A$6:$A$22,Resumen!AR$6:AR$22,0)+_xlfn.XLOOKUP(G84,Resumen!$A$6:$A$22,Resumen!AS$6:AS$22,0),"")</f>
        <v>0</v>
      </c>
      <c r="K84" s="44">
        <f t="shared" ca="1" si="93"/>
        <v>0</v>
      </c>
      <c r="L84" s="44">
        <f t="shared" ca="1" si="82"/>
        <v>0</v>
      </c>
      <c r="M84" s="44">
        <f t="shared" ca="1" si="83"/>
        <v>1</v>
      </c>
      <c r="N84" s="44">
        <f t="shared" ca="1" si="84"/>
        <v>1</v>
      </c>
      <c r="O84" s="45">
        <f t="shared" ca="1" si="85"/>
        <v>10</v>
      </c>
      <c r="P84" s="42" t="str">
        <f>IF(VLOOKUP(F84,Fixture!$B$2:$F$137,5,FALSE)&lt;&gt;0,VLOOKUP(F84,Fixture!$B$2:$F$137,5,FALSE),"")</f>
        <v>Villanueva</v>
      </c>
      <c r="Q84" s="44">
        <f ca="1">IF($D84="Finalizado",_xlfn.XLOOKUP(P84,Resumen!$A$6:$A$22,Resumen!AP$6:AP$22,0),"")</f>
        <v>5</v>
      </c>
      <c r="R84" s="44">
        <f ca="1">IF($D84="Finalizado",_xlfn.XLOOKUP(P84,Resumen!$A$6:$A$22,Resumen!AQ$6:AQ$22,0),"")</f>
        <v>2</v>
      </c>
      <c r="S84" s="44">
        <f ca="1">IF($D84="Finalizado",_xlfn.XLOOKUP(P84,Resumen!$A$6:$A$22,Resumen!AR$6:AR$22,0)+_xlfn.XLOOKUP(P84,Resumen!$A$6:$A$22,Resumen!AS$6:AS$22,0),"")</f>
        <v>0</v>
      </c>
      <c r="T84" s="44">
        <f t="shared" ca="1" si="86"/>
        <v>1</v>
      </c>
      <c r="U84" s="44">
        <f t="shared" ca="1" si="89"/>
        <v>0</v>
      </c>
      <c r="V84" s="44">
        <f t="shared" ca="1" si="90"/>
        <v>0</v>
      </c>
      <c r="W84" s="44">
        <f t="shared" ca="1" si="87"/>
        <v>1</v>
      </c>
      <c r="X84" s="45">
        <f t="shared" ca="1" si="88"/>
        <v>10</v>
      </c>
      <c r="Y84" s="207"/>
      <c r="AA84" s="19">
        <v>7</v>
      </c>
      <c r="AB84" s="19">
        <f t="shared" ca="1" si="96"/>
        <v>25008.859176470589</v>
      </c>
      <c r="AC84" s="46" t="str">
        <f>+Equipos!B9</f>
        <v>Amenadim</v>
      </c>
      <c r="AD84">
        <f t="shared" ca="1" si="97"/>
        <v>8</v>
      </c>
      <c r="AE84">
        <f t="shared" ca="1" si="98"/>
        <v>1</v>
      </c>
      <c r="AF84">
        <f t="shared" ca="1" si="99"/>
        <v>8</v>
      </c>
      <c r="AG84">
        <f t="shared" ca="1" si="100"/>
        <v>58</v>
      </c>
      <c r="AH84">
        <f t="shared" ca="1" si="101"/>
        <v>50</v>
      </c>
      <c r="AI84">
        <f t="shared" ca="1" si="102"/>
        <v>8</v>
      </c>
      <c r="AJ84">
        <f t="shared" ca="1" si="103"/>
        <v>25</v>
      </c>
      <c r="AK84">
        <f t="shared" ca="1" si="104"/>
        <v>17</v>
      </c>
      <c r="AL84">
        <f t="shared" ca="1" si="105"/>
        <v>85</v>
      </c>
      <c r="AM84">
        <f ca="1">LARGE($AB$78:$AB$93,AA84)</f>
        <v>27026.866111111111</v>
      </c>
      <c r="AP84" s="1" t="e">
        <f t="shared" ca="1" si="107"/>
        <v>#N/A</v>
      </c>
      <c r="AQ84" s="1" t="e">
        <f ca="1">+AC61</f>
        <v>#N/A</v>
      </c>
      <c r="AR84" s="1" t="e">
        <f ca="1">+AK61</f>
        <v>#N/A</v>
      </c>
      <c r="AS84" s="1" t="e">
        <f t="shared" ca="1" si="108"/>
        <v>#N/A</v>
      </c>
      <c r="AT84" s="1" t="e">
        <f t="shared" ca="1" si="108"/>
        <v>#N/A</v>
      </c>
      <c r="AU84" s="1" t="e">
        <f t="shared" ca="1" si="108"/>
        <v>#N/A</v>
      </c>
      <c r="AV84" s="1" t="e">
        <f t="shared" ca="1" si="108"/>
        <v>#N/A</v>
      </c>
      <c r="AW84" s="1" t="e">
        <f t="shared" ca="1" si="108"/>
        <v>#N/A</v>
      </c>
      <c r="AX84" s="1" t="e">
        <f t="shared" ca="1" si="108"/>
        <v>#N/A</v>
      </c>
      <c r="AY84" s="1" t="e">
        <f ca="1">+AL61</f>
        <v>#N/A</v>
      </c>
      <c r="AZ84" s="1" t="e">
        <f ca="1">+AJ61</f>
        <v>#N/A</v>
      </c>
      <c r="BA84" s="1" t="e">
        <f ca="1">+AM61</f>
        <v>#N/A</v>
      </c>
    </row>
    <row r="85" spans="1:53" x14ac:dyDescent="0.25">
      <c r="A85" s="213"/>
      <c r="B85" s="61">
        <f>IF(Fixture!C84,Fixture!C84,"")</f>
        <v>45753</v>
      </c>
      <c r="C85" s="58">
        <v>0.43055555555555602</v>
      </c>
      <c r="D85" s="82" t="str">
        <f t="shared" ca="1" si="106"/>
        <v>Finalizado</v>
      </c>
      <c r="E85" s="207"/>
      <c r="F85" s="43">
        <f>+Fixture!B84</f>
        <v>83</v>
      </c>
      <c r="G85" s="42" t="str">
        <f>IF(VLOOKUP(F85,Fixture!$B$2:$F$137,3,FALSE)&lt;&gt;0,VLOOKUP(F85,Fixture!$B$2:$F$137,3,FALSE),"")</f>
        <v>Los Aliados</v>
      </c>
      <c r="H85" s="44">
        <f ca="1">IF($D85="Finalizado",_xlfn.XLOOKUP(G85,Resumen!$A$6:$A$22,Resumen!AP$6:AP$22,0),"")</f>
        <v>1</v>
      </c>
      <c r="I85" s="44">
        <f ca="1">IF($D85="Finalizado",_xlfn.XLOOKUP(G85,Resumen!$A$6:$A$22,Resumen!AQ$6:AQ$22,0),"")</f>
        <v>0</v>
      </c>
      <c r="J85" s="44">
        <f ca="1">IF($D85="Finalizado",_xlfn.XLOOKUP(G85,Resumen!$A$6:$A$22,Resumen!AR$6:AR$22,0)+_xlfn.XLOOKUP(G85,Resumen!$A$6:$A$22,Resumen!AS$6:AS$22,0),"")</f>
        <v>0</v>
      </c>
      <c r="K85" s="44">
        <f t="shared" ca="1" si="93"/>
        <v>0</v>
      </c>
      <c r="L85" s="44">
        <f t="shared" ca="1" si="82"/>
        <v>0</v>
      </c>
      <c r="M85" s="44">
        <f t="shared" ca="1" si="83"/>
        <v>1</v>
      </c>
      <c r="N85" s="44">
        <f t="shared" ca="1" si="84"/>
        <v>1</v>
      </c>
      <c r="O85" s="45">
        <f t="shared" ca="1" si="85"/>
        <v>0</v>
      </c>
      <c r="P85" s="42" t="str">
        <f>IF(VLOOKUP(F85,Fixture!$B$2:$F$137,5,FALSE)&lt;&gt;0,VLOOKUP(F85,Fixture!$B$2:$F$137,5,FALSE),"")</f>
        <v>Konami</v>
      </c>
      <c r="Q85" s="44">
        <f ca="1">IF($D85="Finalizado",_xlfn.XLOOKUP(P85,Resumen!$A$6:$A$22,Resumen!AP$6:AP$22,0),"")</f>
        <v>6</v>
      </c>
      <c r="R85" s="44">
        <f ca="1">IF($D85="Finalizado",_xlfn.XLOOKUP(P85,Resumen!$A$6:$A$22,Resumen!AQ$6:AQ$22,0),"")</f>
        <v>0</v>
      </c>
      <c r="S85" s="44">
        <f ca="1">IF($D85="Finalizado",_xlfn.XLOOKUP(P85,Resumen!$A$6:$A$22,Resumen!AR$6:AR$22,0)+_xlfn.XLOOKUP(P85,Resumen!$A$6:$A$22,Resumen!AS$6:AS$22,0),"")</f>
        <v>0</v>
      </c>
      <c r="T85" s="44">
        <f t="shared" ca="1" si="86"/>
        <v>1</v>
      </c>
      <c r="U85" s="44">
        <f t="shared" ca="1" si="89"/>
        <v>0</v>
      </c>
      <c r="V85" s="44">
        <f t="shared" ca="1" si="90"/>
        <v>0</v>
      </c>
      <c r="W85" s="44">
        <f t="shared" ca="1" si="87"/>
        <v>1</v>
      </c>
      <c r="X85" s="45">
        <f t="shared" ca="1" si="88"/>
        <v>0</v>
      </c>
      <c r="Y85" s="207"/>
      <c r="AA85" s="19">
        <v>8</v>
      </c>
      <c r="AB85" s="19">
        <f t="shared" ca="1" si="96"/>
        <v>22999.655624999999</v>
      </c>
      <c r="AC85" s="46" t="str">
        <f>+Equipos!B10</f>
        <v>Hojas Anchas</v>
      </c>
      <c r="AD85">
        <f t="shared" ca="1" si="97"/>
        <v>6</v>
      </c>
      <c r="AE85">
        <f t="shared" ca="1" si="98"/>
        <v>5</v>
      </c>
      <c r="AF85">
        <f t="shared" ca="1" si="99"/>
        <v>6</v>
      </c>
      <c r="AG85">
        <f t="shared" ca="1" si="100"/>
        <v>55</v>
      </c>
      <c r="AH85">
        <f t="shared" ca="1" si="101"/>
        <v>56</v>
      </c>
      <c r="AI85">
        <f t="shared" ca="1" si="102"/>
        <v>-1</v>
      </c>
      <c r="AJ85">
        <f t="shared" ca="1" si="103"/>
        <v>23</v>
      </c>
      <c r="AK85">
        <f t="shared" ca="1" si="104"/>
        <v>17</v>
      </c>
      <c r="AL85">
        <f t="shared" ca="1" si="105"/>
        <v>160</v>
      </c>
      <c r="AM85">
        <f ca="1">LARGE($AB$78:$AB$93,AA85)</f>
        <v>27006.954714285715</v>
      </c>
      <c r="AP85" s="1" t="e">
        <f t="shared" ca="1" si="107"/>
        <v>#VALUE!</v>
      </c>
      <c r="AQ85" s="1" t="e">
        <f ca="1">+AC62</f>
        <v>#N/A</v>
      </c>
      <c r="AR85" s="1" t="e">
        <f ca="1">+AK62</f>
        <v>#N/A</v>
      </c>
      <c r="AS85" s="1" t="e">
        <f t="shared" ca="1" si="108"/>
        <v>#N/A</v>
      </c>
      <c r="AT85" s="1" t="e">
        <f t="shared" ca="1" si="108"/>
        <v>#N/A</v>
      </c>
      <c r="AU85" s="1" t="e">
        <f t="shared" ca="1" si="108"/>
        <v>#N/A</v>
      </c>
      <c r="AV85" s="1" t="e">
        <f t="shared" ca="1" si="108"/>
        <v>#N/A</v>
      </c>
      <c r="AW85" s="1" t="e">
        <f t="shared" ca="1" si="108"/>
        <v>#N/A</v>
      </c>
      <c r="AX85" s="1" t="e">
        <f t="shared" ca="1" si="108"/>
        <v>#N/A</v>
      </c>
      <c r="AY85" s="1" t="e">
        <f ca="1">+AL62</f>
        <v>#N/A</v>
      </c>
      <c r="AZ85" s="1" t="e">
        <f ca="1">+AJ62</f>
        <v>#N/A</v>
      </c>
      <c r="BA85" s="1" t="e">
        <f ca="1">+AM62</f>
        <v>#N/A</v>
      </c>
    </row>
    <row r="86" spans="1:53" x14ac:dyDescent="0.25">
      <c r="A86" s="213"/>
      <c r="B86" s="61">
        <f>IF(Fixture!C85,Fixture!C85,"")</f>
        <v>45753</v>
      </c>
      <c r="C86" s="58">
        <v>0.47916666666666602</v>
      </c>
      <c r="D86" s="82" t="str">
        <f t="shared" ca="1" si="106"/>
        <v>Finalizado</v>
      </c>
      <c r="E86" s="207"/>
      <c r="F86" s="43">
        <f>+Fixture!B85</f>
        <v>84</v>
      </c>
      <c r="G86" s="42" t="str">
        <f>IF(VLOOKUP(F86,Fixture!$B$2:$F$137,3,FALSE)&lt;&gt;0,VLOOKUP(F86,Fixture!$B$2:$F$137,3,FALSE),"")</f>
        <v>Boca Juniors</v>
      </c>
      <c r="H86" s="44">
        <f ca="1">IF($D86="Finalizado",_xlfn.XLOOKUP(G86,Resumen!$A$6:$A$22,Resumen!AP$6:AP$22,0),"")</f>
        <v>1</v>
      </c>
      <c r="I86" s="44">
        <f ca="1">IF($D86="Finalizado",_xlfn.XLOOKUP(G86,Resumen!$A$6:$A$22,Resumen!AQ$6:AQ$22,0),"")</f>
        <v>0</v>
      </c>
      <c r="J86" s="44">
        <f ca="1">IF($D86="Finalizado",_xlfn.XLOOKUP(G86,Resumen!$A$6:$A$22,Resumen!AR$6:AR$22,0)+_xlfn.XLOOKUP(G86,Resumen!$A$6:$A$22,Resumen!AS$6:AS$22,0),"")</f>
        <v>1</v>
      </c>
      <c r="K86" s="44">
        <f t="shared" ca="1" si="93"/>
        <v>0</v>
      </c>
      <c r="L86" s="44">
        <f t="shared" ca="1" si="82"/>
        <v>0</v>
      </c>
      <c r="M86" s="44">
        <f t="shared" ca="1" si="83"/>
        <v>1</v>
      </c>
      <c r="N86" s="44">
        <f t="shared" ca="1" si="84"/>
        <v>1</v>
      </c>
      <c r="O86" s="45">
        <f t="shared" ca="1" si="85"/>
        <v>10</v>
      </c>
      <c r="P86" s="42" t="str">
        <f>IF(VLOOKUP(F86,Fixture!$B$2:$F$137,5,FALSE)&lt;&gt;0,VLOOKUP(F86,Fixture!$B$2:$F$137,5,FALSE),"")</f>
        <v>La Amistad</v>
      </c>
      <c r="Q86" s="44">
        <f ca="1">IF($D86="Finalizado",_xlfn.XLOOKUP(P86,Resumen!$A$6:$A$22,Resumen!AP$6:AP$22,0),"")</f>
        <v>7</v>
      </c>
      <c r="R86" s="44">
        <f ca="1">IF($D86="Finalizado",_xlfn.XLOOKUP(P86,Resumen!$A$6:$A$22,Resumen!AQ$6:AQ$22,0),"")</f>
        <v>0</v>
      </c>
      <c r="S86" s="44">
        <f ca="1">IF($D86="Finalizado",_xlfn.XLOOKUP(P86,Resumen!$A$6:$A$22,Resumen!AR$6:AR$22,0)+_xlfn.XLOOKUP(P86,Resumen!$A$6:$A$22,Resumen!AS$6:AS$22,0),"")</f>
        <v>0</v>
      </c>
      <c r="T86" s="44">
        <f t="shared" ca="1" si="86"/>
        <v>1</v>
      </c>
      <c r="U86" s="44">
        <f t="shared" ca="1" si="89"/>
        <v>0</v>
      </c>
      <c r="V86" s="44">
        <f t="shared" ca="1" si="90"/>
        <v>0</v>
      </c>
      <c r="W86" s="44">
        <f t="shared" ca="1" si="87"/>
        <v>1</v>
      </c>
      <c r="X86" s="45">
        <f t="shared" ca="1" si="88"/>
        <v>0</v>
      </c>
      <c r="Y86" s="207"/>
      <c r="AA86" s="19">
        <v>9</v>
      </c>
      <c r="AB86" s="19">
        <f t="shared" ca="1" si="96"/>
        <v>25015.757666666668</v>
      </c>
      <c r="AC86" s="46" t="str">
        <f>+Equipos!B11</f>
        <v>Valentín FC</v>
      </c>
      <c r="AD86">
        <f t="shared" ca="1" si="97"/>
        <v>7</v>
      </c>
      <c r="AE86">
        <f t="shared" ca="1" si="98"/>
        <v>4</v>
      </c>
      <c r="AF86">
        <f t="shared" ca="1" si="99"/>
        <v>6</v>
      </c>
      <c r="AG86">
        <f t="shared" ca="1" si="100"/>
        <v>57</v>
      </c>
      <c r="AH86">
        <f t="shared" ca="1" si="101"/>
        <v>42</v>
      </c>
      <c r="AI86">
        <f t="shared" ca="1" si="102"/>
        <v>15</v>
      </c>
      <c r="AJ86">
        <f t="shared" ca="1" si="103"/>
        <v>25</v>
      </c>
      <c r="AK86">
        <f t="shared" ca="1" si="104"/>
        <v>17</v>
      </c>
      <c r="AL86">
        <f t="shared" ca="1" si="105"/>
        <v>150</v>
      </c>
      <c r="AM86">
        <f t="shared" ca="1" si="94"/>
        <v>25015.757666666668</v>
      </c>
      <c r="AP86" s="1">
        <f t="shared" ca="1" si="107"/>
        <v>10</v>
      </c>
    </row>
    <row r="87" spans="1:53" x14ac:dyDescent="0.25">
      <c r="A87" s="213"/>
      <c r="B87" s="61">
        <f>IF(Fixture!C86,Fixture!C86,"")</f>
        <v>45753</v>
      </c>
      <c r="C87" s="58">
        <v>0.52777777777777701</v>
      </c>
      <c r="D87" s="82" t="str">
        <f t="shared" ca="1" si="106"/>
        <v>Finalizado</v>
      </c>
      <c r="E87" s="207"/>
      <c r="F87" s="43">
        <f>+Fixture!B86</f>
        <v>85</v>
      </c>
      <c r="G87" s="42" t="str">
        <f>IF(VLOOKUP(F87,Fixture!$B$2:$F$137,3,FALSE)&lt;&gt;0,VLOOKUP(F87,Fixture!$B$2:$F$137,3,FALSE),"")</f>
        <v>Deportivo Fénix</v>
      </c>
      <c r="H87" s="44">
        <f ca="1">IF($D87="Finalizado",_xlfn.XLOOKUP(G87,Resumen!$A$6:$A$22,Resumen!AP$6:AP$22,0),"")</f>
        <v>6</v>
      </c>
      <c r="I87" s="44">
        <f ca="1">IF($D87="Finalizado",_xlfn.XLOOKUP(G87,Resumen!$A$6:$A$22,Resumen!AQ$6:AQ$22,0),"")</f>
        <v>1</v>
      </c>
      <c r="J87" s="44">
        <f ca="1">IF($D87="Finalizado",_xlfn.XLOOKUP(G87,Resumen!$A$6:$A$22,Resumen!AR$6:AR$22,0)+_xlfn.XLOOKUP(G87,Resumen!$A$6:$A$22,Resumen!AS$6:AS$22,0),"")</f>
        <v>0</v>
      </c>
      <c r="K87" s="44">
        <f t="shared" ca="1" si="93"/>
        <v>1</v>
      </c>
      <c r="L87" s="44">
        <f t="shared" ca="1" si="82"/>
        <v>0</v>
      </c>
      <c r="M87" s="44">
        <f t="shared" ca="1" si="83"/>
        <v>0</v>
      </c>
      <c r="N87" s="44">
        <f t="shared" ca="1" si="84"/>
        <v>1</v>
      </c>
      <c r="O87" s="45">
        <f t="shared" ca="1" si="85"/>
        <v>5</v>
      </c>
      <c r="P87" s="42" t="str">
        <f>IF(VLOOKUP(F87,Fixture!$B$2:$F$137,5,FALSE)&lt;&gt;0,VLOOKUP(F87,Fixture!$B$2:$F$137,5,FALSE),"")</f>
        <v>La Nueva Era</v>
      </c>
      <c r="Q87" s="44">
        <f ca="1">IF($D87="Finalizado",_xlfn.XLOOKUP(P87,Resumen!$A$6:$A$22,Resumen!AP$6:AP$22,0),"")</f>
        <v>3</v>
      </c>
      <c r="R87" s="44">
        <f ca="1">IF($D87="Finalizado",_xlfn.XLOOKUP(P87,Resumen!$A$6:$A$22,Resumen!AQ$6:AQ$22,0),"")</f>
        <v>0</v>
      </c>
      <c r="S87" s="44">
        <f ca="1">IF($D87="Finalizado",_xlfn.XLOOKUP(P87,Resumen!$A$6:$A$22,Resumen!AR$6:AR$22,0)+_xlfn.XLOOKUP(P87,Resumen!$A$6:$A$22,Resumen!AS$6:AS$22,0),"")</f>
        <v>0</v>
      </c>
      <c r="T87" s="44">
        <f t="shared" ca="1" si="86"/>
        <v>0</v>
      </c>
      <c r="U87" s="44">
        <f t="shared" ca="1" si="89"/>
        <v>0</v>
      </c>
      <c r="V87" s="44">
        <f t="shared" ca="1" si="90"/>
        <v>1</v>
      </c>
      <c r="W87" s="44">
        <f t="shared" ca="1" si="87"/>
        <v>1</v>
      </c>
      <c r="X87" s="45">
        <f t="shared" ca="1" si="88"/>
        <v>0</v>
      </c>
      <c r="Y87" s="207"/>
      <c r="AA87" s="19">
        <v>10</v>
      </c>
      <c r="AB87" s="19">
        <f t="shared" ca="1" si="96"/>
        <v>27006.954714285715</v>
      </c>
      <c r="AC87" s="46" t="str">
        <f>+Equipos!B12</f>
        <v>Boca Juniors</v>
      </c>
      <c r="AD87">
        <f t="shared" ca="1" si="97"/>
        <v>9</v>
      </c>
      <c r="AE87">
        <f t="shared" ca="1" si="98"/>
        <v>0</v>
      </c>
      <c r="AF87">
        <f t="shared" ca="1" si="99"/>
        <v>8</v>
      </c>
      <c r="AG87">
        <f t="shared" ca="1" si="100"/>
        <v>54</v>
      </c>
      <c r="AH87">
        <f t="shared" ca="1" si="101"/>
        <v>48</v>
      </c>
      <c r="AI87">
        <f t="shared" ca="1" si="102"/>
        <v>6</v>
      </c>
      <c r="AJ87">
        <f t="shared" ca="1" si="103"/>
        <v>27</v>
      </c>
      <c r="AK87">
        <f t="shared" ca="1" si="104"/>
        <v>17</v>
      </c>
      <c r="AL87">
        <f t="shared" ca="1" si="105"/>
        <v>140</v>
      </c>
      <c r="AM87">
        <f t="shared" ca="1" si="94"/>
        <v>25008.859176470589</v>
      </c>
      <c r="AQ87" s="1" t="e">
        <f ca="1">+AC66</f>
        <v>#VALUE!</v>
      </c>
      <c r="AR87" s="1" t="e">
        <f ca="1">AK66</f>
        <v>#VALUE!</v>
      </c>
      <c r="AS87" s="1" t="e">
        <f t="shared" ref="AS87:AX88" ca="1" si="109">+AD66</f>
        <v>#VALUE!</v>
      </c>
      <c r="AT87" s="1" t="e">
        <f t="shared" ca="1" si="109"/>
        <v>#VALUE!</v>
      </c>
      <c r="AU87" s="1" t="e">
        <f t="shared" ca="1" si="109"/>
        <v>#VALUE!</v>
      </c>
      <c r="AV87" s="1" t="e">
        <f t="shared" ca="1" si="109"/>
        <v>#VALUE!</v>
      </c>
      <c r="AW87" s="1" t="e">
        <f t="shared" ca="1" si="109"/>
        <v>#VALUE!</v>
      </c>
      <c r="AX87" s="1" t="e">
        <f t="shared" ca="1" si="109"/>
        <v>#VALUE!</v>
      </c>
      <c r="AY87" s="1" t="e">
        <f ca="1">+AL66</f>
        <v>#VALUE!</v>
      </c>
      <c r="AZ87" s="1" t="e">
        <f ca="1">+AJ66</f>
        <v>#VALUE!</v>
      </c>
      <c r="BA87" s="1" t="e">
        <f ca="1">+AM66</f>
        <v>#VALUE!</v>
      </c>
    </row>
    <row r="88" spans="1:53" x14ac:dyDescent="0.25">
      <c r="A88" s="213"/>
      <c r="B88" s="61">
        <f>IF(Fixture!C87,Fixture!C87,"")</f>
        <v>45753</v>
      </c>
      <c r="C88" s="58">
        <v>0.57638888888888895</v>
      </c>
      <c r="D88" s="82" t="str">
        <f t="shared" ca="1" si="106"/>
        <v>Finalizado</v>
      </c>
      <c r="E88" s="207"/>
      <c r="F88" s="43">
        <f>+Fixture!B87</f>
        <v>86</v>
      </c>
      <c r="G88" s="42" t="str">
        <f>IF(VLOOKUP(F88,Fixture!$B$2:$F$137,3,FALSE)&lt;&gt;0,VLOOKUP(F88,Fixture!$B$2:$F$137,3,FALSE),"")</f>
        <v>Atalanta</v>
      </c>
      <c r="H88" s="44">
        <f ca="1">IF($D88="Finalizado",_xlfn.XLOOKUP(G88,Resumen!$A$6:$A$22,Resumen!AP$6:AP$22,0),"")</f>
        <v>5</v>
      </c>
      <c r="I88" s="44">
        <f ca="1">IF($D88="Finalizado",_xlfn.XLOOKUP(G88,Resumen!$A$6:$A$22,Resumen!AQ$6:AQ$22,0),"")</f>
        <v>0</v>
      </c>
      <c r="J88" s="44">
        <f ca="1">IF($D88="Finalizado",_xlfn.XLOOKUP(G88,Resumen!$A$6:$A$22,Resumen!AR$6:AR$22,0)+_xlfn.XLOOKUP(G88,Resumen!$A$6:$A$22,Resumen!AS$6:AS$22,0),"")</f>
        <v>0</v>
      </c>
      <c r="K88" s="44">
        <f t="shared" ca="1" si="93"/>
        <v>0</v>
      </c>
      <c r="L88" s="44">
        <f t="shared" ca="1" si="82"/>
        <v>0</v>
      </c>
      <c r="M88" s="44">
        <f t="shared" ca="1" si="83"/>
        <v>1</v>
      </c>
      <c r="N88" s="44">
        <f t="shared" ca="1" si="84"/>
        <v>1</v>
      </c>
      <c r="O88" s="45">
        <f t="shared" ca="1" si="85"/>
        <v>0</v>
      </c>
      <c r="P88" s="42" t="str">
        <f>IF(VLOOKUP(F88,Fixture!$B$2:$F$137,5,FALSE)&lt;&gt;0,VLOOKUP(F88,Fixture!$B$2:$F$137,5,FALSE),"")</f>
        <v>La Unión FC</v>
      </c>
      <c r="Q88" s="44">
        <f ca="1">IF($D88="Finalizado",_xlfn.XLOOKUP(P88,Resumen!$A$6:$A$22,Resumen!AP$6:AP$22,0),"")</f>
        <v>6</v>
      </c>
      <c r="R88" s="44">
        <f ca="1">IF($D88="Finalizado",_xlfn.XLOOKUP(P88,Resumen!$A$6:$A$22,Resumen!AQ$6:AQ$22,0),"")</f>
        <v>0</v>
      </c>
      <c r="S88" s="44">
        <f ca="1">IF($D88="Finalizado",_xlfn.XLOOKUP(P88,Resumen!$A$6:$A$22,Resumen!AR$6:AR$22,0)+_xlfn.XLOOKUP(P88,Resumen!$A$6:$A$22,Resumen!AS$6:AS$22,0),"")</f>
        <v>0</v>
      </c>
      <c r="T88" s="44">
        <f t="shared" ca="1" si="86"/>
        <v>1</v>
      </c>
      <c r="U88" s="44">
        <f t="shared" ca="1" si="89"/>
        <v>0</v>
      </c>
      <c r="V88" s="44">
        <f t="shared" ca="1" si="90"/>
        <v>0</v>
      </c>
      <c r="W88" s="44">
        <f t="shared" ca="1" si="87"/>
        <v>1</v>
      </c>
      <c r="X88" s="45">
        <f t="shared" ca="1" si="88"/>
        <v>0</v>
      </c>
      <c r="Y88" s="207"/>
      <c r="AA88" s="19">
        <v>11</v>
      </c>
      <c r="AB88" s="19">
        <f t="shared" ca="1" si="96"/>
        <v>18957.64633333333</v>
      </c>
      <c r="AC88" s="46" t="str">
        <f>+Equipos!B13</f>
        <v>Deportivo Fénix</v>
      </c>
      <c r="AD88">
        <f t="shared" ca="1" si="97"/>
        <v>6</v>
      </c>
      <c r="AE88">
        <f t="shared" ca="1" si="98"/>
        <v>1</v>
      </c>
      <c r="AF88">
        <f t="shared" ca="1" si="99"/>
        <v>10</v>
      </c>
      <c r="AG88">
        <f t="shared" ca="1" si="100"/>
        <v>45</v>
      </c>
      <c r="AH88">
        <f t="shared" ca="1" si="101"/>
        <v>88</v>
      </c>
      <c r="AI88">
        <f t="shared" ca="1" si="102"/>
        <v>-43</v>
      </c>
      <c r="AJ88">
        <f t="shared" ca="1" si="103"/>
        <v>19</v>
      </c>
      <c r="AK88">
        <f t="shared" ca="1" si="104"/>
        <v>17</v>
      </c>
      <c r="AL88">
        <f t="shared" ca="1" si="105"/>
        <v>75</v>
      </c>
      <c r="AM88">
        <f t="shared" ca="1" si="94"/>
        <v>22999.655624999999</v>
      </c>
      <c r="AQ88" s="1" t="e">
        <f ca="1">+AC67</f>
        <v>#VALUE!</v>
      </c>
      <c r="AR88" s="1" t="e">
        <f ca="1">AK67</f>
        <v>#VALUE!</v>
      </c>
      <c r="AS88" s="1" t="e">
        <f t="shared" ca="1" si="109"/>
        <v>#VALUE!</v>
      </c>
      <c r="AT88" s="1" t="e">
        <f t="shared" ca="1" si="109"/>
        <v>#VALUE!</v>
      </c>
      <c r="AU88" s="1" t="e">
        <f t="shared" ca="1" si="109"/>
        <v>#VALUE!</v>
      </c>
      <c r="AV88" s="1" t="e">
        <f t="shared" ca="1" si="109"/>
        <v>#VALUE!</v>
      </c>
      <c r="AW88" s="1" t="e">
        <f t="shared" ca="1" si="109"/>
        <v>#VALUE!</v>
      </c>
      <c r="AX88" s="1" t="e">
        <f t="shared" ca="1" si="109"/>
        <v>#VALUE!</v>
      </c>
      <c r="AY88" s="1" t="e">
        <f ca="1">+AL67</f>
        <v>#VALUE!</v>
      </c>
      <c r="AZ88" s="1" t="e">
        <f ca="1">+AJ67</f>
        <v>#VALUE!</v>
      </c>
      <c r="BA88" s="1" t="e">
        <f ca="1">+AM67</f>
        <v>#VALUE!</v>
      </c>
    </row>
    <row r="89" spans="1:53" x14ac:dyDescent="0.25">
      <c r="A89" s="213"/>
      <c r="B89" s="61">
        <f>IF(Fixture!C88,Fixture!C88,"")</f>
        <v>45781</v>
      </c>
      <c r="C89" s="58">
        <v>0.625</v>
      </c>
      <c r="D89" s="82" t="str">
        <f t="shared" ca="1" si="106"/>
        <v>Finalizado</v>
      </c>
      <c r="E89" s="207"/>
      <c r="F89" s="43">
        <f>+Fixture!B88</f>
        <v>87</v>
      </c>
      <c r="G89" s="42" t="str">
        <f>IF(VLOOKUP(F89,Fixture!$B$2:$F$137,3,FALSE)&lt;&gt;0,VLOOKUP(F89,Fixture!$B$2:$F$137,3,FALSE),"")</f>
        <v>Valentín FC</v>
      </c>
      <c r="H89" s="44">
        <f ca="1">IF($D89="Finalizado",_xlfn.XLOOKUP(G89,Resumen!$A$6:$A$22,Resumen!AP$6:AP$22,0),"")</f>
        <v>3</v>
      </c>
      <c r="I89" s="44">
        <f ca="1">IF($D89="Finalizado",_xlfn.XLOOKUP(G89,Resumen!$A$6:$A$22,Resumen!AQ$6:AQ$22,0),"")</f>
        <v>5</v>
      </c>
      <c r="J89" s="44">
        <f ca="1">IF($D89="Finalizado",_xlfn.XLOOKUP(G89,Resumen!$A$6:$A$22,Resumen!AR$6:AR$22,0)+_xlfn.XLOOKUP(G89,Resumen!$A$6:$A$22,Resumen!AS$6:AS$22,0),"")</f>
        <v>0</v>
      </c>
      <c r="K89" s="44">
        <f t="shared" ca="1" si="93"/>
        <v>0</v>
      </c>
      <c r="L89" s="44">
        <f t="shared" ca="1" si="82"/>
        <v>0</v>
      </c>
      <c r="M89" s="44">
        <f t="shared" ca="1" si="83"/>
        <v>1</v>
      </c>
      <c r="N89" s="44">
        <f t="shared" ca="1" si="84"/>
        <v>1</v>
      </c>
      <c r="O89" s="45">
        <f t="shared" ca="1" si="85"/>
        <v>25</v>
      </c>
      <c r="P89" s="42" t="str">
        <f>IF(VLOOKUP(F89,Fixture!$B$2:$F$137,5,FALSE)&lt;&gt;0,VLOOKUP(F89,Fixture!$B$2:$F$137,5,FALSE),"")</f>
        <v>CD El Corozo</v>
      </c>
      <c r="Q89" s="44">
        <f ca="1">IF($D89="Finalizado",_xlfn.XLOOKUP(P89,Resumen!$A$6:$A$22,Resumen!AP$6:AP$22,0),"")</f>
        <v>6</v>
      </c>
      <c r="R89" s="44">
        <f ca="1">IF($D89="Finalizado",_xlfn.XLOOKUP(P89,Resumen!$A$6:$A$22,Resumen!AQ$6:AQ$22,0),"")</f>
        <v>3</v>
      </c>
      <c r="S89" s="44">
        <f ca="1">IF($D89="Finalizado",_xlfn.XLOOKUP(P89,Resumen!$A$6:$A$22,Resumen!AR$6:AR$22,0)+_xlfn.XLOOKUP(P89,Resumen!$A$6:$A$22,Resumen!AS$6:AS$22,0),"")</f>
        <v>0</v>
      </c>
      <c r="T89" s="44">
        <f t="shared" ca="1" si="86"/>
        <v>1</v>
      </c>
      <c r="U89" s="44">
        <f t="shared" ca="1" si="89"/>
        <v>0</v>
      </c>
      <c r="V89" s="44">
        <f t="shared" ca="1" si="90"/>
        <v>0</v>
      </c>
      <c r="W89" s="44">
        <f t="shared" ca="1" si="87"/>
        <v>1</v>
      </c>
      <c r="X89" s="45">
        <f t="shared" ca="1" si="88"/>
        <v>15</v>
      </c>
      <c r="Y89" s="207"/>
      <c r="AA89" s="19">
        <v>12</v>
      </c>
      <c r="AB89" s="19">
        <f t="shared" ca="1" si="96"/>
        <v>2956.1062702702702</v>
      </c>
      <c r="AC89" s="46" t="str">
        <f>+Equipos!B14</f>
        <v>Rayos FC</v>
      </c>
      <c r="AD89">
        <f t="shared" ca="1" si="97"/>
        <v>1</v>
      </c>
      <c r="AE89">
        <f t="shared" ca="1" si="98"/>
        <v>0</v>
      </c>
      <c r="AF89">
        <f t="shared" ca="1" si="99"/>
        <v>14</v>
      </c>
      <c r="AG89">
        <f t="shared" ca="1" si="100"/>
        <v>6</v>
      </c>
      <c r="AH89">
        <f t="shared" ca="1" si="101"/>
        <v>50</v>
      </c>
      <c r="AI89">
        <f t="shared" ca="1" si="102"/>
        <v>-44</v>
      </c>
      <c r="AJ89">
        <f t="shared" ca="1" si="103"/>
        <v>3</v>
      </c>
      <c r="AK89">
        <f t="shared" ca="1" si="104"/>
        <v>15</v>
      </c>
      <c r="AL89">
        <f t="shared" ca="1" si="105"/>
        <v>370</v>
      </c>
      <c r="AM89">
        <f t="shared" ca="1" si="94"/>
        <v>18957.64633333333</v>
      </c>
    </row>
    <row r="90" spans="1:53" ht="16.5" thickBot="1" x14ac:dyDescent="0.3">
      <c r="A90" s="214"/>
      <c r="B90" s="61">
        <f>IF(Fixture!C89,Fixture!C89,"")</f>
        <v>45753</v>
      </c>
      <c r="C90" s="58">
        <v>0.67361111111111105</v>
      </c>
      <c r="D90" s="82" t="str">
        <f t="shared" ca="1" si="106"/>
        <v>Finalizado</v>
      </c>
      <c r="E90" s="208"/>
      <c r="F90" s="90">
        <f>+Fixture!B89</f>
        <v>88</v>
      </c>
      <c r="G90" s="42" t="str">
        <f>IF(VLOOKUP(F90,Fixture!$B$2:$F$137,3,FALSE)&lt;&gt;0,VLOOKUP(F90,Fixture!$B$2:$F$137,3,FALSE),"")</f>
        <v>Rayos FC</v>
      </c>
      <c r="H90" s="48">
        <f ca="1">IF($D90="Finalizado",_xlfn.XLOOKUP(G90,Resumen!$A$6:$A$22,Resumen!AP$6:AP$22,0),"")</f>
        <v>0</v>
      </c>
      <c r="I90" s="48">
        <f ca="1">IF($D90="Finalizado",_xlfn.XLOOKUP(G90,Resumen!$A$6:$A$22,Resumen!AQ$6:AQ$22,0),"")</f>
        <v>0</v>
      </c>
      <c r="J90" s="48">
        <f ca="1">IF($D90="Finalizado",_xlfn.XLOOKUP(G90,Resumen!$A$6:$A$22,Resumen!AR$6:AR$22,0)+_xlfn.XLOOKUP(G90,Resumen!$A$6:$A$22,Resumen!AS$6:AS$22,0),"")</f>
        <v>3</v>
      </c>
      <c r="K90" s="48">
        <f t="shared" ca="1" si="93"/>
        <v>0</v>
      </c>
      <c r="L90" s="48">
        <f t="shared" ca="1" si="82"/>
        <v>0</v>
      </c>
      <c r="M90" s="48">
        <f t="shared" ca="1" si="83"/>
        <v>1</v>
      </c>
      <c r="N90" s="48">
        <f t="shared" ca="1" si="84"/>
        <v>1</v>
      </c>
      <c r="O90" s="49">
        <f t="shared" ca="1" si="85"/>
        <v>30</v>
      </c>
      <c r="P90" s="42" t="str">
        <f>IF(VLOOKUP(F90,Fixture!$B$2:$F$137,5,FALSE)&lt;&gt;0,VLOOKUP(F90,Fixture!$B$2:$F$137,5,FALSE),"")</f>
        <v>Los Amigos</v>
      </c>
      <c r="Q90" s="48">
        <f ca="1">IF($D90="Finalizado",_xlfn.XLOOKUP(P90,Resumen!$A$6:$A$22,Resumen!AP$6:AP$22,0),"")</f>
        <v>3</v>
      </c>
      <c r="R90" s="48">
        <f ca="1">IF($D90="Finalizado",_xlfn.XLOOKUP(P90,Resumen!$A$6:$A$22,Resumen!AQ$6:AQ$22,0),"")</f>
        <v>0</v>
      </c>
      <c r="S90" s="48">
        <f ca="1">IF($D90="Finalizado",_xlfn.XLOOKUP(P90,Resumen!$A$6:$A$22,Resumen!AR$6:AR$22,0)+_xlfn.XLOOKUP(P90,Resumen!$A$6:$A$22,Resumen!AS$6:AS$22,0),"")</f>
        <v>0</v>
      </c>
      <c r="T90" s="44">
        <f t="shared" ca="1" si="86"/>
        <v>1</v>
      </c>
      <c r="U90" s="44">
        <f t="shared" ca="1" si="89"/>
        <v>0</v>
      </c>
      <c r="V90" s="44">
        <f t="shared" ca="1" si="90"/>
        <v>0</v>
      </c>
      <c r="W90" s="48">
        <f t="shared" ca="1" si="87"/>
        <v>1</v>
      </c>
      <c r="X90" s="49">
        <f t="shared" ca="1" si="88"/>
        <v>0</v>
      </c>
      <c r="Y90" s="208"/>
      <c r="AA90" s="19">
        <v>13</v>
      </c>
      <c r="AB90" s="19">
        <f t="shared" ca="1" si="96"/>
        <v>45053.50495238095</v>
      </c>
      <c r="AC90" s="46" t="str">
        <f>+Equipos!B15</f>
        <v>La Unión FC</v>
      </c>
      <c r="AD90">
        <f t="shared" ca="1" si="97"/>
        <v>14</v>
      </c>
      <c r="AE90">
        <f t="shared" ca="1" si="98"/>
        <v>3</v>
      </c>
      <c r="AF90">
        <f t="shared" ca="1" si="99"/>
        <v>1</v>
      </c>
      <c r="AG90">
        <f t="shared" ca="1" si="100"/>
        <v>104</v>
      </c>
      <c r="AH90">
        <f t="shared" ca="1" si="101"/>
        <v>52</v>
      </c>
      <c r="AI90">
        <f t="shared" ca="1" si="102"/>
        <v>52</v>
      </c>
      <c r="AJ90">
        <f t="shared" ca="1" si="103"/>
        <v>45</v>
      </c>
      <c r="AK90">
        <f t="shared" ca="1" si="104"/>
        <v>18</v>
      </c>
      <c r="AL90">
        <f t="shared" ca="1" si="105"/>
        <v>105</v>
      </c>
      <c r="AM90">
        <f t="shared" ca="1" si="94"/>
        <v>13953.437740740741</v>
      </c>
      <c r="AQ90" s="1" t="e">
        <f ca="1">+AC68</f>
        <v>#VALUE!</v>
      </c>
      <c r="AR90" s="1" t="e">
        <f ca="1">AK68</f>
        <v>#VALUE!</v>
      </c>
      <c r="AS90" s="1" t="e">
        <f t="shared" ref="AS90:AX93" ca="1" si="110">+AD68</f>
        <v>#VALUE!</v>
      </c>
      <c r="AT90" s="1" t="e">
        <f t="shared" ca="1" si="110"/>
        <v>#VALUE!</v>
      </c>
      <c r="AU90" s="1" t="e">
        <f t="shared" ca="1" si="110"/>
        <v>#VALUE!</v>
      </c>
      <c r="AV90" s="1" t="e">
        <f t="shared" ca="1" si="110"/>
        <v>#VALUE!</v>
      </c>
      <c r="AW90" s="1" t="e">
        <f t="shared" ca="1" si="110"/>
        <v>#VALUE!</v>
      </c>
      <c r="AX90" s="1" t="e">
        <f t="shared" ca="1" si="110"/>
        <v>#VALUE!</v>
      </c>
      <c r="AY90" s="1" t="e">
        <f ca="1">+AL68</f>
        <v>#VALUE!</v>
      </c>
      <c r="AZ90" s="1" t="e">
        <f ca="1">+AJ68</f>
        <v>#VALUE!</v>
      </c>
      <c r="BA90" s="1" t="e">
        <f ca="1">+AM68</f>
        <v>#VALUE!</v>
      </c>
    </row>
    <row r="91" spans="1:53" x14ac:dyDescent="0.25">
      <c r="A91" s="212" t="s">
        <v>16</v>
      </c>
      <c r="B91" s="60">
        <f>IF(Fixture!C90,Fixture!C90,"")</f>
        <v>45774</v>
      </c>
      <c r="C91" s="58">
        <v>0.33333333333333331</v>
      </c>
      <c r="D91" s="82" t="str">
        <f t="shared" ca="1" si="106"/>
        <v>Finalizado</v>
      </c>
      <c r="E91" s="206" t="s">
        <v>114</v>
      </c>
      <c r="F91" s="43">
        <f>+Fixture!B90</f>
        <v>89</v>
      </c>
      <c r="G91" s="42" t="str">
        <f>IF(VLOOKUP(F91,Fixture!$B$2:$F$137,3,FALSE)&lt;&gt;0,VLOOKUP(F91,Fixture!$B$2:$F$137,3,FALSE),"")</f>
        <v>Hojas Anchas</v>
      </c>
      <c r="H91" s="44">
        <f ca="1">IF($D91="Finalizado",_xlfn.XLOOKUP(G91,Resumen!$A$6:$A$22,Resumen!AT$6:AT$22,0),"")</f>
        <v>0</v>
      </c>
      <c r="I91" s="44">
        <f ca="1">IF($D91="Finalizado",_xlfn.XLOOKUP(G91,Resumen!$A$6:$A$22,Resumen!AU$6:AU$22,0),"")</f>
        <v>1</v>
      </c>
      <c r="J91" s="44">
        <f ca="1">IF($D91="Finalizado",_xlfn.XLOOKUP(G91,Resumen!$A$6:$A$22,Resumen!AV$6:AV$22,0)+_xlfn.XLOOKUP(G91,Resumen!$A$6:$A$22,Resumen!AW$6:AW$22,0),"")</f>
        <v>0</v>
      </c>
      <c r="K91" s="44">
        <f t="shared" ca="1" si="93"/>
        <v>0</v>
      </c>
      <c r="L91" s="44">
        <f t="shared" ca="1" si="82"/>
        <v>0</v>
      </c>
      <c r="M91" s="44">
        <f t="shared" ca="1" si="83"/>
        <v>1</v>
      </c>
      <c r="N91" s="44">
        <f t="shared" ca="1" si="84"/>
        <v>1</v>
      </c>
      <c r="O91" s="45">
        <f t="shared" ca="1" si="85"/>
        <v>5</v>
      </c>
      <c r="P91" s="42" t="str">
        <f>IF(VLOOKUP(F91,Fixture!$B$2:$F$137,5,FALSE)&lt;&gt;0,VLOOKUP(F91,Fixture!$B$2:$F$137,5,FALSE),"")</f>
        <v>Ron Star</v>
      </c>
      <c r="Q91" s="44">
        <f ca="1">IF($D91="Finalizado",_xlfn.XLOOKUP(P91,Resumen!$A$6:$A$22,Resumen!AT$6:AT$22,0),"")</f>
        <v>5</v>
      </c>
      <c r="R91" s="44">
        <f ca="1">IF($D91="Finalizado",_xlfn.XLOOKUP(P91,Resumen!$A$6:$A$22,Resumen!AU$6:AU$22,0),"")</f>
        <v>0</v>
      </c>
      <c r="S91" s="44">
        <f ca="1">IF($D91="Finalizado",_xlfn.XLOOKUP(P91,Resumen!$A$6:$A$22,Resumen!AV$6:AV$22,0)+_xlfn.XLOOKUP(P91,Resumen!$A$6:$A$22,Resumen!AW$6:AW$22,0),"")</f>
        <v>0</v>
      </c>
      <c r="T91" s="44">
        <f t="shared" ca="1" si="86"/>
        <v>1</v>
      </c>
      <c r="U91" s="44">
        <f t="shared" ca="1" si="89"/>
        <v>0</v>
      </c>
      <c r="V91" s="44">
        <f t="shared" ca="1" si="90"/>
        <v>0</v>
      </c>
      <c r="W91" s="44">
        <f t="shared" ca="1" si="87"/>
        <v>1</v>
      </c>
      <c r="X91" s="45">
        <f t="shared" ca="1" si="88"/>
        <v>0</v>
      </c>
      <c r="Y91" s="206" t="str">
        <f>+A91</f>
        <v>Fecha 12</v>
      </c>
      <c r="AA91" s="19">
        <v>14</v>
      </c>
      <c r="AB91" s="19">
        <f t="shared" ca="1" si="96"/>
        <v>13953.437740740741</v>
      </c>
      <c r="AC91" s="46" t="str">
        <f>+Equipos!B16</f>
        <v>Los Aliados</v>
      </c>
      <c r="AD91">
        <f t="shared" ca="1" si="97"/>
        <v>4</v>
      </c>
      <c r="AE91">
        <f t="shared" ca="1" si="98"/>
        <v>2</v>
      </c>
      <c r="AF91">
        <f t="shared" ca="1" si="99"/>
        <v>12</v>
      </c>
      <c r="AG91">
        <f t="shared" ca="1" si="100"/>
        <v>37</v>
      </c>
      <c r="AH91">
        <f t="shared" ca="1" si="101"/>
        <v>84</v>
      </c>
      <c r="AI91">
        <f t="shared" ca="1" si="102"/>
        <v>-47</v>
      </c>
      <c r="AJ91">
        <f t="shared" ca="1" si="103"/>
        <v>14</v>
      </c>
      <c r="AK91">
        <f t="shared" ca="1" si="104"/>
        <v>18</v>
      </c>
      <c r="AL91">
        <f t="shared" ca="1" si="105"/>
        <v>135</v>
      </c>
      <c r="AM91">
        <f t="shared" ca="1" si="94"/>
        <v>8970.2374285714286</v>
      </c>
      <c r="AQ91" s="1" t="e">
        <f ca="1">+AC69</f>
        <v>#VALUE!</v>
      </c>
      <c r="AR91" s="1" t="e">
        <f ca="1">AK69</f>
        <v>#VALUE!</v>
      </c>
      <c r="AS91" s="1" t="e">
        <f t="shared" ca="1" si="110"/>
        <v>#VALUE!</v>
      </c>
      <c r="AT91" s="1" t="e">
        <f t="shared" ca="1" si="110"/>
        <v>#VALUE!</v>
      </c>
      <c r="AU91" s="1" t="e">
        <f t="shared" ca="1" si="110"/>
        <v>#VALUE!</v>
      </c>
      <c r="AV91" s="1" t="e">
        <f t="shared" ca="1" si="110"/>
        <v>#VALUE!</v>
      </c>
      <c r="AW91" s="1" t="e">
        <f t="shared" ca="1" si="110"/>
        <v>#VALUE!</v>
      </c>
      <c r="AX91" s="1" t="e">
        <f t="shared" ca="1" si="110"/>
        <v>#VALUE!</v>
      </c>
      <c r="AY91" s="1" t="e">
        <f ca="1">+AL69</f>
        <v>#VALUE!</v>
      </c>
      <c r="AZ91" s="1" t="e">
        <f ca="1">+AJ69</f>
        <v>#VALUE!</v>
      </c>
      <c r="BA91" s="1" t="e">
        <f ca="1">+AM69</f>
        <v>#VALUE!</v>
      </c>
    </row>
    <row r="92" spans="1:53" x14ac:dyDescent="0.25">
      <c r="A92" s="213"/>
      <c r="B92" s="61">
        <f>IF(Fixture!C91,Fixture!C91,"")</f>
        <v>45774</v>
      </c>
      <c r="C92" s="58">
        <v>0.38194444444444442</v>
      </c>
      <c r="D92" s="82" t="str">
        <f t="shared" ca="1" si="106"/>
        <v>Finalizado</v>
      </c>
      <c r="E92" s="207"/>
      <c r="F92" s="43">
        <f>+Fixture!B91</f>
        <v>90</v>
      </c>
      <c r="G92" s="42" t="str">
        <f>IF(VLOOKUP(F92,Fixture!$B$2:$F$137,3,FALSE)&lt;&gt;0,VLOOKUP(F92,Fixture!$B$2:$F$137,3,FALSE),"")</f>
        <v>Los Aliados</v>
      </c>
      <c r="H92" s="44">
        <f ca="1">IF($D92="Finalizado",_xlfn.XLOOKUP(G92,Resumen!$A$6:$A$22,Resumen!AT$6:AT$22,0),"")</f>
        <v>3</v>
      </c>
      <c r="I92" s="44">
        <f ca="1">IF($D92="Finalizado",_xlfn.XLOOKUP(G92,Resumen!$A$6:$A$22,Resumen!AU$6:AU$22,0),"")</f>
        <v>0</v>
      </c>
      <c r="J92" s="44">
        <f ca="1">IF($D92="Finalizado",_xlfn.XLOOKUP(G92,Resumen!$A$6:$A$22,Resumen!AV$6:AV$22,0)+_xlfn.XLOOKUP(G92,Resumen!$A$6:$A$22,Resumen!AW$6:AW$22,0),"")</f>
        <v>0</v>
      </c>
      <c r="K92" s="44">
        <f t="shared" ca="1" si="93"/>
        <v>1</v>
      </c>
      <c r="L92" s="44">
        <f t="shared" ca="1" si="82"/>
        <v>0</v>
      </c>
      <c r="M92" s="44">
        <f t="shared" ca="1" si="83"/>
        <v>0</v>
      </c>
      <c r="N92" s="44">
        <f t="shared" ca="1" si="84"/>
        <v>1</v>
      </c>
      <c r="O92" s="45">
        <f t="shared" ca="1" si="85"/>
        <v>0</v>
      </c>
      <c r="P92" s="42" t="str">
        <f>IF(VLOOKUP(F92,Fixture!$B$2:$F$137,5,FALSE)&lt;&gt;0,VLOOKUP(F92,Fixture!$B$2:$F$137,5,FALSE),"")</f>
        <v>Villanueva</v>
      </c>
      <c r="Q92" s="44">
        <f ca="1">IF($D92="Finalizado",_xlfn.XLOOKUP(P92,Resumen!$A$6:$A$22,Resumen!AT$6:AT$22,0),"")</f>
        <v>0</v>
      </c>
      <c r="R92" s="44">
        <f ca="1">IF($D92="Finalizado",_xlfn.XLOOKUP(P92,Resumen!$A$6:$A$22,Resumen!AU$6:AU$22,0),"")</f>
        <v>0</v>
      </c>
      <c r="S92" s="44">
        <f ca="1">IF($D92="Finalizado",_xlfn.XLOOKUP(P92,Resumen!$A$6:$A$22,Resumen!AV$6:AV$22,0)+_xlfn.XLOOKUP(P92,Resumen!$A$6:$A$22,Resumen!AW$6:AW$22,0),"")</f>
        <v>3</v>
      </c>
      <c r="T92" s="44">
        <f t="shared" ca="1" si="86"/>
        <v>0</v>
      </c>
      <c r="U92" s="44">
        <f t="shared" ca="1" si="89"/>
        <v>0</v>
      </c>
      <c r="V92" s="44">
        <f t="shared" ca="1" si="90"/>
        <v>1</v>
      </c>
      <c r="W92" s="44">
        <f t="shared" ca="1" si="87"/>
        <v>1</v>
      </c>
      <c r="X92" s="45">
        <f t="shared" ca="1" si="88"/>
        <v>30</v>
      </c>
      <c r="Y92" s="207"/>
      <c r="AA92" s="19">
        <v>15</v>
      </c>
      <c r="AB92" s="19">
        <f t="shared" ca="1" si="96"/>
        <v>8970.2374285714286</v>
      </c>
      <c r="AC92" s="46" t="str">
        <f>+Equipos!B17</f>
        <v>Atalanta</v>
      </c>
      <c r="AD92">
        <f t="shared" ca="1" si="97"/>
        <v>2</v>
      </c>
      <c r="AE92">
        <f t="shared" ca="1" si="98"/>
        <v>3</v>
      </c>
      <c r="AF92">
        <f t="shared" ca="1" si="99"/>
        <v>13</v>
      </c>
      <c r="AG92">
        <f t="shared" ca="1" si="100"/>
        <v>36</v>
      </c>
      <c r="AH92">
        <f t="shared" ca="1" si="101"/>
        <v>66</v>
      </c>
      <c r="AI92">
        <f t="shared" ca="1" si="102"/>
        <v>-30</v>
      </c>
      <c r="AJ92">
        <f t="shared" ca="1" si="103"/>
        <v>9</v>
      </c>
      <c r="AK92">
        <f t="shared" ca="1" si="104"/>
        <v>18</v>
      </c>
      <c r="AL92">
        <f t="shared" ca="1" si="105"/>
        <v>70</v>
      </c>
      <c r="AM92">
        <f t="shared" ca="1" si="94"/>
        <v>8917.3362222222204</v>
      </c>
      <c r="AQ92" s="1" t="e">
        <f ca="1">+AC70</f>
        <v>#VALUE!</v>
      </c>
      <c r="AR92" s="1" t="e">
        <f ca="1">AK70</f>
        <v>#VALUE!</v>
      </c>
      <c r="AS92" s="1" t="e">
        <f t="shared" ca="1" si="110"/>
        <v>#VALUE!</v>
      </c>
      <c r="AT92" s="1" t="e">
        <f t="shared" ca="1" si="110"/>
        <v>#VALUE!</v>
      </c>
      <c r="AU92" s="1" t="e">
        <f t="shared" ca="1" si="110"/>
        <v>#VALUE!</v>
      </c>
      <c r="AV92" s="1" t="e">
        <f t="shared" ca="1" si="110"/>
        <v>#VALUE!</v>
      </c>
      <c r="AW92" s="1" t="e">
        <f t="shared" ca="1" si="110"/>
        <v>#VALUE!</v>
      </c>
      <c r="AX92" s="1" t="e">
        <f t="shared" ca="1" si="110"/>
        <v>#VALUE!</v>
      </c>
      <c r="AY92" s="1" t="e">
        <f ca="1">+AL70</f>
        <v>#VALUE!</v>
      </c>
      <c r="AZ92" s="1" t="e">
        <f ca="1">+AJ70</f>
        <v>#VALUE!</v>
      </c>
      <c r="BA92" s="1" t="e">
        <f ca="1">+AM70</f>
        <v>#VALUE!</v>
      </c>
    </row>
    <row r="93" spans="1:53" x14ac:dyDescent="0.25">
      <c r="A93" s="213"/>
      <c r="B93" s="61">
        <f>IF(Fixture!C92,Fixture!C92,"")</f>
        <v>45774</v>
      </c>
      <c r="C93" s="58">
        <v>0.43055555555555602</v>
      </c>
      <c r="D93" s="82" t="str">
        <f ca="1">IF(OR(B93="",C93="",B93&lt;$A$1),"Finalizado",IF(B93=$A$1,IF(AND(C93&lt;=$D$1,$D$1&lt;=(C93+0.08333333333)),"En juego",IF($A$1&lt;C93,"HOY!","Finalizado")),IF($D$1&gt;B93,"Finalizado","Proximamente..")))</f>
        <v>Finalizado</v>
      </c>
      <c r="E93" s="207"/>
      <c r="F93" s="43">
        <f>+Fixture!B92</f>
        <v>91</v>
      </c>
      <c r="G93" s="42" t="str">
        <f>IF(VLOOKUP(F93,Fixture!$B$2:$F$137,3,FALSE)&lt;&gt;0,VLOOKUP(F93,Fixture!$B$2:$F$137,3,FALSE),"")</f>
        <v>Boca Juniors</v>
      </c>
      <c r="H93" s="44">
        <f ca="1">IF($D93="Finalizado",_xlfn.XLOOKUP(G93,Resumen!$A$6:$A$22,Resumen!AT$6:AT$22,0),"")</f>
        <v>1</v>
      </c>
      <c r="I93" s="44">
        <f ca="1">IF($D93="Finalizado",_xlfn.XLOOKUP(G93,Resumen!$A$6:$A$22,Resumen!AU$6:AU$22,0),"")</f>
        <v>3</v>
      </c>
      <c r="J93" s="44">
        <f ca="1">IF($D93="Finalizado",_xlfn.XLOOKUP(G93,Resumen!$A$6:$A$22,Resumen!AV$6:AV$22,0)+_xlfn.XLOOKUP(G93,Resumen!$A$6:$A$22,Resumen!AW$6:AW$22,0),"")</f>
        <v>0</v>
      </c>
      <c r="K93" s="44">
        <f t="shared" ca="1" si="93"/>
        <v>0</v>
      </c>
      <c r="L93" s="44">
        <f t="shared" ca="1" si="82"/>
        <v>0</v>
      </c>
      <c r="M93" s="44">
        <f t="shared" ca="1" si="83"/>
        <v>1</v>
      </c>
      <c r="N93" s="44">
        <f t="shared" ca="1" si="84"/>
        <v>1</v>
      </c>
      <c r="O93" s="45">
        <f t="shared" ca="1" si="85"/>
        <v>15</v>
      </c>
      <c r="P93" s="42" t="str">
        <f>IF(VLOOKUP(F93,Fixture!$B$2:$F$137,5,FALSE)&lt;&gt;0,VLOOKUP(F93,Fixture!$B$2:$F$137,5,FALSE),"")</f>
        <v>Konami</v>
      </c>
      <c r="Q93" s="44">
        <f ca="1">IF($D93="Finalizado",_xlfn.XLOOKUP(P93,Resumen!$A$6:$A$22,Resumen!AT$6:AT$22,0),"")</f>
        <v>3</v>
      </c>
      <c r="R93" s="44">
        <f ca="1">IF($D93="Finalizado",_xlfn.XLOOKUP(P93,Resumen!$A$6:$A$22,Resumen!AU$6:AU$22,0),"")</f>
        <v>0</v>
      </c>
      <c r="S93" s="44">
        <f ca="1">IF($D93="Finalizado",_xlfn.XLOOKUP(P93,Resumen!$A$6:$A$22,Resumen!AV$6:AV$22,0)+_xlfn.XLOOKUP(P93,Resumen!$A$6:$A$22,Resumen!AW$6:AW$22,0),"")</f>
        <v>0</v>
      </c>
      <c r="T93" s="44">
        <f t="shared" ca="1" si="86"/>
        <v>1</v>
      </c>
      <c r="U93" s="44">
        <f t="shared" ca="1" si="89"/>
        <v>0</v>
      </c>
      <c r="V93" s="44">
        <f t="shared" ca="1" si="90"/>
        <v>0</v>
      </c>
      <c r="W93" s="44">
        <f t="shared" ca="1" si="87"/>
        <v>1</v>
      </c>
      <c r="X93" s="45">
        <f t="shared" ca="1" si="88"/>
        <v>0</v>
      </c>
      <c r="Y93" s="207"/>
      <c r="AA93" s="19">
        <v>16</v>
      </c>
      <c r="AB93" s="19">
        <f t="shared" ca="1" si="96"/>
        <v>27026.866111111111</v>
      </c>
      <c r="AC93" s="46" t="str">
        <f>+Equipos!B18</f>
        <v>CD El Corozo</v>
      </c>
      <c r="AD93">
        <f t="shared" ca="1" si="97"/>
        <v>8</v>
      </c>
      <c r="AE93">
        <f t="shared" ca="1" si="98"/>
        <v>3</v>
      </c>
      <c r="AF93">
        <f t="shared" ca="1" si="99"/>
        <v>5</v>
      </c>
      <c r="AG93">
        <f t="shared" ca="1" si="100"/>
        <v>65</v>
      </c>
      <c r="AH93">
        <f t="shared" ca="1" si="101"/>
        <v>39</v>
      </c>
      <c r="AI93">
        <f t="shared" ca="1" si="102"/>
        <v>26</v>
      </c>
      <c r="AJ93">
        <f t="shared" ca="1" si="103"/>
        <v>27</v>
      </c>
      <c r="AK93">
        <f t="shared" ca="1" si="104"/>
        <v>16</v>
      </c>
      <c r="AL93">
        <f t="shared" ca="1" si="105"/>
        <v>90</v>
      </c>
      <c r="AM93">
        <f ca="1">LARGE($AB$78:$AB$93,AA93)</f>
        <v>2956.1062702702702</v>
      </c>
      <c r="AQ93" s="1" t="e">
        <f ca="1">+AC71</f>
        <v>#VALUE!</v>
      </c>
      <c r="AR93" s="1" t="e">
        <f ca="1">AK71</f>
        <v>#VALUE!</v>
      </c>
      <c r="AS93" s="1" t="e">
        <f t="shared" ca="1" si="110"/>
        <v>#VALUE!</v>
      </c>
      <c r="AT93" s="1" t="e">
        <f t="shared" ca="1" si="110"/>
        <v>#VALUE!</v>
      </c>
      <c r="AU93" s="1" t="e">
        <f t="shared" ca="1" si="110"/>
        <v>#VALUE!</v>
      </c>
      <c r="AV93" s="1" t="e">
        <f t="shared" ca="1" si="110"/>
        <v>#VALUE!</v>
      </c>
      <c r="AW93" s="1" t="e">
        <f t="shared" ca="1" si="110"/>
        <v>#VALUE!</v>
      </c>
      <c r="AX93" s="1" t="e">
        <f t="shared" ca="1" si="110"/>
        <v>#VALUE!</v>
      </c>
      <c r="AY93" s="1" t="e">
        <f ca="1">+AL71</f>
        <v>#VALUE!</v>
      </c>
      <c r="AZ93" s="1" t="e">
        <f ca="1">+AJ71</f>
        <v>#VALUE!</v>
      </c>
      <c r="BA93" s="1" t="e">
        <f ca="1">+AM71</f>
        <v>#VALUE!</v>
      </c>
    </row>
    <row r="94" spans="1:53" x14ac:dyDescent="0.25">
      <c r="A94" s="213"/>
      <c r="B94" s="61">
        <f>IF(Fixture!C93,Fixture!C93,"")</f>
        <v>45774</v>
      </c>
      <c r="C94" s="58">
        <v>0.47916666666666602</v>
      </c>
      <c r="D94" s="82" t="str">
        <f t="shared" ca="1" si="106"/>
        <v>Finalizado</v>
      </c>
      <c r="E94" s="207"/>
      <c r="F94" s="43">
        <f>+Fixture!B93</f>
        <v>92</v>
      </c>
      <c r="G94" s="42" t="str">
        <f>IF(VLOOKUP(F94,Fixture!$B$2:$F$137,3,FALSE)&lt;&gt;0,VLOOKUP(F94,Fixture!$B$2:$F$137,3,FALSE),"")</f>
        <v>Deportivo Fénix</v>
      </c>
      <c r="H94" s="44">
        <f ca="1">IF($D94="Finalizado",_xlfn.XLOOKUP(G94,Resumen!$A$6:$A$22,Resumen!AT$6:AT$22,0),"")</f>
        <v>2</v>
      </c>
      <c r="I94" s="44">
        <f ca="1">IF($D94="Finalizado",_xlfn.XLOOKUP(G94,Resumen!$A$6:$A$22,Resumen!AU$6:AU$22,0),"")</f>
        <v>0</v>
      </c>
      <c r="J94" s="44">
        <f ca="1">IF($D94="Finalizado",_xlfn.XLOOKUP(G94,Resumen!$A$6:$A$22,Resumen!AV$6:AV$22,0)+_xlfn.XLOOKUP(G94,Resumen!$A$6:$A$22,Resumen!AW$6:AW$22,0),"")</f>
        <v>0</v>
      </c>
      <c r="K94" s="44">
        <f t="shared" ca="1" si="93"/>
        <v>0</v>
      </c>
      <c r="L94" s="44">
        <f t="shared" ca="1" si="82"/>
        <v>0</v>
      </c>
      <c r="M94" s="44">
        <f t="shared" ca="1" si="83"/>
        <v>1</v>
      </c>
      <c r="N94" s="44">
        <f t="shared" ca="1" si="84"/>
        <v>1</v>
      </c>
      <c r="O94" s="45">
        <f t="shared" ca="1" si="85"/>
        <v>0</v>
      </c>
      <c r="P94" s="42" t="str">
        <f>IF(VLOOKUP(F94,Fixture!$B$2:$F$137,5,FALSE)&lt;&gt;0,VLOOKUP(F94,Fixture!$B$2:$F$137,5,FALSE),"")</f>
        <v>La Amistad</v>
      </c>
      <c r="Q94" s="44">
        <f ca="1">IF($D94="Finalizado",_xlfn.XLOOKUP(P94,Resumen!$A$6:$A$22,Resumen!AT$6:AT$22,0),"")</f>
        <v>7</v>
      </c>
      <c r="R94" s="44">
        <f ca="1">IF($D94="Finalizado",_xlfn.XLOOKUP(P94,Resumen!$A$6:$A$22,Resumen!AU$6:AU$22,0),"")</f>
        <v>0</v>
      </c>
      <c r="S94" s="44">
        <f ca="1">IF($D94="Finalizado",_xlfn.XLOOKUP(P94,Resumen!$A$6:$A$22,Resumen!AV$6:AV$22,0)+_xlfn.XLOOKUP(P94,Resumen!$A$6:$A$22,Resumen!AW$6:AW$22,0),"")</f>
        <v>0</v>
      </c>
      <c r="T94" s="44">
        <f t="shared" ca="1" si="86"/>
        <v>1</v>
      </c>
      <c r="U94" s="44">
        <f t="shared" ca="1" si="89"/>
        <v>0</v>
      </c>
      <c r="V94" s="44">
        <f t="shared" ca="1" si="90"/>
        <v>0</v>
      </c>
      <c r="W94" s="44">
        <f t="shared" ca="1" si="87"/>
        <v>1</v>
      </c>
      <c r="X94" s="45">
        <f t="shared" ca="1" si="88"/>
        <v>0</v>
      </c>
      <c r="Y94" s="207"/>
      <c r="AA94" s="19"/>
      <c r="AB94" s="19"/>
      <c r="AC94" s="46"/>
      <c r="AD94"/>
      <c r="AE94"/>
      <c r="AF94"/>
      <c r="AG94"/>
      <c r="AH94"/>
      <c r="AI94"/>
      <c r="AJ94"/>
      <c r="AK94"/>
      <c r="AL94"/>
      <c r="AM94"/>
      <c r="AQ94" s="1" t="e">
        <f ca="1">+AC73</f>
        <v>#VALUE!</v>
      </c>
      <c r="AR94" s="1" t="e">
        <f ca="1">AK73</f>
        <v>#VALUE!</v>
      </c>
      <c r="AS94" s="1" t="e">
        <f t="shared" ref="AS94:AX94" ca="1" si="111">+AD73</f>
        <v>#VALUE!</v>
      </c>
      <c r="AT94" s="1" t="e">
        <f t="shared" ca="1" si="111"/>
        <v>#VALUE!</v>
      </c>
      <c r="AU94" s="1" t="e">
        <f t="shared" ca="1" si="111"/>
        <v>#VALUE!</v>
      </c>
      <c r="AV94" s="1" t="e">
        <f t="shared" ca="1" si="111"/>
        <v>#VALUE!</v>
      </c>
      <c r="AW94" s="1" t="e">
        <f t="shared" ca="1" si="111"/>
        <v>#VALUE!</v>
      </c>
      <c r="AX94" s="1" t="e">
        <f t="shared" ca="1" si="111"/>
        <v>#VALUE!</v>
      </c>
      <c r="AY94" s="1" t="e">
        <f ca="1">+AL73</f>
        <v>#VALUE!</v>
      </c>
      <c r="AZ94" s="1" t="e">
        <f ca="1">+AJ73</f>
        <v>#VALUE!</v>
      </c>
      <c r="BA94" s="1" t="e">
        <f ca="1">+AM73</f>
        <v>#VALUE!</v>
      </c>
    </row>
    <row r="95" spans="1:53" x14ac:dyDescent="0.25">
      <c r="A95" s="213"/>
      <c r="B95" s="61">
        <f>IF(Fixture!C94,Fixture!C94,"")</f>
        <v>45774</v>
      </c>
      <c r="C95" s="58">
        <v>0.52777777777777701</v>
      </c>
      <c r="D95" s="82" t="str">
        <f t="shared" ca="1" si="106"/>
        <v>Finalizado</v>
      </c>
      <c r="E95" s="207"/>
      <c r="F95" s="43">
        <f>+Fixture!B94</f>
        <v>93</v>
      </c>
      <c r="G95" s="42" t="str">
        <f>IF(VLOOKUP(F95,Fixture!$B$2:$F$137,3,FALSE)&lt;&gt;0,VLOOKUP(F95,Fixture!$B$2:$F$137,3,FALSE),"")</f>
        <v>La Unión FC</v>
      </c>
      <c r="H95" s="44">
        <f ca="1">IF($D95="Finalizado",_xlfn.XLOOKUP(G95,Resumen!$A$6:$A$22,Resumen!AT$6:AT$22,0),"")</f>
        <v>5</v>
      </c>
      <c r="I95" s="44">
        <f ca="1">IF($D95="Finalizado",_xlfn.XLOOKUP(G95,Resumen!$A$6:$A$22,Resumen!AU$6:AU$22,0),"")</f>
        <v>1</v>
      </c>
      <c r="J95" s="44">
        <f ca="1">IF($D95="Finalizado",_xlfn.XLOOKUP(G95,Resumen!$A$6:$A$22,Resumen!AV$6:AV$22,0)+_xlfn.XLOOKUP(G95,Resumen!$A$6:$A$22,Resumen!AW$6:AW$22,0),"")</f>
        <v>0</v>
      </c>
      <c r="K95" s="44">
        <f t="shared" ca="1" si="93"/>
        <v>0</v>
      </c>
      <c r="L95" s="44">
        <f t="shared" ca="1" si="82"/>
        <v>1</v>
      </c>
      <c r="M95" s="44">
        <f t="shared" ca="1" si="83"/>
        <v>0</v>
      </c>
      <c r="N95" s="44">
        <f t="shared" ca="1" si="84"/>
        <v>1</v>
      </c>
      <c r="O95" s="45">
        <f t="shared" ca="1" si="85"/>
        <v>5</v>
      </c>
      <c r="P95" s="42" t="str">
        <f>IF(VLOOKUP(F95,Fixture!$B$2:$F$137,5,FALSE)&lt;&gt;0,VLOOKUP(F95,Fixture!$B$2:$F$137,5,FALSE),"")</f>
        <v>Los Amigos</v>
      </c>
      <c r="Q95" s="44">
        <f ca="1">IF($D95="Finalizado",_xlfn.XLOOKUP(P95,Resumen!$A$6:$A$22,Resumen!AT$6:AT$22,0),"")</f>
        <v>5</v>
      </c>
      <c r="R95" s="44">
        <f ca="1">IF($D95="Finalizado",_xlfn.XLOOKUP(P95,Resumen!$A$6:$A$22,Resumen!AU$6:AU$22,0),"")</f>
        <v>1</v>
      </c>
      <c r="S95" s="44">
        <f ca="1">IF($D95="Finalizado",_xlfn.XLOOKUP(P95,Resumen!$A$6:$A$22,Resumen!AV$6:AV$22,0)+_xlfn.XLOOKUP(P95,Resumen!$A$6:$A$22,Resumen!AW$6:AW$22,0),"")</f>
        <v>0</v>
      </c>
      <c r="T95" s="44">
        <f t="shared" ca="1" si="86"/>
        <v>0</v>
      </c>
      <c r="U95" s="44">
        <f t="shared" ca="1" si="89"/>
        <v>1</v>
      </c>
      <c r="V95" s="44">
        <f t="shared" ca="1" si="90"/>
        <v>0</v>
      </c>
      <c r="W95" s="44">
        <f t="shared" ca="1" si="87"/>
        <v>1</v>
      </c>
      <c r="X95" s="45">
        <f t="shared" ca="1" si="88"/>
        <v>5</v>
      </c>
      <c r="Y95" s="207"/>
    </row>
    <row r="96" spans="1:53" x14ac:dyDescent="0.25">
      <c r="A96" s="213"/>
      <c r="B96" s="61">
        <f>IF(Fixture!C95,Fixture!C95,"")</f>
        <v>45774</v>
      </c>
      <c r="C96" s="58">
        <v>0.57638888888888895</v>
      </c>
      <c r="D96" s="82" t="str">
        <f t="shared" ca="1" si="106"/>
        <v>Finalizado</v>
      </c>
      <c r="E96" s="207"/>
      <c r="F96" s="43">
        <f>+Fixture!B95</f>
        <v>94</v>
      </c>
      <c r="G96" s="42" t="str">
        <f>IF(VLOOKUP(F96,Fixture!$B$2:$F$137,3,FALSE)&lt;&gt;0,VLOOKUP(F96,Fixture!$B$2:$F$137,3,FALSE),"")</f>
        <v>Valentín FC</v>
      </c>
      <c r="H96" s="44">
        <f ca="1">IF($D96="Finalizado",_xlfn.XLOOKUP(G96,Resumen!$A$6:$A$22,Resumen!AT$6:AT$22,0),"")</f>
        <v>3</v>
      </c>
      <c r="I96" s="44">
        <f ca="1">IF($D96="Finalizado",_xlfn.XLOOKUP(G96,Resumen!$A$6:$A$22,Resumen!AU$6:AU$22,0),"")</f>
        <v>0</v>
      </c>
      <c r="J96" s="44">
        <f ca="1">IF($D96="Finalizado",_xlfn.XLOOKUP(G96,Resumen!$A$6:$A$22,Resumen!AV$6:AV$22,0)+_xlfn.XLOOKUP(G96,Resumen!$A$6:$A$22,Resumen!AW$6:AW$22,0),"")</f>
        <v>0</v>
      </c>
      <c r="K96" s="44">
        <f t="shared" ca="1" si="93"/>
        <v>0</v>
      </c>
      <c r="L96" s="44">
        <f t="shared" ca="1" si="82"/>
        <v>0</v>
      </c>
      <c r="M96" s="44">
        <f t="shared" ca="1" si="83"/>
        <v>1</v>
      </c>
      <c r="N96" s="44">
        <f t="shared" ca="1" si="84"/>
        <v>1</v>
      </c>
      <c r="O96" s="45">
        <f t="shared" ca="1" si="85"/>
        <v>0</v>
      </c>
      <c r="P96" s="42" t="str">
        <f>IF(VLOOKUP(F96,Fixture!$B$2:$F$137,5,FALSE)&lt;&gt;0,VLOOKUP(F96,Fixture!$B$2:$F$137,5,FALSE),"")</f>
        <v>Amenadim</v>
      </c>
      <c r="Q96" s="44">
        <f ca="1">IF($D96="Finalizado",_xlfn.XLOOKUP(P96,Resumen!$A$6:$A$22,Resumen!AT$6:AT$22,0),"")</f>
        <v>8</v>
      </c>
      <c r="R96" s="44">
        <f ca="1">IF($D96="Finalizado",_xlfn.XLOOKUP(P96,Resumen!$A$6:$A$22,Resumen!AU$6:AU$22,0),"")</f>
        <v>1</v>
      </c>
      <c r="S96" s="44">
        <f ca="1">IF($D96="Finalizado",_xlfn.XLOOKUP(P96,Resumen!$A$6:$A$22,Resumen!AV$6:AV$22,0)+_xlfn.XLOOKUP(P96,Resumen!$A$6:$A$22,Resumen!AW$6:AW$22,0),"")</f>
        <v>1</v>
      </c>
      <c r="T96" s="44">
        <f t="shared" ca="1" si="86"/>
        <v>1</v>
      </c>
      <c r="U96" s="44">
        <f t="shared" ca="1" si="89"/>
        <v>0</v>
      </c>
      <c r="V96" s="44">
        <f t="shared" ca="1" si="90"/>
        <v>0</v>
      </c>
      <c r="W96" s="44">
        <f t="shared" ca="1" si="87"/>
        <v>1</v>
      </c>
      <c r="X96" s="45">
        <f t="shared" ca="1" si="88"/>
        <v>15</v>
      </c>
      <c r="Y96" s="207"/>
      <c r="AQ96" s="1" t="e">
        <f ca="1">+AC56</f>
        <v>#N/A</v>
      </c>
      <c r="AR96" s="1">
        <f ca="1">+AK145</f>
        <v>0</v>
      </c>
      <c r="AS96" s="1">
        <f t="shared" ref="AS96:AX96" ca="1" si="112">+AD145</f>
        <v>0</v>
      </c>
      <c r="AT96" s="1">
        <f t="shared" ca="1" si="112"/>
        <v>0</v>
      </c>
      <c r="AU96" s="1">
        <f t="shared" ca="1" si="112"/>
        <v>0</v>
      </c>
      <c r="AV96" s="1">
        <f t="shared" ca="1" si="112"/>
        <v>0</v>
      </c>
      <c r="AW96" s="1">
        <f t="shared" ca="1" si="112"/>
        <v>0</v>
      </c>
      <c r="AX96" s="1">
        <f t="shared" ca="1" si="112"/>
        <v>0</v>
      </c>
      <c r="AY96" s="1">
        <f ca="1">+AL145</f>
        <v>0</v>
      </c>
      <c r="AZ96" s="1">
        <f ca="1">+AK145</f>
        <v>0</v>
      </c>
    </row>
    <row r="97" spans="1:52" x14ac:dyDescent="0.25">
      <c r="A97" s="213"/>
      <c r="B97" s="61">
        <f>IF(Fixture!C96,Fixture!C96,"")</f>
        <v>45774</v>
      </c>
      <c r="C97" s="58">
        <v>0.625</v>
      </c>
      <c r="D97" s="82" t="str">
        <f t="shared" ca="1" si="106"/>
        <v>Finalizado</v>
      </c>
      <c r="E97" s="207"/>
      <c r="F97" s="43">
        <f>+Fixture!B96</f>
        <v>95</v>
      </c>
      <c r="G97" s="42" t="str">
        <f>IF(VLOOKUP(F97,Fixture!$B$2:$F$137,3,FALSE)&lt;&gt;0,VLOOKUP(F97,Fixture!$B$2:$F$137,3,FALSE),"")</f>
        <v>Atalanta</v>
      </c>
      <c r="H97" s="44">
        <f ca="1">IF($D97="Finalizado",_xlfn.XLOOKUP(G97,Resumen!$A$6:$A$22,Resumen!AT$6:AT$22,0),"")</f>
        <v>0</v>
      </c>
      <c r="I97" s="44">
        <f ca="1">IF($D97="Finalizado",_xlfn.XLOOKUP(G97,Resumen!$A$6:$A$22,Resumen!AU$6:AU$22,0),"")</f>
        <v>1</v>
      </c>
      <c r="J97" s="44">
        <f ca="1">IF($D97="Finalizado",_xlfn.XLOOKUP(G97,Resumen!$A$6:$A$22,Resumen!AV$6:AV$22,0)+_xlfn.XLOOKUP(G97,Resumen!$A$6:$A$22,Resumen!AW$6:AW$22,0),"")</f>
        <v>0</v>
      </c>
      <c r="K97" s="44">
        <f t="shared" ca="1" si="93"/>
        <v>0</v>
      </c>
      <c r="L97" s="44">
        <f t="shared" ca="1" si="82"/>
        <v>0</v>
      </c>
      <c r="M97" s="44">
        <f t="shared" ca="1" si="83"/>
        <v>1</v>
      </c>
      <c r="N97" s="44">
        <f t="shared" ca="1" si="84"/>
        <v>1</v>
      </c>
      <c r="O97" s="45">
        <f t="shared" ca="1" si="85"/>
        <v>5</v>
      </c>
      <c r="P97" s="42" t="str">
        <f>IF(VLOOKUP(F97,Fixture!$B$2:$F$137,5,FALSE)&lt;&gt;0,VLOOKUP(F97,Fixture!$B$2:$F$137,5,FALSE),"")</f>
        <v>CD El Corozo</v>
      </c>
      <c r="Q97" s="44">
        <f ca="1">IF($D97="Finalizado",_xlfn.XLOOKUP(P97,Resumen!$A$6:$A$22,Resumen!AT$6:AT$22,0),"")</f>
        <v>5</v>
      </c>
      <c r="R97" s="44">
        <f ca="1">IF($D97="Finalizado",_xlfn.XLOOKUP(P97,Resumen!$A$6:$A$22,Resumen!AU$6:AU$22,0),"")</f>
        <v>1</v>
      </c>
      <c r="S97" s="44">
        <f ca="1">IF($D97="Finalizado",_xlfn.XLOOKUP(P97,Resumen!$A$6:$A$22,Resumen!AV$6:AV$22,0)+_xlfn.XLOOKUP(P97,Resumen!$A$6:$A$22,Resumen!AW$6:AW$22,0),"")</f>
        <v>0</v>
      </c>
      <c r="T97" s="44">
        <f t="shared" ca="1" si="86"/>
        <v>1</v>
      </c>
      <c r="U97" s="44">
        <f t="shared" ca="1" si="89"/>
        <v>0</v>
      </c>
      <c r="V97" s="44">
        <f t="shared" ca="1" si="90"/>
        <v>0</v>
      </c>
      <c r="W97" s="44">
        <f t="shared" ca="1" si="87"/>
        <v>1</v>
      </c>
      <c r="X97" s="45">
        <f t="shared" ca="1" si="88"/>
        <v>5</v>
      </c>
      <c r="Y97" s="207"/>
    </row>
    <row r="98" spans="1:52" ht="16.5" thickBot="1" x14ac:dyDescent="0.3">
      <c r="A98" s="214"/>
      <c r="B98" s="61">
        <f>IF(Fixture!C97,Fixture!C97,"")</f>
        <v>45774</v>
      </c>
      <c r="C98" s="58">
        <v>0.67361111111111105</v>
      </c>
      <c r="D98" s="82" t="str">
        <f t="shared" ca="1" si="106"/>
        <v>Finalizado</v>
      </c>
      <c r="E98" s="208"/>
      <c r="F98" s="90">
        <f>+Fixture!B97</f>
        <v>96</v>
      </c>
      <c r="G98" s="42" t="str">
        <f>IF(VLOOKUP(F98,Fixture!$B$2:$F$137,3,FALSE)&lt;&gt;0,VLOOKUP(F98,Fixture!$B$2:$F$137,3,FALSE),"")</f>
        <v>Rayos FC</v>
      </c>
      <c r="H98" s="48">
        <f ca="1">IF($D98="Finalizado",_xlfn.XLOOKUP(G98,Resumen!$A$6:$A$22,Resumen!AT$6:AT$22,0),"")</f>
        <v>0</v>
      </c>
      <c r="I98" s="48">
        <f ca="1">IF($D98="Finalizado",_xlfn.XLOOKUP(G98,Resumen!$A$6:$A$22,Resumen!AU$6:AU$22,0),"")</f>
        <v>0</v>
      </c>
      <c r="J98" s="48">
        <f ca="1">IF($D98="Finalizado",_xlfn.XLOOKUP(G98,Resumen!$A$6:$A$22,Resumen!AV$6:AV$22,0)+_xlfn.XLOOKUP(G98,Resumen!$A$6:$A$22,Resumen!AW$6:AW$22,0),"")</f>
        <v>3</v>
      </c>
      <c r="K98" s="48">
        <f t="shared" ca="1" si="93"/>
        <v>0</v>
      </c>
      <c r="L98" s="48">
        <f t="shared" ca="1" si="82"/>
        <v>0</v>
      </c>
      <c r="M98" s="48">
        <f t="shared" ca="1" si="83"/>
        <v>1</v>
      </c>
      <c r="N98" s="48">
        <f t="shared" ca="1" si="84"/>
        <v>1</v>
      </c>
      <c r="O98" s="49">
        <f t="shared" ca="1" si="85"/>
        <v>30</v>
      </c>
      <c r="P98" s="42" t="str">
        <f>IF(VLOOKUP(F98,Fixture!$B$2:$F$137,5,FALSE)&lt;&gt;0,VLOOKUP(F98,Fixture!$B$2:$F$137,5,FALSE),"")</f>
        <v>La Nueva Era</v>
      </c>
      <c r="Q98" s="48">
        <f ca="1">IF($D98="Finalizado",_xlfn.XLOOKUP(P98,Resumen!$A$6:$A$22,Resumen!AT$6:AT$22,0),"")</f>
        <v>3</v>
      </c>
      <c r="R98" s="48">
        <f ca="1">IF($D98="Finalizado",_xlfn.XLOOKUP(P98,Resumen!$A$6:$A$22,Resumen!AU$6:AU$22,0),"")</f>
        <v>0</v>
      </c>
      <c r="S98" s="48">
        <f ca="1">IF($D98="Finalizado",_xlfn.XLOOKUP(P98,Resumen!$A$6:$A$22,Resumen!AV$6:AV$22,0)+_xlfn.XLOOKUP(P98,Resumen!$A$6:$A$22,Resumen!AW$6:AW$22,0),"")</f>
        <v>0</v>
      </c>
      <c r="T98" s="48">
        <f t="shared" ca="1" si="86"/>
        <v>1</v>
      </c>
      <c r="U98" s="48">
        <f t="shared" ca="1" si="89"/>
        <v>0</v>
      </c>
      <c r="V98" s="48">
        <f t="shared" ca="1" si="90"/>
        <v>0</v>
      </c>
      <c r="W98" s="48">
        <f t="shared" ca="1" si="87"/>
        <v>1</v>
      </c>
      <c r="X98" s="49">
        <f t="shared" ca="1" si="88"/>
        <v>0</v>
      </c>
      <c r="Y98" s="208"/>
      <c r="AQ98" s="1" t="e">
        <f ca="1">+AC57</f>
        <v>#N/A</v>
      </c>
      <c r="AR98" s="1">
        <f ca="1">+AK146</f>
        <v>0</v>
      </c>
      <c r="AS98" s="1">
        <f t="shared" ref="AS98:AX100" ca="1" si="113">+AD146</f>
        <v>0</v>
      </c>
      <c r="AT98" s="1">
        <f t="shared" ca="1" si="113"/>
        <v>0</v>
      </c>
      <c r="AU98" s="1">
        <f t="shared" ca="1" si="113"/>
        <v>0</v>
      </c>
      <c r="AV98" s="1">
        <f t="shared" ca="1" si="113"/>
        <v>0</v>
      </c>
      <c r="AW98" s="1">
        <f t="shared" ca="1" si="113"/>
        <v>0</v>
      </c>
      <c r="AX98" s="1">
        <f t="shared" ca="1" si="113"/>
        <v>0</v>
      </c>
      <c r="AY98" s="1">
        <f ca="1">+AL146</f>
        <v>0</v>
      </c>
      <c r="AZ98" s="1">
        <f ca="1">+AK146</f>
        <v>0</v>
      </c>
    </row>
    <row r="99" spans="1:52" x14ac:dyDescent="0.25">
      <c r="A99" s="212" t="s">
        <v>17</v>
      </c>
      <c r="B99" s="60">
        <f>IF(Fixture!C98,Fixture!C98,"")</f>
        <v>45781</v>
      </c>
      <c r="C99" s="58">
        <v>0.33333333333333331</v>
      </c>
      <c r="D99" s="82" t="str">
        <f ca="1">IF(OR(B99="",C99="",B99&lt;$A$1),"Finalizado",IF(B99=$A$1,IF(AND(C99&lt;=$D$1,$D$1&lt;=(C99+0.08333333333)),"En juego",IF($A$1&lt;C99,"HOY!","Finalizado")),IF($D$1&gt;B99,"Finalizado","Proximamente..")))</f>
        <v>Finalizado</v>
      </c>
      <c r="E99" s="206" t="s">
        <v>114</v>
      </c>
      <c r="F99" s="43">
        <f>+Fixture!B98</f>
        <v>97</v>
      </c>
      <c r="G99" s="42" t="str">
        <f>IF(VLOOKUP(F99,Fixture!$B$2:$F$137,3,FALSE)&lt;&gt;0,VLOOKUP(F99,Fixture!$B$2:$F$137,3,FALSE),"")</f>
        <v>Hojas Anchas</v>
      </c>
      <c r="H99" s="44">
        <f ca="1">IF($D99="Finalizado",_xlfn.XLOOKUP(G99,Resumen!$A$6:$A$22,Resumen!AX$6:AX$22,0),"")</f>
        <v>1</v>
      </c>
      <c r="I99" s="44">
        <f ca="1">IF($D99="Finalizado",_xlfn.XLOOKUP(G99,Resumen!$A$6:$A$22,Resumen!AY$6:AY$22,0),"")</f>
        <v>3</v>
      </c>
      <c r="J99" s="44">
        <f ca="1">IF($D99="Finalizado",_xlfn.XLOOKUP(G99,Resumen!$A$6:$A$22,Resumen!AZ$6:AZ$22,0)+_xlfn.XLOOKUP(G99,Resumen!$A$6:$A$22,Resumen!BA$6:BA$22,0),"")</f>
        <v>0</v>
      </c>
      <c r="K99" s="44">
        <f t="shared" ca="1" si="93"/>
        <v>0</v>
      </c>
      <c r="L99" s="44">
        <f t="shared" ca="1" si="82"/>
        <v>0</v>
      </c>
      <c r="M99" s="44">
        <f t="shared" ca="1" si="83"/>
        <v>1</v>
      </c>
      <c r="N99" s="44">
        <f t="shared" ca="1" si="84"/>
        <v>1</v>
      </c>
      <c r="O99" s="45">
        <f t="shared" ca="1" si="85"/>
        <v>15</v>
      </c>
      <c r="P99" s="42" t="str">
        <f>IF(VLOOKUP(F99,Fixture!$B$2:$F$137,5,FALSE)&lt;&gt;0,VLOOKUP(F99,Fixture!$B$2:$F$137,5,FALSE),"")</f>
        <v>Amenadim</v>
      </c>
      <c r="Q99" s="44">
        <f ca="1">IF($D99="Finalizado",_xlfn.XLOOKUP(P99,Resumen!$A$6:$A$22,Resumen!AX$6:AX$22,0),"")</f>
        <v>3</v>
      </c>
      <c r="R99" s="44">
        <f ca="1">IF($D99="Finalizado",_xlfn.XLOOKUP(P99,Resumen!$A$6:$A$22,Resumen!AY$6:AY$22,0),"")</f>
        <v>0</v>
      </c>
      <c r="S99" s="44">
        <f ca="1">IF($D99="Finalizado",_xlfn.XLOOKUP(P99,Resumen!$A$6:$A$22,Resumen!AZ$6:AZ$22,0)+_xlfn.XLOOKUP(P99,Resumen!$A$6:$A$22,Resumen!BA$6:BA$22,0),"")</f>
        <v>0</v>
      </c>
      <c r="T99" s="44">
        <f t="shared" ca="1" si="86"/>
        <v>1</v>
      </c>
      <c r="U99" s="44">
        <f t="shared" ca="1" si="89"/>
        <v>0</v>
      </c>
      <c r="V99" s="44">
        <f t="shared" ca="1" si="90"/>
        <v>0</v>
      </c>
      <c r="W99" s="44">
        <f t="shared" ca="1" si="87"/>
        <v>1</v>
      </c>
      <c r="X99" s="45">
        <f t="shared" ca="1" si="88"/>
        <v>0</v>
      </c>
      <c r="Y99" s="206" t="str">
        <f>+A99</f>
        <v>Fecha 13</v>
      </c>
      <c r="AQ99" s="1" t="e">
        <f ca="1">+AC66</f>
        <v>#VALUE!</v>
      </c>
      <c r="AR99" s="1">
        <f ca="1">+AK147</f>
        <v>0</v>
      </c>
      <c r="AS99" s="1">
        <f t="shared" ca="1" si="113"/>
        <v>0</v>
      </c>
      <c r="AT99" s="1">
        <f t="shared" ca="1" si="113"/>
        <v>0</v>
      </c>
      <c r="AU99" s="1">
        <f t="shared" ca="1" si="113"/>
        <v>0</v>
      </c>
      <c r="AV99" s="1">
        <f t="shared" ca="1" si="113"/>
        <v>0</v>
      </c>
      <c r="AW99" s="1">
        <f t="shared" ca="1" si="113"/>
        <v>0</v>
      </c>
      <c r="AX99" s="1">
        <f t="shared" ca="1" si="113"/>
        <v>0</v>
      </c>
      <c r="AY99" s="1">
        <f ca="1">+AL147</f>
        <v>0</v>
      </c>
      <c r="AZ99" s="1">
        <f ca="1">+AK147</f>
        <v>0</v>
      </c>
    </row>
    <row r="100" spans="1:52" x14ac:dyDescent="0.25">
      <c r="A100" s="213"/>
      <c r="B100" s="61">
        <f>IF(Fixture!C99,Fixture!C99,"")</f>
        <v>45781</v>
      </c>
      <c r="C100" s="58">
        <v>0.38194444444444442</v>
      </c>
      <c r="D100" s="82" t="str">
        <f ca="1">IF(OR(B100="",C100="",B100&lt;$A$1),"Finalizado",IF(B100=$A$1,IF(AND(C100&lt;=$D$1,$D$1&lt;=(C100+0.08333333333)),"En juego",IF($A$1&lt;C100,"HOY!","Finalizado")),IF($D$1&gt;B100,"Finalizado","Proximamente..")))</f>
        <v>Finalizado</v>
      </c>
      <c r="E100" s="207"/>
      <c r="F100" s="43">
        <f>+Fixture!B99</f>
        <v>98</v>
      </c>
      <c r="G100" s="42" t="str">
        <f>IF(VLOOKUP(F100,Fixture!$B$2:$F$137,3,FALSE)&lt;&gt;0,VLOOKUP(F100,Fixture!$B$2:$F$137,3,FALSE),"")</f>
        <v>Los Aliados</v>
      </c>
      <c r="H100" s="44">
        <f ca="1">IF($D100="Finalizado",_xlfn.XLOOKUP(G100,Resumen!$A$6:$A$22,Resumen!AX$6:AX$22,0),"")</f>
        <v>3</v>
      </c>
      <c r="I100" s="44">
        <f ca="1">IF($D100="Finalizado",_xlfn.XLOOKUP(G100,Resumen!$A$6:$A$22,Resumen!AY$6:AY$22,0),"")</f>
        <v>4</v>
      </c>
      <c r="J100" s="44">
        <f ca="1">IF($D100="Finalizado",_xlfn.XLOOKUP(G100,Resumen!$A$6:$A$22,Resumen!AZ$6:AZ$22,0)+_xlfn.XLOOKUP(G100,Resumen!$A$6:$A$22,Resumen!BA$6:BA$22,0),"")</f>
        <v>1</v>
      </c>
      <c r="K100" s="44">
        <f t="shared" ca="1" si="93"/>
        <v>0</v>
      </c>
      <c r="L100" s="44">
        <f t="shared" ca="1" si="82"/>
        <v>0</v>
      </c>
      <c r="M100" s="44">
        <f t="shared" ca="1" si="83"/>
        <v>1</v>
      </c>
      <c r="N100" s="44">
        <f t="shared" ca="1" si="84"/>
        <v>1</v>
      </c>
      <c r="O100" s="45">
        <f t="shared" ca="1" si="85"/>
        <v>30</v>
      </c>
      <c r="P100" s="42" t="str">
        <f>IF(VLOOKUP(F100,Fixture!$B$2:$F$137,5,FALSE)&lt;&gt;0,VLOOKUP(F100,Fixture!$B$2:$F$137,5,FALSE),"")</f>
        <v>Ron Star</v>
      </c>
      <c r="Q100" s="44">
        <f ca="1">IF($D100="Finalizado",_xlfn.XLOOKUP(P100,Resumen!$A$6:$A$22,Resumen!AX$6:AX$22,0),"")</f>
        <v>8</v>
      </c>
      <c r="R100" s="44">
        <f ca="1">IF($D100="Finalizado",_xlfn.XLOOKUP(P100,Resumen!$A$6:$A$22,Resumen!AY$6:AY$22,0),"")</f>
        <v>1</v>
      </c>
      <c r="S100" s="44">
        <f ca="1">IF($D100="Finalizado",_xlfn.XLOOKUP(P100,Resumen!$A$6:$A$22,Resumen!AZ$6:AZ$22,0)+_xlfn.XLOOKUP(P100,Resumen!$A$6:$A$22,Resumen!BA$6:BA$22,0),"")</f>
        <v>0</v>
      </c>
      <c r="T100" s="44">
        <f t="shared" ca="1" si="86"/>
        <v>1</v>
      </c>
      <c r="U100" s="44">
        <f t="shared" ca="1" si="89"/>
        <v>0</v>
      </c>
      <c r="V100" s="44">
        <f t="shared" ca="1" si="90"/>
        <v>0</v>
      </c>
      <c r="W100" s="44">
        <f t="shared" ca="1" si="87"/>
        <v>1</v>
      </c>
      <c r="X100" s="45">
        <f t="shared" ca="1" si="88"/>
        <v>5</v>
      </c>
      <c r="Y100" s="207"/>
      <c r="AQ100" s="1" t="e">
        <f ca="1">+AC67</f>
        <v>#VALUE!</v>
      </c>
      <c r="AR100" s="1">
        <f ca="1">+AK148</f>
        <v>0</v>
      </c>
      <c r="AS100" s="1">
        <f t="shared" ca="1" si="113"/>
        <v>0</v>
      </c>
      <c r="AT100" s="1">
        <f t="shared" ca="1" si="113"/>
        <v>0</v>
      </c>
      <c r="AU100" s="1">
        <f t="shared" ca="1" si="113"/>
        <v>0</v>
      </c>
      <c r="AV100" s="1">
        <f t="shared" ca="1" si="113"/>
        <v>0</v>
      </c>
      <c r="AW100" s="1">
        <f t="shared" ca="1" si="113"/>
        <v>0</v>
      </c>
      <c r="AX100" s="1">
        <f t="shared" ca="1" si="113"/>
        <v>0</v>
      </c>
      <c r="AY100" s="1">
        <f ca="1">+AL148</f>
        <v>0</v>
      </c>
      <c r="AZ100" s="1">
        <f ca="1">+AK148</f>
        <v>0</v>
      </c>
    </row>
    <row r="101" spans="1:52" x14ac:dyDescent="0.25">
      <c r="A101" s="213"/>
      <c r="B101" s="61">
        <f>IF(Fixture!C100,Fixture!C100,"")</f>
        <v>45781</v>
      </c>
      <c r="C101" s="58">
        <v>0.43055555555555602</v>
      </c>
      <c r="D101" s="82" t="str">
        <f t="shared" ca="1" si="106"/>
        <v>Finalizado</v>
      </c>
      <c r="E101" s="207"/>
      <c r="F101" s="43">
        <f>+Fixture!B100</f>
        <v>99</v>
      </c>
      <c r="G101" s="42" t="str">
        <f>IF(VLOOKUP(F101,Fixture!$B$2:$F$137,3,FALSE)&lt;&gt;0,VLOOKUP(F101,Fixture!$B$2:$F$137,3,FALSE),"")</f>
        <v>Boca Juniors</v>
      </c>
      <c r="H101" s="44">
        <f ca="1">IF($D101="Finalizado",_xlfn.XLOOKUP(G101,Resumen!$A$6:$A$22,Resumen!AX$6:AX$22,0),"")</f>
        <v>2</v>
      </c>
      <c r="I101" s="44">
        <f ca="1">IF($D101="Finalizado",_xlfn.XLOOKUP(G101,Resumen!$A$6:$A$22,Resumen!AY$6:AY$22,0),"")</f>
        <v>3</v>
      </c>
      <c r="J101" s="44">
        <f ca="1">IF($D101="Finalizado",_xlfn.XLOOKUP(G101,Resumen!$A$6:$A$22,Resumen!AZ$6:AZ$22,0)+_xlfn.XLOOKUP(G101,Resumen!$A$6:$A$22,Resumen!BA$6:BA$22,0),"")</f>
        <v>0</v>
      </c>
      <c r="K101" s="44">
        <f t="shared" ca="1" si="93"/>
        <v>0</v>
      </c>
      <c r="L101" s="44">
        <f t="shared" ca="1" si="82"/>
        <v>0</v>
      </c>
      <c r="M101" s="44">
        <f t="shared" ca="1" si="83"/>
        <v>1</v>
      </c>
      <c r="N101" s="44">
        <f t="shared" ca="1" si="84"/>
        <v>1</v>
      </c>
      <c r="O101" s="45">
        <f t="shared" ca="1" si="85"/>
        <v>15</v>
      </c>
      <c r="P101" s="42" t="str">
        <f>IF(VLOOKUP(F101,Fixture!$B$2:$F$137,5,FALSE)&lt;&gt;0,VLOOKUP(F101,Fixture!$B$2:$F$137,5,FALSE),"")</f>
        <v>Villanueva</v>
      </c>
      <c r="Q101" s="44">
        <f ca="1">IF($D101="Finalizado",_xlfn.XLOOKUP(P101,Resumen!$A$6:$A$22,Resumen!AX$6:AX$22,0),"")</f>
        <v>5</v>
      </c>
      <c r="R101" s="44">
        <f ca="1">IF($D101="Finalizado",_xlfn.XLOOKUP(P101,Resumen!$A$6:$A$22,Resumen!AY$6:AY$22,0),"")</f>
        <v>1</v>
      </c>
      <c r="S101" s="44">
        <f ca="1">IF($D101="Finalizado",_xlfn.XLOOKUP(P101,Resumen!$A$6:$A$22,Resumen!AZ$6:AZ$22,0)+_xlfn.XLOOKUP(P101,Resumen!$A$6:$A$22,Resumen!BA$6:BA$22,0),"")</f>
        <v>0</v>
      </c>
      <c r="T101" s="44">
        <f t="shared" ca="1" si="86"/>
        <v>1</v>
      </c>
      <c r="U101" s="44">
        <f t="shared" ca="1" si="89"/>
        <v>0</v>
      </c>
      <c r="V101" s="44">
        <f t="shared" ca="1" si="90"/>
        <v>0</v>
      </c>
      <c r="W101" s="44">
        <f t="shared" ca="1" si="87"/>
        <v>1</v>
      </c>
      <c r="X101" s="45">
        <f t="shared" ca="1" si="88"/>
        <v>5</v>
      </c>
      <c r="Y101" s="207"/>
    </row>
    <row r="102" spans="1:52" x14ac:dyDescent="0.25">
      <c r="A102" s="213"/>
      <c r="B102" s="61">
        <f>IF(Fixture!C101,Fixture!C101,"")</f>
        <v>45781</v>
      </c>
      <c r="C102" s="58">
        <v>0.47916666666666602</v>
      </c>
      <c r="D102" s="82" t="str">
        <f t="shared" ca="1" si="106"/>
        <v>Finalizado</v>
      </c>
      <c r="E102" s="207"/>
      <c r="F102" s="43">
        <f>+Fixture!B101</f>
        <v>100</v>
      </c>
      <c r="G102" s="42" t="str">
        <f>IF(VLOOKUP(F102,Fixture!$B$2:$F$137,3,FALSE)&lt;&gt;0,VLOOKUP(F102,Fixture!$B$2:$F$137,3,FALSE),"")</f>
        <v>Deportivo Fénix</v>
      </c>
      <c r="H102" s="44">
        <f ca="1">IF($D102="Finalizado",_xlfn.XLOOKUP(G102,Resumen!$A$6:$A$22,Resumen!AX$6:AX$22,0),"")</f>
        <v>1</v>
      </c>
      <c r="I102" s="44">
        <f ca="1">IF($D102="Finalizado",_xlfn.XLOOKUP(G102,Resumen!$A$6:$A$22,Resumen!AY$6:AY$22,0),"")</f>
        <v>0</v>
      </c>
      <c r="J102" s="44">
        <f ca="1">IF($D102="Finalizado",_xlfn.XLOOKUP(G102,Resumen!$A$6:$A$22,Resumen!AZ$6:AZ$22,0)+_xlfn.XLOOKUP(G102,Resumen!$A$6:$A$22,Resumen!BA$6:BA$22,0),"")</f>
        <v>0</v>
      </c>
      <c r="K102" s="44">
        <f t="shared" ca="1" si="93"/>
        <v>0</v>
      </c>
      <c r="L102" s="44">
        <f t="shared" ca="1" si="82"/>
        <v>0</v>
      </c>
      <c r="M102" s="44">
        <f t="shared" ca="1" si="83"/>
        <v>1</v>
      </c>
      <c r="N102" s="44">
        <f t="shared" ca="1" si="84"/>
        <v>1</v>
      </c>
      <c r="O102" s="45">
        <f t="shared" ca="1" si="85"/>
        <v>0</v>
      </c>
      <c r="P102" s="42" t="str">
        <f>IF(VLOOKUP(F102,Fixture!$B$2:$F$137,5,FALSE)&lt;&gt;0,VLOOKUP(F102,Fixture!$B$2:$F$137,5,FALSE),"")</f>
        <v>Konami</v>
      </c>
      <c r="Q102" s="44">
        <f ca="1">IF($D102="Finalizado",_xlfn.XLOOKUP(P102,Resumen!$A$6:$A$22,Resumen!AX$6:AX$22,0),"")</f>
        <v>5</v>
      </c>
      <c r="R102" s="44">
        <f ca="1">IF($D102="Finalizado",_xlfn.XLOOKUP(P102,Resumen!$A$6:$A$22,Resumen!AY$6:AY$22,0),"")</f>
        <v>0</v>
      </c>
      <c r="S102" s="44">
        <f ca="1">IF($D102="Finalizado",_xlfn.XLOOKUP(P102,Resumen!$A$6:$A$22,Resumen!AZ$6:AZ$22,0)+_xlfn.XLOOKUP(P102,Resumen!$A$6:$A$22,Resumen!BA$6:BA$22,0),"")</f>
        <v>0</v>
      </c>
      <c r="T102" s="44">
        <f t="shared" ca="1" si="86"/>
        <v>1</v>
      </c>
      <c r="U102" s="44">
        <f t="shared" ca="1" si="89"/>
        <v>0</v>
      </c>
      <c r="V102" s="44">
        <f t="shared" ca="1" si="90"/>
        <v>0</v>
      </c>
      <c r="W102" s="44">
        <f t="shared" ca="1" si="87"/>
        <v>1</v>
      </c>
      <c r="X102" s="45">
        <f t="shared" ca="1" si="88"/>
        <v>0</v>
      </c>
      <c r="Y102" s="207"/>
    </row>
    <row r="103" spans="1:52" x14ac:dyDescent="0.25">
      <c r="A103" s="213"/>
      <c r="B103" s="61">
        <f>IF(Fixture!C102,Fixture!C102,"")</f>
        <v>45809</v>
      </c>
      <c r="C103" s="58">
        <v>0.52777777777777701</v>
      </c>
      <c r="D103" s="82" t="str">
        <f t="shared" ca="1" si="106"/>
        <v>Finalizado</v>
      </c>
      <c r="E103" s="207"/>
      <c r="F103" s="43">
        <f>+Fixture!B102</f>
        <v>101</v>
      </c>
      <c r="G103" s="42" t="str">
        <f>IF(VLOOKUP(F103,Fixture!$B$2:$F$137,3,FALSE)&lt;&gt;0,VLOOKUP(F103,Fixture!$B$2:$F$137,3,FALSE),"")</f>
        <v>La Unión FC</v>
      </c>
      <c r="H103" s="44">
        <f ca="1">IF($D103="Finalizado",_xlfn.XLOOKUP(G103,Resumen!$A$6:$A$22,Resumen!AX$6:AX$22,0),"")</f>
        <v>9</v>
      </c>
      <c r="I103" s="44">
        <f ca="1">IF($D103="Finalizado",_xlfn.XLOOKUP(G103,Resumen!$A$6:$A$22,Resumen!AY$6:AY$22,0),"")</f>
        <v>0</v>
      </c>
      <c r="J103" s="44">
        <f ca="1">IF($D103="Finalizado",_xlfn.XLOOKUP(G103,Resumen!$A$6:$A$22,Resumen!AZ$6:AZ$22,0)+_xlfn.XLOOKUP(G103,Resumen!$A$6:$A$22,Resumen!BA$6:BA$22,0),"")</f>
        <v>0</v>
      </c>
      <c r="K103" s="44">
        <f t="shared" ca="1" si="93"/>
        <v>1</v>
      </c>
      <c r="L103" s="44">
        <f t="shared" ca="1" si="82"/>
        <v>0</v>
      </c>
      <c r="M103" s="44">
        <f t="shared" ca="1" si="83"/>
        <v>0</v>
      </c>
      <c r="N103" s="44">
        <f t="shared" ca="1" si="84"/>
        <v>1</v>
      </c>
      <c r="O103" s="45">
        <f t="shared" ca="1" si="85"/>
        <v>0</v>
      </c>
      <c r="P103" s="42" t="str">
        <f>IF(VLOOKUP(F103,Fixture!$B$2:$F$137,5,FALSE)&lt;&gt;0,VLOOKUP(F103,Fixture!$B$2:$F$137,5,FALSE),"")</f>
        <v>La Nueva Era</v>
      </c>
      <c r="Q103" s="44">
        <f ca="1">IF($D103="Finalizado",_xlfn.XLOOKUP(P103,Resumen!$A$6:$A$22,Resumen!AX$6:AX$22,0),"")</f>
        <v>3</v>
      </c>
      <c r="R103" s="44">
        <f ca="1">IF($D103="Finalizado",_xlfn.XLOOKUP(P103,Resumen!$A$6:$A$22,Resumen!AY$6:AY$22,0),"")</f>
        <v>0</v>
      </c>
      <c r="S103" s="44">
        <f ca="1">IF($D103="Finalizado",_xlfn.XLOOKUP(P103,Resumen!$A$6:$A$22,Resumen!AZ$6:AZ$22,0)+_xlfn.XLOOKUP(P103,Resumen!$A$6:$A$22,Resumen!BA$6:BA$22,0),"")</f>
        <v>0</v>
      </c>
      <c r="T103" s="44">
        <f t="shared" ca="1" si="86"/>
        <v>0</v>
      </c>
      <c r="U103" s="44">
        <f t="shared" ca="1" si="89"/>
        <v>0</v>
      </c>
      <c r="V103" s="44">
        <f t="shared" ca="1" si="90"/>
        <v>1</v>
      </c>
      <c r="W103" s="44">
        <f t="shared" ca="1" si="87"/>
        <v>1</v>
      </c>
      <c r="X103" s="45">
        <f t="shared" ca="1" si="88"/>
        <v>0</v>
      </c>
      <c r="Y103" s="207"/>
    </row>
    <row r="104" spans="1:52" x14ac:dyDescent="0.25">
      <c r="A104" s="213"/>
      <c r="B104" s="61">
        <f>IF(Fixture!C103,Fixture!C103,"")</f>
        <v>45781</v>
      </c>
      <c r="C104" s="58">
        <v>0.57638888888888895</v>
      </c>
      <c r="D104" s="82" t="str">
        <f t="shared" ca="1" si="106"/>
        <v>Finalizado</v>
      </c>
      <c r="E104" s="207"/>
      <c r="F104" s="43">
        <f>+Fixture!B103</f>
        <v>102</v>
      </c>
      <c r="G104" s="42" t="str">
        <f>IF(VLOOKUP(F104,Fixture!$B$2:$F$137,3,FALSE)&lt;&gt;0,VLOOKUP(F104,Fixture!$B$2:$F$137,3,FALSE),"")</f>
        <v>Valentín FC</v>
      </c>
      <c r="H104" s="44">
        <f ca="1">IF($D104="Finalizado",_xlfn.XLOOKUP(G104,Resumen!$A$6:$A$22,Resumen!AX$6:AX$22,0),"")</f>
        <v>8</v>
      </c>
      <c r="I104" s="44">
        <f ca="1">IF($D104="Finalizado",_xlfn.XLOOKUP(G104,Resumen!$A$6:$A$22,Resumen!AY$6:AY$22,0),"")</f>
        <v>2</v>
      </c>
      <c r="J104" s="44">
        <f ca="1">IF($D104="Finalizado",_xlfn.XLOOKUP(G104,Resumen!$A$6:$A$22,Resumen!AZ$6:AZ$22,0)+_xlfn.XLOOKUP(G104,Resumen!$A$6:$A$22,Resumen!BA$6:BA$22,0),"")</f>
        <v>0</v>
      </c>
      <c r="K104" s="44">
        <f t="shared" ca="1" si="93"/>
        <v>1</v>
      </c>
      <c r="L104" s="44">
        <f t="shared" ca="1" si="82"/>
        <v>0</v>
      </c>
      <c r="M104" s="44">
        <f t="shared" ca="1" si="83"/>
        <v>0</v>
      </c>
      <c r="N104" s="44">
        <f t="shared" ca="1" si="84"/>
        <v>1</v>
      </c>
      <c r="O104" s="45">
        <f t="shared" ca="1" si="85"/>
        <v>10</v>
      </c>
      <c r="P104" s="42" t="str">
        <f>IF(VLOOKUP(F104,Fixture!$B$2:$F$137,5,FALSE)&lt;&gt;0,VLOOKUP(F104,Fixture!$B$2:$F$137,5,FALSE),"")</f>
        <v>Atalanta</v>
      </c>
      <c r="Q104" s="44">
        <f ca="1">IF($D104="Finalizado",_xlfn.XLOOKUP(P104,Resumen!$A$6:$A$22,Resumen!AX$6:AX$22,0),"")</f>
        <v>0</v>
      </c>
      <c r="R104" s="44">
        <f ca="1">IF($D104="Finalizado",_xlfn.XLOOKUP(P104,Resumen!$A$6:$A$22,Resumen!AY$6:AY$22,0),"")</f>
        <v>0</v>
      </c>
      <c r="S104" s="44">
        <f ca="1">IF($D104="Finalizado",_xlfn.XLOOKUP(P104,Resumen!$A$6:$A$22,Resumen!AZ$6:AZ$22,0)+_xlfn.XLOOKUP(P104,Resumen!$A$6:$A$22,Resumen!BA$6:BA$22,0),"")</f>
        <v>1</v>
      </c>
      <c r="T104" s="44">
        <f t="shared" ca="1" si="86"/>
        <v>0</v>
      </c>
      <c r="U104" s="44">
        <f t="shared" ca="1" si="89"/>
        <v>0</v>
      </c>
      <c r="V104" s="44">
        <f t="shared" ca="1" si="90"/>
        <v>1</v>
      </c>
      <c r="W104" s="44">
        <f t="shared" ca="1" si="87"/>
        <v>1</v>
      </c>
      <c r="X104" s="45">
        <f t="shared" ca="1" si="88"/>
        <v>10</v>
      </c>
      <c r="Y104" s="207"/>
    </row>
    <row r="105" spans="1:52" x14ac:dyDescent="0.25">
      <c r="A105" s="213"/>
      <c r="B105" s="61">
        <f>IF(Fixture!C104,Fixture!C104,"")</f>
        <v>45781</v>
      </c>
      <c r="C105" s="58">
        <v>0.625</v>
      </c>
      <c r="D105" s="82" t="str">
        <f t="shared" ca="1" si="106"/>
        <v>Finalizado</v>
      </c>
      <c r="E105" s="207"/>
      <c r="F105" s="43">
        <f>+Fixture!B104</f>
        <v>103</v>
      </c>
      <c r="G105" s="42" t="str">
        <f>IF(VLOOKUP(F105,Fixture!$B$2:$F$137,3,FALSE)&lt;&gt;0,VLOOKUP(F105,Fixture!$B$2:$F$137,3,FALSE),"")</f>
        <v>CD El Corozo</v>
      </c>
      <c r="H105" s="44">
        <f ca="1">IF($D105="Finalizado",_xlfn.XLOOKUP(G105,Resumen!$A$6:$A$22,Resumen!AX$6:AX$22,0),"")</f>
        <v>3</v>
      </c>
      <c r="I105" s="44">
        <f ca="1">IF($D105="Finalizado",_xlfn.XLOOKUP(G105,Resumen!$A$6:$A$22,Resumen!AY$6:AY$22,0),"")</f>
        <v>1</v>
      </c>
      <c r="J105" s="44">
        <f ca="1">IF($D105="Finalizado",_xlfn.XLOOKUP(G105,Resumen!$A$6:$A$22,Resumen!AZ$6:AZ$22,0)+_xlfn.XLOOKUP(G105,Resumen!$A$6:$A$22,Resumen!BA$6:BA$22,0),"")</f>
        <v>0</v>
      </c>
      <c r="K105" s="44">
        <f t="shared" ca="1" si="93"/>
        <v>0</v>
      </c>
      <c r="L105" s="44">
        <f t="shared" ca="1" si="82"/>
        <v>1</v>
      </c>
      <c r="M105" s="44">
        <f t="shared" ca="1" si="83"/>
        <v>0</v>
      </c>
      <c r="N105" s="44">
        <f t="shared" ca="1" si="84"/>
        <v>1</v>
      </c>
      <c r="O105" s="45">
        <f t="shared" ca="1" si="85"/>
        <v>5</v>
      </c>
      <c r="P105" s="42" t="str">
        <f>IF(VLOOKUP(F105,Fixture!$B$2:$F$137,5,FALSE)&lt;&gt;0,VLOOKUP(F105,Fixture!$B$2:$F$137,5,FALSE),"")</f>
        <v>Los Amigos</v>
      </c>
      <c r="Q105" s="44">
        <f ca="1">IF($D105="Finalizado",_xlfn.XLOOKUP(P105,Resumen!$A$6:$A$22,Resumen!AX$6:AX$22,0),"")</f>
        <v>3</v>
      </c>
      <c r="R105" s="44">
        <f ca="1">IF($D105="Finalizado",_xlfn.XLOOKUP(P105,Resumen!$A$6:$A$22,Resumen!AY$6:AY$22,0),"")</f>
        <v>0</v>
      </c>
      <c r="S105" s="44">
        <f ca="1">IF($D105="Finalizado",_xlfn.XLOOKUP(P105,Resumen!$A$6:$A$22,Resumen!AZ$6:AZ$22,0)+_xlfn.XLOOKUP(P105,Resumen!$A$6:$A$22,Resumen!BA$6:BA$22,0),"")</f>
        <v>0</v>
      </c>
      <c r="T105" s="44">
        <f t="shared" ca="1" si="86"/>
        <v>0</v>
      </c>
      <c r="U105" s="44">
        <f t="shared" ca="1" si="89"/>
        <v>1</v>
      </c>
      <c r="V105" s="44">
        <f t="shared" ca="1" si="90"/>
        <v>0</v>
      </c>
      <c r="W105" s="44">
        <f t="shared" ca="1" si="87"/>
        <v>1</v>
      </c>
      <c r="X105" s="45">
        <f t="shared" ca="1" si="88"/>
        <v>0</v>
      </c>
      <c r="Y105" s="207"/>
    </row>
    <row r="106" spans="1:52" ht="16.5" thickBot="1" x14ac:dyDescent="0.3">
      <c r="A106" s="214"/>
      <c r="B106" s="61">
        <f>IF(Fixture!C105,Fixture!C105,"")</f>
        <v>45781</v>
      </c>
      <c r="C106" s="58">
        <v>0.67361111111111105</v>
      </c>
      <c r="D106" s="82" t="str">
        <f t="shared" ca="1" si="106"/>
        <v>Finalizado</v>
      </c>
      <c r="E106" s="208"/>
      <c r="F106" s="90">
        <f>+Fixture!B105</f>
        <v>104</v>
      </c>
      <c r="G106" s="42" t="str">
        <f>IF(VLOOKUP(F106,Fixture!$B$2:$F$137,3,FALSE)&lt;&gt;0,VLOOKUP(F106,Fixture!$B$2:$F$137,3,FALSE),"")</f>
        <v>Rayos FC</v>
      </c>
      <c r="H106" s="48">
        <f ca="1">IF($D106="Finalizado",_xlfn.XLOOKUP(G106,Resumen!$A$6:$A$22,Resumen!AX$6:AX$22,0),"")</f>
        <v>0</v>
      </c>
      <c r="I106" s="48">
        <f ca="1">IF($D106="Finalizado",_xlfn.XLOOKUP(G106,Resumen!$A$6:$A$22,Resumen!AY$6:AY$22,0),"")</f>
        <v>0</v>
      </c>
      <c r="J106" s="48">
        <f ca="1">IF($D106="Finalizado",_xlfn.XLOOKUP(G106,Resumen!$A$6:$A$22,Resumen!AZ$6:AZ$22,0)+_xlfn.XLOOKUP(G106,Resumen!$A$6:$A$22,Resumen!BA$6:BA$22,0),"")</f>
        <v>3</v>
      </c>
      <c r="K106" s="48">
        <f t="shared" ca="1" si="93"/>
        <v>0</v>
      </c>
      <c r="L106" s="48">
        <f t="shared" ca="1" si="82"/>
        <v>0</v>
      </c>
      <c r="M106" s="48">
        <f t="shared" ca="1" si="83"/>
        <v>1</v>
      </c>
      <c r="N106" s="48">
        <f t="shared" ca="1" si="84"/>
        <v>1</v>
      </c>
      <c r="O106" s="49">
        <f t="shared" ca="1" si="85"/>
        <v>30</v>
      </c>
      <c r="P106" s="42" t="str">
        <f>IF(VLOOKUP(F106,Fixture!$B$2:$F$137,5,FALSE)&lt;&gt;0,VLOOKUP(F106,Fixture!$B$2:$F$137,5,FALSE),"")</f>
        <v>La Amistad</v>
      </c>
      <c r="Q106" s="48">
        <f ca="1">IF($D106="Finalizado",_xlfn.XLOOKUP(P106,Resumen!$A$6:$A$22,Resumen!AX$6:AX$22,0),"")</f>
        <v>3</v>
      </c>
      <c r="R106" s="48">
        <f ca="1">IF($D106="Finalizado",_xlfn.XLOOKUP(P106,Resumen!$A$6:$A$22,Resumen!AY$6:AY$22,0),"")</f>
        <v>0</v>
      </c>
      <c r="S106" s="48">
        <f ca="1">IF($D106="Finalizado",_xlfn.XLOOKUP(P106,Resumen!$A$6:$A$22,Resumen!AZ$6:AZ$22,0)+_xlfn.XLOOKUP(P106,Resumen!$A$6:$A$22,Resumen!BA$6:BA$22,0),"")</f>
        <v>0</v>
      </c>
      <c r="T106" s="48">
        <f t="shared" ca="1" si="86"/>
        <v>1</v>
      </c>
      <c r="U106" s="48">
        <f t="shared" ca="1" si="89"/>
        <v>0</v>
      </c>
      <c r="V106" s="48">
        <f t="shared" ca="1" si="90"/>
        <v>0</v>
      </c>
      <c r="W106" s="48">
        <f t="shared" ca="1" si="87"/>
        <v>1</v>
      </c>
      <c r="X106" s="49">
        <f t="shared" ca="1" si="88"/>
        <v>0</v>
      </c>
      <c r="Y106" s="208"/>
    </row>
    <row r="107" spans="1:52" x14ac:dyDescent="0.25">
      <c r="A107" s="212" t="s">
        <v>18</v>
      </c>
      <c r="B107" s="60">
        <f>IF(Fixture!C106,Fixture!C106,"")</f>
        <v>45795</v>
      </c>
      <c r="C107" s="58">
        <v>0.33333333333333331</v>
      </c>
      <c r="D107" s="82" t="str">
        <f t="shared" ca="1" si="106"/>
        <v>Finalizado</v>
      </c>
      <c r="E107" s="206" t="s">
        <v>114</v>
      </c>
      <c r="F107" s="43">
        <f>+Fixture!B106</f>
        <v>105</v>
      </c>
      <c r="G107" s="42" t="str">
        <f>IF(VLOOKUP(F107,Fixture!$B$2:$F$137,3,FALSE)&lt;&gt;0,VLOOKUP(F107,Fixture!$B$2:$F$137,3,FALSE),"")</f>
        <v>La Amistad</v>
      </c>
      <c r="H107" s="44">
        <f ca="1">IF($D107="Finalizado",_xlfn.XLOOKUP(G107,Resumen!$A$6:$A$22,Resumen!BB$6:BB$22,0),"")</f>
        <v>12</v>
      </c>
      <c r="I107" s="44">
        <f ca="1">IF($D107="Finalizado",_xlfn.XLOOKUP(G107,Resumen!$A$6:$A$22,Resumen!BC$6:BC$22,0),"")</f>
        <v>0</v>
      </c>
      <c r="J107" s="44">
        <f ca="1">IF($D107="Finalizado",_xlfn.XLOOKUP(G107,Resumen!$A$6:$A$22,Resumen!BD$6:BD$22,0)+_xlfn.XLOOKUP(G107,Resumen!$A$6:$A$22,Resumen!BE$6:BE$22,0),"")</f>
        <v>0</v>
      </c>
      <c r="K107" s="44">
        <f t="shared" ca="1" si="93"/>
        <v>1</v>
      </c>
      <c r="L107" s="44">
        <f t="shared" ca="1" si="82"/>
        <v>0</v>
      </c>
      <c r="M107" s="44">
        <f t="shared" ca="1" si="83"/>
        <v>0</v>
      </c>
      <c r="N107" s="44">
        <f t="shared" ca="1" si="84"/>
        <v>1</v>
      </c>
      <c r="O107" s="45">
        <f t="shared" ca="1" si="85"/>
        <v>0</v>
      </c>
      <c r="P107" s="42" t="str">
        <f>IF(VLOOKUP(F107,Fixture!$B$2:$F$137,5,FALSE)&lt;&gt;0,VLOOKUP(F107,Fixture!$B$2:$F$137,5,FALSE),"")</f>
        <v>La Nueva Era</v>
      </c>
      <c r="Q107" s="44">
        <f ca="1">IF($D107="Finalizado",_xlfn.XLOOKUP(P107,Resumen!$A$6:$A$22,Resumen!BB$6:BB$22,0),"")</f>
        <v>2</v>
      </c>
      <c r="R107" s="44">
        <f ca="1">IF($D107="Finalizado",_xlfn.XLOOKUP(P107,Resumen!$A$6:$A$22,Resumen!BC$6:BC$22,0),"")</f>
        <v>0</v>
      </c>
      <c r="S107" s="44">
        <f ca="1">IF($D107="Finalizado",_xlfn.XLOOKUP(P107,Resumen!$A$6:$A$22,Resumen!BD$6:BD$22,0)+_xlfn.XLOOKUP(P107,Resumen!$A$6:$A$22,Resumen!BE$6:BE$22,0),"")</f>
        <v>0</v>
      </c>
      <c r="T107" s="44">
        <f t="shared" ca="1" si="86"/>
        <v>0</v>
      </c>
      <c r="U107" s="44">
        <f t="shared" ca="1" si="89"/>
        <v>0</v>
      </c>
      <c r="V107" s="44">
        <f t="shared" ca="1" si="90"/>
        <v>1</v>
      </c>
      <c r="W107" s="44">
        <f t="shared" ca="1" si="87"/>
        <v>1</v>
      </c>
      <c r="X107" s="45">
        <f t="shared" ca="1" si="88"/>
        <v>0</v>
      </c>
      <c r="Y107" s="206" t="str">
        <f>+A107</f>
        <v>Fecha 14</v>
      </c>
    </row>
    <row r="108" spans="1:52" x14ac:dyDescent="0.25">
      <c r="A108" s="213"/>
      <c r="B108" s="61">
        <f>IF(Fixture!C107,Fixture!C107,"")</f>
        <v>45795</v>
      </c>
      <c r="C108" s="58">
        <v>0.38194444444444442</v>
      </c>
      <c r="D108" s="82" t="str">
        <f t="shared" ca="1" si="106"/>
        <v>Finalizado</v>
      </c>
      <c r="E108" s="207"/>
      <c r="F108" s="43">
        <f>+Fixture!B107</f>
        <v>106</v>
      </c>
      <c r="G108" s="42" t="str">
        <f>IF(VLOOKUP(F108,Fixture!$B$2:$F$137,3,FALSE)&lt;&gt;0,VLOOKUP(F108,Fixture!$B$2:$F$137,3,FALSE),"")</f>
        <v>Konami</v>
      </c>
      <c r="H108" s="44">
        <f ca="1">IF($D108="Finalizado",_xlfn.XLOOKUP(G108,Resumen!$A$6:$A$22,Resumen!BB$6:BB$22,0),"")</f>
        <v>4</v>
      </c>
      <c r="I108" s="44">
        <f ca="1">IF($D108="Finalizado",_xlfn.XLOOKUP(G108,Resumen!$A$6:$A$22,Resumen!BC$6:BC$22,0),"")</f>
        <v>1</v>
      </c>
      <c r="J108" s="44">
        <f ca="1">IF($D108="Finalizado",_xlfn.XLOOKUP(G108,Resumen!$A$6:$A$22,Resumen!BD$6:BD$22,0)+_xlfn.XLOOKUP(G108,Resumen!$A$6:$A$22,Resumen!BE$6:BE$22,0),"")</f>
        <v>0</v>
      </c>
      <c r="K108" s="44">
        <f t="shared" ca="1" si="93"/>
        <v>1</v>
      </c>
      <c r="L108" s="44">
        <f t="shared" ca="1" si="82"/>
        <v>0</v>
      </c>
      <c r="M108" s="44">
        <f t="shared" ca="1" si="83"/>
        <v>0</v>
      </c>
      <c r="N108" s="44">
        <f t="shared" ca="1" si="84"/>
        <v>1</v>
      </c>
      <c r="O108" s="45">
        <f t="shared" ca="1" si="85"/>
        <v>5</v>
      </c>
      <c r="P108" s="42" t="str">
        <f>IF(VLOOKUP(F108,Fixture!$B$2:$F$137,5,FALSE)&lt;&gt;0,VLOOKUP(F108,Fixture!$B$2:$F$137,5,FALSE),"")</f>
        <v>Los Amigos</v>
      </c>
      <c r="Q108" s="44">
        <f ca="1">IF($D108="Finalizado",_xlfn.XLOOKUP(P108,Resumen!$A$6:$A$22,Resumen!BF$6:BF$22,0),"")</f>
        <v>2</v>
      </c>
      <c r="R108" s="44">
        <f ca="1">IF($D108="Finalizado",_xlfn.XLOOKUP(P108,Resumen!$A$6:$A$22,Resumen!BG$6:BG$22,0),"")</f>
        <v>2</v>
      </c>
      <c r="S108" s="44">
        <f ca="1">IF($D108="Finalizado",_xlfn.XLOOKUP(P108,Resumen!$A$6:$A$22,Resumen!BH$6:BH$22,0)+_xlfn.XLOOKUP(P108,Resumen!$A$6:$A$22,Resumen!BI$6:BI$22,0),"")</f>
        <v>1</v>
      </c>
      <c r="T108" s="44">
        <f t="shared" ca="1" si="86"/>
        <v>0</v>
      </c>
      <c r="U108" s="44">
        <f t="shared" ca="1" si="89"/>
        <v>0</v>
      </c>
      <c r="V108" s="44">
        <f t="shared" ca="1" si="90"/>
        <v>1</v>
      </c>
      <c r="W108" s="44">
        <f t="shared" ca="1" si="87"/>
        <v>1</v>
      </c>
      <c r="X108" s="45">
        <f t="shared" ca="1" si="88"/>
        <v>20</v>
      </c>
      <c r="Y108" s="207"/>
    </row>
    <row r="109" spans="1:52" x14ac:dyDescent="0.25">
      <c r="A109" s="213"/>
      <c r="B109" s="61">
        <f>IF(Fixture!C108,Fixture!C108,"")</f>
        <v>45795</v>
      </c>
      <c r="C109" s="58">
        <v>0.43055555555555602</v>
      </c>
      <c r="D109" s="82" t="str">
        <f t="shared" ca="1" si="106"/>
        <v>Finalizado</v>
      </c>
      <c r="E109" s="207"/>
      <c r="F109" s="43">
        <f>+Fixture!B108</f>
        <v>107</v>
      </c>
      <c r="G109" s="42" t="str">
        <f>IF(VLOOKUP(F109,Fixture!$B$2:$F$137,3,FALSE)&lt;&gt;0,VLOOKUP(F109,Fixture!$B$2:$F$137,3,FALSE),"")</f>
        <v>Deportivo Fénix</v>
      </c>
      <c r="H109" s="44">
        <f ca="1">IF($D109="Finalizado",_xlfn.XLOOKUP(G109,Resumen!$A$6:$A$22,Resumen!BB$6:BB$22,0),"")</f>
        <v>5</v>
      </c>
      <c r="I109" s="44">
        <f ca="1">IF($D109="Finalizado",_xlfn.XLOOKUP(G109,Resumen!$A$6:$A$22,Resumen!BC$6:BC$22,0),"")</f>
        <v>0</v>
      </c>
      <c r="J109" s="44">
        <f ca="1">IF($D109="Finalizado",_xlfn.XLOOKUP(G109,Resumen!$A$6:$A$22,Resumen!BD$6:BD$22,0)+_xlfn.XLOOKUP(G109,Resumen!$A$6:$A$22,Resumen!BE$6:BE$22,0),"")</f>
        <v>0</v>
      </c>
      <c r="K109" s="44">
        <f t="shared" ca="1" si="93"/>
        <v>1</v>
      </c>
      <c r="L109" s="44">
        <f t="shared" ca="1" si="82"/>
        <v>0</v>
      </c>
      <c r="M109" s="44">
        <f t="shared" ca="1" si="83"/>
        <v>0</v>
      </c>
      <c r="N109" s="44">
        <f t="shared" ca="1" si="84"/>
        <v>1</v>
      </c>
      <c r="O109" s="45">
        <f t="shared" ca="1" si="85"/>
        <v>0</v>
      </c>
      <c r="P109" s="42" t="str">
        <f>IF(VLOOKUP(F109,Fixture!$B$2:$F$137,5,FALSE)&lt;&gt;0,VLOOKUP(F109,Fixture!$B$2:$F$137,5,FALSE),"")</f>
        <v>Los Aliados</v>
      </c>
      <c r="Q109" s="44">
        <f ca="1">IF($D109="Finalizado",_xlfn.XLOOKUP(P109,Resumen!$A$6:$A$22,Resumen!BF$6:BF$22,0),"")</f>
        <v>3</v>
      </c>
      <c r="R109" s="44">
        <f ca="1">IF($D109="Finalizado",_xlfn.XLOOKUP(P109,Resumen!$A$6:$A$22,Resumen!BG$6:BG$22,0),"")</f>
        <v>0</v>
      </c>
      <c r="S109" s="44">
        <f ca="1">IF($D109="Finalizado",_xlfn.XLOOKUP(P109,Resumen!$A$6:$A$22,Resumen!BH$6:BH$22,0)+_xlfn.XLOOKUP(P109,Resumen!$A$6:$A$22,Resumen!BI$6:BI$22,0),"")</f>
        <v>0</v>
      </c>
      <c r="T109" s="44">
        <f t="shared" ca="1" si="86"/>
        <v>0</v>
      </c>
      <c r="U109" s="44">
        <f t="shared" ca="1" si="89"/>
        <v>0</v>
      </c>
      <c r="V109" s="44">
        <f t="shared" ca="1" si="90"/>
        <v>1</v>
      </c>
      <c r="W109" s="44">
        <f t="shared" ca="1" si="87"/>
        <v>1</v>
      </c>
      <c r="X109" s="45">
        <f t="shared" ca="1" si="88"/>
        <v>0</v>
      </c>
      <c r="Y109" s="207"/>
    </row>
    <row r="110" spans="1:52" x14ac:dyDescent="0.25">
      <c r="A110" s="213"/>
      <c r="B110" s="61">
        <f>IF(Fixture!C109,Fixture!C109,"")</f>
        <v>45795</v>
      </c>
      <c r="C110" s="58">
        <v>0.47916666666666602</v>
      </c>
      <c r="D110" s="82" t="str">
        <f t="shared" ca="1" si="106"/>
        <v>Finalizado</v>
      </c>
      <c r="E110" s="207"/>
      <c r="F110" s="43">
        <f>+Fixture!B109</f>
        <v>108</v>
      </c>
      <c r="G110" s="42" t="str">
        <f>IF(VLOOKUP(F110,Fixture!$B$2:$F$137,3,FALSE)&lt;&gt;0,VLOOKUP(F110,Fixture!$B$2:$F$137,3,FALSE),"")</f>
        <v>La Unión FC</v>
      </c>
      <c r="H110" s="44">
        <f ca="1">IF($D110="Finalizado",_xlfn.XLOOKUP(G110,Resumen!$A$6:$A$22,Resumen!BB$6:BB$22,0),"")</f>
        <v>4</v>
      </c>
      <c r="I110" s="44">
        <f ca="1">IF($D110="Finalizado",_xlfn.XLOOKUP(G110,Resumen!$A$6:$A$22,Resumen!BC$6:BC$22,0),"")</f>
        <v>1</v>
      </c>
      <c r="J110" s="44">
        <f ca="1">IF($D110="Finalizado",_xlfn.XLOOKUP(G110,Resumen!$A$6:$A$22,Resumen!BD$6:BD$22,0)+_xlfn.XLOOKUP(G110,Resumen!$A$6:$A$22,Resumen!BE$6:BE$22,0),"")</f>
        <v>0</v>
      </c>
      <c r="K110" s="44">
        <f t="shared" ca="1" si="93"/>
        <v>1</v>
      </c>
      <c r="L110" s="44">
        <f t="shared" ca="1" si="82"/>
        <v>0</v>
      </c>
      <c r="M110" s="44">
        <f t="shared" ca="1" si="83"/>
        <v>0</v>
      </c>
      <c r="N110" s="44">
        <f t="shared" ca="1" si="84"/>
        <v>1</v>
      </c>
      <c r="O110" s="45">
        <f t="shared" ca="1" si="85"/>
        <v>5</v>
      </c>
      <c r="P110" s="42" t="str">
        <f>IF(VLOOKUP(F110,Fixture!$B$2:$F$137,5,FALSE)&lt;&gt;0,VLOOKUP(F110,Fixture!$B$2:$F$137,5,FALSE),"")</f>
        <v>Amenadim</v>
      </c>
      <c r="Q110" s="44">
        <f ca="1">IF($D110="Finalizado",_xlfn.XLOOKUP(P110,Resumen!$A$6:$A$22,Resumen!AX$6:AX$22,0),"")</f>
        <v>3</v>
      </c>
      <c r="R110" s="44">
        <f ca="1">IF($D110="Finalizado",_xlfn.XLOOKUP(P110,Resumen!$A$6:$A$22,Resumen!AY$6:AY$22,0),"")</f>
        <v>0</v>
      </c>
      <c r="S110" s="44">
        <f ca="1">IF($D110="Finalizado",_xlfn.XLOOKUP(P110,Resumen!$A$6:$A$22,Resumen!AZ$6:AZ$22,0)+_xlfn.XLOOKUP(P110,Resumen!$A$6:$A$22,Resumen!BA$6:BA$22,0),"")</f>
        <v>0</v>
      </c>
      <c r="T110" s="44">
        <f t="shared" ca="1" si="86"/>
        <v>0</v>
      </c>
      <c r="U110" s="44">
        <f t="shared" ca="1" si="89"/>
        <v>0</v>
      </c>
      <c r="V110" s="44">
        <f t="shared" ca="1" si="90"/>
        <v>1</v>
      </c>
      <c r="W110" s="44">
        <f t="shared" ca="1" si="87"/>
        <v>1</v>
      </c>
      <c r="X110" s="45">
        <f t="shared" ca="1" si="88"/>
        <v>0</v>
      </c>
      <c r="Y110" s="207"/>
    </row>
    <row r="111" spans="1:52" x14ac:dyDescent="0.25">
      <c r="A111" s="213"/>
      <c r="B111" s="61">
        <f>IF(Fixture!C110,Fixture!C110,"")</f>
        <v>45795</v>
      </c>
      <c r="C111" s="58">
        <v>0.52777777777777701</v>
      </c>
      <c r="D111" s="82" t="str">
        <f t="shared" ca="1" si="106"/>
        <v>Finalizado</v>
      </c>
      <c r="E111" s="207"/>
      <c r="F111" s="43">
        <f>+Fixture!B110</f>
        <v>109</v>
      </c>
      <c r="G111" s="42" t="str">
        <f>IF(VLOOKUP(F111,Fixture!$B$2:$F$137,3,FALSE)&lt;&gt;0,VLOOKUP(F111,Fixture!$B$2:$F$137,3,FALSE),"")</f>
        <v>Atalanta</v>
      </c>
      <c r="H111" s="44">
        <f ca="1">IF($D111="Finalizado",_xlfn.XLOOKUP(G111,Resumen!$A$6:$A$22,Resumen!BB$6:BB$22,0),"")</f>
        <v>1</v>
      </c>
      <c r="I111" s="44">
        <f ca="1">IF($D111="Finalizado",_xlfn.XLOOKUP(G111,Resumen!$A$6:$A$22,Resumen!BC$6:BC$22,0),"")</f>
        <v>0</v>
      </c>
      <c r="J111" s="44">
        <f ca="1">IF($D111="Finalizado",_xlfn.XLOOKUP(G111,Resumen!$A$6:$A$22,Resumen!BD$6:BD$22,0)+_xlfn.XLOOKUP(G111,Resumen!$A$6:$A$22,Resumen!BE$6:BE$22,0),"")</f>
        <v>0</v>
      </c>
      <c r="K111" s="44">
        <f t="shared" ca="1" si="93"/>
        <v>0</v>
      </c>
      <c r="L111" s="44">
        <f t="shared" ca="1" si="82"/>
        <v>1</v>
      </c>
      <c r="M111" s="44">
        <f t="shared" ca="1" si="83"/>
        <v>0</v>
      </c>
      <c r="N111" s="44">
        <f t="shared" ca="1" si="84"/>
        <v>1</v>
      </c>
      <c r="O111" s="45">
        <f t="shared" ca="1" si="85"/>
        <v>0</v>
      </c>
      <c r="P111" s="42" t="str">
        <f>IF(VLOOKUP(F111,Fixture!$B$2:$F$137,5,FALSE)&lt;&gt;0,VLOOKUP(F111,Fixture!$B$2:$F$137,5,FALSE),"")</f>
        <v>Villanueva</v>
      </c>
      <c r="Q111" s="44">
        <f ca="1">IF($D111="Finalizado",_xlfn.XLOOKUP(P111,Resumen!$A$6:$A$22,Resumen!BB$6:BB$22,0),"")</f>
        <v>1</v>
      </c>
      <c r="R111" s="44">
        <f ca="1">IF($D111="Finalizado",_xlfn.XLOOKUP(P111,Resumen!$A$6:$A$22,Resumen!BC$6:BC$22,0),"")</f>
        <v>2</v>
      </c>
      <c r="S111" s="44">
        <f ca="1">IF($D111="Finalizado",_xlfn.XLOOKUP(P111,Resumen!$A$6:$A$22,Resumen!BD$6:BD$22,0)+_xlfn.XLOOKUP(P111,Resumen!$A$6:$A$22,Resumen!BE$6:BE$22,0),"")</f>
        <v>0</v>
      </c>
      <c r="T111" s="44">
        <f t="shared" ca="1" si="86"/>
        <v>0</v>
      </c>
      <c r="U111" s="44">
        <f t="shared" ca="1" si="89"/>
        <v>1</v>
      </c>
      <c r="V111" s="44">
        <f t="shared" ca="1" si="90"/>
        <v>0</v>
      </c>
      <c r="W111" s="44">
        <f t="shared" ca="1" si="87"/>
        <v>1</v>
      </c>
      <c r="X111" s="45">
        <f t="shared" ca="1" si="88"/>
        <v>10</v>
      </c>
      <c r="Y111" s="207"/>
    </row>
    <row r="112" spans="1:52" x14ac:dyDescent="0.25">
      <c r="A112" s="213"/>
      <c r="B112" s="61">
        <f>IF(Fixture!C111,Fixture!C111,"")</f>
        <v>45795</v>
      </c>
      <c r="C112" s="58">
        <v>0.57638888888888895</v>
      </c>
      <c r="D112" s="82" t="str">
        <f ca="1">IF(OR(B112="",C112="",B112&lt;$A$1),"Finalizado",IF(B112=$A$1,IF(AND(C112&lt;=$D$1,$D$1&lt;=(C112+0.08333333333)),"En juego",IF($A$1&lt;C112,"HOY!","Finalizado")),IF($D$1&gt;B112,"Finalizado","Proximamente..")))</f>
        <v>Finalizado</v>
      </c>
      <c r="E112" s="207"/>
      <c r="F112" s="43">
        <f>+Fixture!B111</f>
        <v>110</v>
      </c>
      <c r="G112" s="42" t="str">
        <f>IF(VLOOKUP(F112,Fixture!$B$2:$F$137,3,FALSE)&lt;&gt;0,VLOOKUP(F112,Fixture!$B$2:$F$137,3,FALSE),"")</f>
        <v>Valentín FC</v>
      </c>
      <c r="H112" s="44">
        <f ca="1">IF($D112="Finalizado",_xlfn.XLOOKUP(G112,Resumen!$A$6:$A$22,Resumen!BB$6:BB$22,0),"")</f>
        <v>5</v>
      </c>
      <c r="I112" s="44">
        <f ca="1">IF($D112="Finalizado",_xlfn.XLOOKUP(G112,Resumen!$A$6:$A$22,Resumen!BC$6:BC$22,0),"")</f>
        <v>1</v>
      </c>
      <c r="J112" s="44">
        <f ca="1">IF($D112="Finalizado",_xlfn.XLOOKUP(G112,Resumen!$A$6:$A$22,Resumen!BD$6:BD$22,0)+_xlfn.XLOOKUP(G112,Resumen!$A$6:$A$22,Resumen!BE$6:BE$22,0),"")</f>
        <v>0</v>
      </c>
      <c r="K112" s="44">
        <f t="shared" ca="1" si="93"/>
        <v>1</v>
      </c>
      <c r="L112" s="44">
        <f t="shared" ca="1" si="82"/>
        <v>0</v>
      </c>
      <c r="M112" s="44">
        <f t="shared" ca="1" si="83"/>
        <v>0</v>
      </c>
      <c r="N112" s="44">
        <f t="shared" ca="1" si="84"/>
        <v>1</v>
      </c>
      <c r="O112" s="45">
        <f t="shared" ca="1" si="85"/>
        <v>5</v>
      </c>
      <c r="P112" s="42" t="str">
        <f>IF(VLOOKUP(F112,Fixture!$B$2:$F$137,5,FALSE)&lt;&gt;0,VLOOKUP(F112,Fixture!$B$2:$F$137,5,FALSE),"")</f>
        <v>Boca Juniors</v>
      </c>
      <c r="Q112" s="44">
        <f ca="1">IF($D112="Finalizado",_xlfn.XLOOKUP(P112,Resumen!$A$6:$A$22,Resumen!BB$6:BB$22,0),"")</f>
        <v>0</v>
      </c>
      <c r="R112" s="44">
        <f ca="1">IF($D112="Finalizado",_xlfn.XLOOKUP(P112,Resumen!$A$6:$A$22,Resumen!BC$6:BC$22,0),"")</f>
        <v>1</v>
      </c>
      <c r="S112" s="44">
        <f ca="1">IF($D112="Finalizado",_xlfn.XLOOKUP(P112,Resumen!$A$6:$A$22,Resumen!BD$6:BD$22,0)+_xlfn.XLOOKUP(P112,Resumen!$A$6:$A$22,Resumen!BE$6:BE$22,0),"")</f>
        <v>0</v>
      </c>
      <c r="T112" s="44">
        <f t="shared" ca="1" si="86"/>
        <v>0</v>
      </c>
      <c r="U112" s="44">
        <f t="shared" ca="1" si="89"/>
        <v>0</v>
      </c>
      <c r="V112" s="44">
        <f t="shared" ca="1" si="90"/>
        <v>1</v>
      </c>
      <c r="W112" s="44">
        <f t="shared" ca="1" si="87"/>
        <v>1</v>
      </c>
      <c r="X112" s="45">
        <f t="shared" ca="1" si="88"/>
        <v>5</v>
      </c>
      <c r="Y112" s="207"/>
    </row>
    <row r="113" spans="1:40" x14ac:dyDescent="0.25">
      <c r="A113" s="213"/>
      <c r="B113" s="61">
        <f>IF(Fixture!C112,Fixture!C112,"")</f>
        <v>45795</v>
      </c>
      <c r="C113" s="58">
        <v>0.625</v>
      </c>
      <c r="D113" s="82" t="str">
        <f t="shared" ref="D113" ca="1" si="114">IF(OR(B113="",C113="",B113&lt;$A$1),"Finalizado",IF(B113=$A$1,IF(AND(C113&lt;=$D$1,$D$1&lt;=(C113+0.08333333333)),"En juego",IF($A$1&lt;C113,"HOY!","Finalizado")),IF($D$1&gt;B113,"Finalizado","Proximamente..")))</f>
        <v>Finalizado</v>
      </c>
      <c r="E113" s="207"/>
      <c r="F113" s="43">
        <f>+Fixture!B112</f>
        <v>111</v>
      </c>
      <c r="G113" s="42" t="str">
        <f>IF(VLOOKUP(F113,Fixture!$B$2:$F$137,3,FALSE)&lt;&gt;0,VLOOKUP(F113,Fixture!$B$2:$F$137,3,FALSE),"")</f>
        <v>CD El Corozo</v>
      </c>
      <c r="H113" s="44">
        <f ca="1">IF($D113="Finalizado",_xlfn.XLOOKUP(G113,Resumen!$A$6:$A$22,Resumen!BB$6:BB$22,0),"")</f>
        <v>4</v>
      </c>
      <c r="I113" s="44">
        <f ca="1">IF($D113="Finalizado",_xlfn.XLOOKUP(G113,Resumen!$A$6:$A$22,Resumen!BC$6:BC$22,0),"")</f>
        <v>3</v>
      </c>
      <c r="J113" s="44">
        <f ca="1">IF($D113="Finalizado",_xlfn.XLOOKUP(G113,Resumen!$A$6:$A$22,Resumen!BD$6:BD$22,0)+_xlfn.XLOOKUP(G113,Resumen!$A$6:$A$22,Resumen!BE$6:BE$22,0),"")</f>
        <v>0</v>
      </c>
      <c r="K113" s="44">
        <f t="shared" ca="1" si="93"/>
        <v>1</v>
      </c>
      <c r="L113" s="44">
        <f t="shared" ca="1" si="82"/>
        <v>0</v>
      </c>
      <c r="M113" s="44">
        <f t="shared" ca="1" si="83"/>
        <v>0</v>
      </c>
      <c r="N113" s="44">
        <f t="shared" ca="1" si="84"/>
        <v>1</v>
      </c>
      <c r="O113" s="45">
        <f t="shared" ca="1" si="85"/>
        <v>15</v>
      </c>
      <c r="P113" s="42" t="str">
        <f>IF(VLOOKUP(F113,Fixture!$B$2:$F$137,5,FALSE)&lt;&gt;0,VLOOKUP(F113,Fixture!$B$2:$F$137,5,FALSE),"")</f>
        <v>Ron Star</v>
      </c>
      <c r="Q113" s="44">
        <f ca="1">IF($D113="Finalizado",_xlfn.XLOOKUP(P113,Resumen!$A$6:$A$22,Resumen!BB$6:BB$22,0),"")</f>
        <v>1</v>
      </c>
      <c r="R113" s="44">
        <f ca="1">IF($D113="Finalizado",_xlfn.XLOOKUP(P113,Resumen!$A$6:$A$22,Resumen!BC$6:BC$22,0),"")</f>
        <v>0</v>
      </c>
      <c r="S113" s="44">
        <f ca="1">IF($D113="Finalizado",_xlfn.XLOOKUP(P113,Resumen!$A$6:$A$22,Resumen!BD$6:BD$22,0)+_xlfn.XLOOKUP(P113,Resumen!$A$6:$A$22,Resumen!BE$6:BE$22,0),"")</f>
        <v>0</v>
      </c>
      <c r="T113" s="44">
        <f t="shared" ca="1" si="86"/>
        <v>0</v>
      </c>
      <c r="U113" s="44">
        <f t="shared" ca="1" si="89"/>
        <v>0</v>
      </c>
      <c r="V113" s="44">
        <f t="shared" ca="1" si="90"/>
        <v>1</v>
      </c>
      <c r="W113" s="44">
        <f t="shared" ca="1" si="87"/>
        <v>1</v>
      </c>
      <c r="X113" s="45">
        <f t="shared" ca="1" si="88"/>
        <v>0</v>
      </c>
      <c r="Y113" s="207"/>
    </row>
    <row r="114" spans="1:40" ht="16.5" thickBot="1" x14ac:dyDescent="0.3">
      <c r="A114" s="214"/>
      <c r="B114" s="61">
        <f>IF(Fixture!C113,Fixture!C113,"")</f>
        <v>45795</v>
      </c>
      <c r="C114" s="58">
        <v>0.67361111111111105</v>
      </c>
      <c r="D114" s="82" t="str">
        <f ca="1">IF(OR(B114="",C114="",B114&lt;$A$1),"Finalizado",IF(B114=$A$1,IF(AND(C114&lt;=$D$1,$D$1&lt;=(C114+0.08333333333)),"En juego",IF($A$1&lt;C114,"HOY!","Finalizado")),IF($D$1&gt;B114,"Finalizado","Proximamente..")))</f>
        <v>Finalizado</v>
      </c>
      <c r="E114" s="208"/>
      <c r="F114" s="90">
        <f>+Fixture!B113</f>
        <v>112</v>
      </c>
      <c r="G114" s="42" t="str">
        <f>IF(VLOOKUP(F114,Fixture!$B$2:$F$137,3,FALSE)&lt;&gt;0,VLOOKUP(F114,Fixture!$B$2:$F$137,3,FALSE),"")</f>
        <v>Rayos FC</v>
      </c>
      <c r="H114" s="48">
        <f ca="1">IF($D114="Finalizado",_xlfn.XLOOKUP(G114,Resumen!$A$6:$A$22,Resumen!BB$6:BB$22,0),"")</f>
        <v>0</v>
      </c>
      <c r="I114" s="48">
        <f ca="1">IF($D114="Finalizado",_xlfn.XLOOKUP(G114,Resumen!$A$6:$A$22,Resumen!BC$6:BC$22,0),"")</f>
        <v>0</v>
      </c>
      <c r="J114" s="48">
        <f ca="1">IF($D114="Finalizado",_xlfn.XLOOKUP(G114,Resumen!$A$6:$A$22,Resumen!BD$6:BD$22,0)+_xlfn.XLOOKUP(G114,Resumen!$A$6:$A$22,Resumen!BE$6:BE$22,0),"")</f>
        <v>3</v>
      </c>
      <c r="K114" s="48">
        <f t="shared" ca="1" si="93"/>
        <v>0</v>
      </c>
      <c r="L114" s="48">
        <f t="shared" ca="1" si="82"/>
        <v>0</v>
      </c>
      <c r="M114" s="48">
        <f t="shared" ca="1" si="83"/>
        <v>1</v>
      </c>
      <c r="N114" s="48">
        <f t="shared" ca="1" si="84"/>
        <v>1</v>
      </c>
      <c r="O114" s="49">
        <f t="shared" ca="1" si="85"/>
        <v>30</v>
      </c>
      <c r="P114" s="42" t="str">
        <f>IF(VLOOKUP(F114,Fixture!$B$2:$F$137,5,FALSE)&lt;&gt;0,VLOOKUP(F114,Fixture!$B$2:$F$137,5,FALSE),"")</f>
        <v>Hojas Anchas</v>
      </c>
      <c r="Q114" s="48">
        <f ca="1">IF($D114="Finalizado",_xlfn.XLOOKUP(P114,Resumen!$A$6:$A$22,Resumen!BB$6:BB$22,0),"")</f>
        <v>3</v>
      </c>
      <c r="R114" s="48">
        <f ca="1">IF($D114="Finalizado",_xlfn.XLOOKUP(P114,Resumen!$A$6:$A$22,Resumen!BC$6:BC$22,0),"")</f>
        <v>0</v>
      </c>
      <c r="S114" s="48">
        <f ca="1">IF($D114="Finalizado",_xlfn.XLOOKUP(P114,Resumen!$A$6:$A$22,Resumen!BD$6:BD$22,0)+_xlfn.XLOOKUP(P114,Resumen!$A$6:$A$22,Resumen!BE$6:BE$22,0),"")</f>
        <v>0</v>
      </c>
      <c r="T114" s="48">
        <f t="shared" ca="1" si="86"/>
        <v>1</v>
      </c>
      <c r="U114" s="48">
        <f t="shared" ca="1" si="89"/>
        <v>0</v>
      </c>
      <c r="V114" s="48">
        <f t="shared" ca="1" si="90"/>
        <v>0</v>
      </c>
      <c r="W114" s="48">
        <f t="shared" ca="1" si="87"/>
        <v>1</v>
      </c>
      <c r="X114" s="49">
        <f t="shared" ca="1" si="88"/>
        <v>0</v>
      </c>
      <c r="Y114" s="208"/>
    </row>
    <row r="115" spans="1:40" x14ac:dyDescent="0.25">
      <c r="A115" s="212" t="s">
        <v>19</v>
      </c>
      <c r="B115" s="60">
        <f>IF(Fixture!C114,Fixture!C114,"")</f>
        <v>45802</v>
      </c>
      <c r="C115" s="58">
        <v>0.33333333333333331</v>
      </c>
      <c r="D115" s="82" t="str">
        <f ca="1">IF(OR(B115="",C115="",B115&lt;$A$1),"Finalizado",IF(B115=$A$1,IF(AND(C115&lt;=$D$1,$D$1&lt;=(C115+0.08333333333)),"En juego",IF($A$1&lt;C115,"HOY!","Finalizado")),IF($D$1&gt;B115,"Finalizado","Proximamente..")))</f>
        <v>Finalizado</v>
      </c>
      <c r="E115" s="206" t="s">
        <v>114</v>
      </c>
      <c r="F115" s="43">
        <f>+Fixture!B114</f>
        <v>113</v>
      </c>
      <c r="G115" s="42" t="str">
        <f>IF(VLOOKUP(F115,Fixture!$B$2:$F$137,3,FALSE)&lt;&gt;0,VLOOKUP(F115,Fixture!$B$2:$F$137,3,FALSE),"")</f>
        <v>Los Aliados</v>
      </c>
      <c r="H115" s="44">
        <f ca="1">IF($D115="Finalizado",_xlfn.XLOOKUP(G115,Resumen!$A$6:$A$22,Resumen!BF$6:BF$22,0),"")</f>
        <v>3</v>
      </c>
      <c r="I115" s="44">
        <f ca="1">IF($D115="Finalizado",_xlfn.XLOOKUP(G115,Resumen!$A$6:$A$22,Resumen!BG$6:BG$22,0),"")</f>
        <v>0</v>
      </c>
      <c r="J115" s="44">
        <f ca="1">IF($D115="Finalizado",_xlfn.XLOOKUP(G115,Resumen!$A$6:$A$22,Resumen!BH$6:BH$22,0)+_xlfn.XLOOKUP(G115,Resumen!$A$6:$A$22,Resumen!BI$6:BI$22,0),"")</f>
        <v>0</v>
      </c>
      <c r="K115" s="44">
        <f t="shared" ca="1" si="93"/>
        <v>0</v>
      </c>
      <c r="L115" s="44">
        <f t="shared" ca="1" si="82"/>
        <v>1</v>
      </c>
      <c r="M115" s="44">
        <f t="shared" ca="1" si="83"/>
        <v>0</v>
      </c>
      <c r="N115" s="44">
        <f t="shared" ca="1" si="84"/>
        <v>1</v>
      </c>
      <c r="O115" s="45">
        <f t="shared" ca="1" si="85"/>
        <v>0</v>
      </c>
      <c r="P115" s="42" t="str">
        <f>IF(VLOOKUP(F115,Fixture!$B$2:$F$137,5,FALSE)&lt;&gt;0,VLOOKUP(F115,Fixture!$B$2:$F$137,5,FALSE),"")</f>
        <v>Hojas Anchas</v>
      </c>
      <c r="Q115" s="44">
        <f ca="1">IF($D115="Finalizado",_xlfn.XLOOKUP(P115,Resumen!$A$6:$A$22,Resumen!BF$6:BF$22,0),"")</f>
        <v>3</v>
      </c>
      <c r="R115" s="44">
        <f ca="1">IF($D115="Finalizado",_xlfn.XLOOKUP(P115,Resumen!$A$6:$A$22,Resumen!BG$6:BG$22,0),"")</f>
        <v>0</v>
      </c>
      <c r="S115" s="44">
        <f ca="1">IF($D115="Finalizado",_xlfn.XLOOKUP(P115,Resumen!$A$6:$A$22,Resumen!BH$6:BH$22,0)+_xlfn.XLOOKUP(P115,Resumen!$A$6:$A$22,Resumen!BI$6:BI$22,0),"")</f>
        <v>0</v>
      </c>
      <c r="T115" s="44">
        <f t="shared" ca="1" si="86"/>
        <v>0</v>
      </c>
      <c r="U115" s="44">
        <f t="shared" ca="1" si="89"/>
        <v>1</v>
      </c>
      <c r="V115" s="44">
        <f t="shared" ca="1" si="90"/>
        <v>0</v>
      </c>
      <c r="W115" s="44">
        <f t="shared" ca="1" si="87"/>
        <v>1</v>
      </c>
      <c r="X115" s="45">
        <f t="shared" ca="1" si="88"/>
        <v>0</v>
      </c>
      <c r="Y115" s="206" t="str">
        <f>+A115</f>
        <v>Fecha 15</v>
      </c>
    </row>
    <row r="116" spans="1:40" x14ac:dyDescent="0.25">
      <c r="A116" s="213"/>
      <c r="B116" s="61">
        <f>IF(Fixture!C115,Fixture!C115,"")</f>
        <v>45802</v>
      </c>
      <c r="C116" s="58">
        <v>0.38194444444444442</v>
      </c>
      <c r="D116" s="82" t="str">
        <f ca="1">IF(OR(B116="",C116="",B116&lt;$A$1),"Finalizado",IF(B116=$A$1,IF(AND(C116&lt;=$D$1,$D$1&lt;=(C116+0.08333333333)),"En juego",IF($A$1&lt;C116,"HOY!","Finalizado")),IF($D$1&gt;B116,"Finalizado","Proximamente..")))</f>
        <v>Finalizado</v>
      </c>
      <c r="E116" s="207"/>
      <c r="F116" s="43">
        <f>+Fixture!B115</f>
        <v>114</v>
      </c>
      <c r="G116" s="42" t="str">
        <f>IF(VLOOKUP(F116,Fixture!$B$2:$F$137,3,FALSE)&lt;&gt;0,VLOOKUP(F116,Fixture!$B$2:$F$137,3,FALSE),"")</f>
        <v>Boca Juniors</v>
      </c>
      <c r="H116" s="44">
        <f ca="1">IF($D116="Finalizado",_xlfn.XLOOKUP(G116,Resumen!$A$6:$A$22,Resumen!BF$6:BF$22,0),"")</f>
        <v>4</v>
      </c>
      <c r="I116" s="44">
        <f ca="1">IF($D116="Finalizado",_xlfn.XLOOKUP(G116,Resumen!$A$6:$A$22,Resumen!BG$6:BG$22,0),"")</f>
        <v>3</v>
      </c>
      <c r="J116" s="44">
        <f ca="1">IF($D116="Finalizado",_xlfn.XLOOKUP(G116,Resumen!$A$6:$A$22,Resumen!BH$6:BH$22,0)+_xlfn.XLOOKUP(G116,Resumen!$A$6:$A$22,Resumen!BI$6:BI$22,0),"")</f>
        <v>0</v>
      </c>
      <c r="K116" s="44">
        <f t="shared" ca="1" si="93"/>
        <v>1</v>
      </c>
      <c r="L116" s="44">
        <f t="shared" ca="1" si="82"/>
        <v>0</v>
      </c>
      <c r="M116" s="44">
        <f t="shared" ca="1" si="83"/>
        <v>0</v>
      </c>
      <c r="N116" s="44">
        <f t="shared" ca="1" si="84"/>
        <v>1</v>
      </c>
      <c r="O116" s="45">
        <f t="shared" ca="1" si="85"/>
        <v>15</v>
      </c>
      <c r="P116" s="42" t="str">
        <f>IF(VLOOKUP(F116,Fixture!$B$2:$F$137,5,FALSE)&lt;&gt;0,VLOOKUP(F116,Fixture!$B$2:$F$137,5,FALSE),"")</f>
        <v>Amenadim</v>
      </c>
      <c r="Q116" s="44">
        <f ca="1">IF($D116="Finalizado",_xlfn.XLOOKUP(P116,Resumen!$A$6:$A$22,Resumen!BF$6:BF$22,0),"")</f>
        <v>2</v>
      </c>
      <c r="R116" s="44">
        <f ca="1">IF($D116="Finalizado",_xlfn.XLOOKUP(P116,Resumen!$A$6:$A$22,Resumen!BG$6:BG$22,0),"")</f>
        <v>2</v>
      </c>
      <c r="S116" s="44">
        <f ca="1">IF($D116="Finalizado",_xlfn.XLOOKUP(P116,Resumen!$A$6:$A$22,Resumen!BH$6:BH$22,0)+_xlfn.XLOOKUP(P116,Resumen!$A$6:$A$22,Resumen!BI$6:BI$22,0),"")</f>
        <v>0</v>
      </c>
      <c r="T116" s="44">
        <f t="shared" ca="1" si="86"/>
        <v>0</v>
      </c>
      <c r="U116" s="44">
        <f t="shared" ca="1" si="89"/>
        <v>0</v>
      </c>
      <c r="V116" s="44">
        <f t="shared" ca="1" si="90"/>
        <v>1</v>
      </c>
      <c r="W116" s="44">
        <f t="shared" ca="1" si="87"/>
        <v>1</v>
      </c>
      <c r="X116" s="45">
        <f t="shared" ca="1" si="88"/>
        <v>10</v>
      </c>
      <c r="Y116" s="207"/>
    </row>
    <row r="117" spans="1:40" x14ac:dyDescent="0.25">
      <c r="A117" s="213"/>
      <c r="B117" s="61">
        <f>IF(Fixture!C116,Fixture!C116,"")</f>
        <v>45802</v>
      </c>
      <c r="C117" s="58">
        <v>0.43055555555555602</v>
      </c>
      <c r="D117" s="82" t="str">
        <f ca="1">IF(OR(B117="",C117="",B117&lt;$A$1),"Finalizado",IF(B117=$A$1,IF(AND(C117&lt;=$D$1,$D$1&lt;=(C117+0.08333333333)),"En juego",IF($A$1&lt;C117,"HOY!","Finalizado")),IF($D$1&gt;B117,"Finalizado","Proximamente..")))</f>
        <v>Finalizado</v>
      </c>
      <c r="E117" s="207"/>
      <c r="F117" s="43">
        <f>+Fixture!B116</f>
        <v>115</v>
      </c>
      <c r="G117" s="42" t="str">
        <f>IF(VLOOKUP(F117,Fixture!$B$2:$F$137,3,FALSE)&lt;&gt;0,VLOOKUP(F117,Fixture!$B$2:$F$137,3,FALSE),"")</f>
        <v>Deportivo Fénix</v>
      </c>
      <c r="H117" s="44">
        <f ca="1">IF($D117="Finalizado",_xlfn.XLOOKUP(G117,Resumen!$A$6:$A$22,Resumen!BF$6:BF$22,0),"")</f>
        <v>2</v>
      </c>
      <c r="I117" s="44">
        <f ca="1">IF($D117="Finalizado",_xlfn.XLOOKUP(G117,Resumen!$A$6:$A$22,Resumen!BG$6:BG$22,0),"")</f>
        <v>1</v>
      </c>
      <c r="J117" s="44">
        <f ca="1">IF($D117="Finalizado",_xlfn.XLOOKUP(G117,Resumen!$A$6:$A$22,Resumen!BH$6:BH$22,0)+_xlfn.XLOOKUP(G117,Resumen!$A$6:$A$22,Resumen!BI$6:BI$22,0),"")</f>
        <v>0</v>
      </c>
      <c r="K117" s="44">
        <f t="shared" ca="1" si="93"/>
        <v>0</v>
      </c>
      <c r="L117" s="44">
        <f t="shared" ca="1" si="82"/>
        <v>0</v>
      </c>
      <c r="M117" s="44">
        <f t="shared" ca="1" si="83"/>
        <v>1</v>
      </c>
      <c r="N117" s="44">
        <f t="shared" ca="1" si="84"/>
        <v>1</v>
      </c>
      <c r="O117" s="45">
        <f t="shared" ca="1" si="85"/>
        <v>5</v>
      </c>
      <c r="P117" s="42" t="str">
        <f>IF(VLOOKUP(F117,Fixture!$B$2:$F$137,5,FALSE)&lt;&gt;0,VLOOKUP(F117,Fixture!$B$2:$F$137,5,FALSE),"")</f>
        <v>Ron Star</v>
      </c>
      <c r="Q117" s="44">
        <f ca="1">IF($D117="Finalizado",_xlfn.XLOOKUP(P117,Resumen!$A$6:$A$22,Resumen!BF$6:BF$22,0),"")</f>
        <v>9</v>
      </c>
      <c r="R117" s="44">
        <f ca="1">IF($D117="Finalizado",_xlfn.XLOOKUP(P117,Resumen!$A$6:$A$22,Resumen!BG$6:BG$22,0),"")</f>
        <v>1</v>
      </c>
      <c r="S117" s="44">
        <f ca="1">IF($D117="Finalizado",_xlfn.XLOOKUP(P117,Resumen!$A$6:$A$22,Resumen!BH$6:BH$22,0)+_xlfn.XLOOKUP(P117,Resumen!$A$6:$A$22,Resumen!BI$6:BI$22,0),"")</f>
        <v>0</v>
      </c>
      <c r="T117" s="44">
        <f t="shared" ca="1" si="86"/>
        <v>1</v>
      </c>
      <c r="U117" s="44">
        <f t="shared" ca="1" si="89"/>
        <v>0</v>
      </c>
      <c r="V117" s="44">
        <f t="shared" ca="1" si="90"/>
        <v>0</v>
      </c>
      <c r="W117" s="44">
        <f t="shared" ca="1" si="87"/>
        <v>1</v>
      </c>
      <c r="X117" s="45">
        <f t="shared" ca="1" si="88"/>
        <v>5</v>
      </c>
      <c r="Y117" s="207"/>
    </row>
    <row r="118" spans="1:40" x14ac:dyDescent="0.25">
      <c r="A118" s="213"/>
      <c r="B118" s="61">
        <f>IF(Fixture!C117,Fixture!C117,"")</f>
        <v>45802</v>
      </c>
      <c r="C118" s="58">
        <v>0.47916666666666602</v>
      </c>
      <c r="D118" s="82" t="str">
        <f ca="1">IF(OR(B118="",C118="",B118&lt;$A$1),"Finalizado",IF(B118=$A$1,IF(AND(C118&lt;=$D$1,$D$1&lt;=(C118+0.08333333333)),"En juego",IF($A$1&lt;C118,"HOY!","Finalizado")),IF($D$1&gt;B118,"Finalizado","Proximamente..")))</f>
        <v>Finalizado</v>
      </c>
      <c r="E118" s="207"/>
      <c r="F118" s="43">
        <f>+Fixture!B117</f>
        <v>116</v>
      </c>
      <c r="G118" s="42" t="str">
        <f>IF(VLOOKUP(F118,Fixture!$B$2:$F$137,3,FALSE)&lt;&gt;0,VLOOKUP(F118,Fixture!$B$2:$F$137,3,FALSE),"")</f>
        <v>La Unión FC</v>
      </c>
      <c r="H118" s="44">
        <f ca="1">IF($D118="Finalizado",_xlfn.XLOOKUP(G118,Resumen!$A$6:$A$22,Resumen!BF$6:BF$22,0),"")</f>
        <v>5</v>
      </c>
      <c r="I118" s="44">
        <f ca="1">IF($D118="Finalizado",_xlfn.XLOOKUP(G118,Resumen!$A$6:$A$22,Resumen!BG$6:BG$22,0),"")</f>
        <v>1</v>
      </c>
      <c r="J118" s="44">
        <f ca="1">IF($D118="Finalizado",_xlfn.XLOOKUP(G118,Resumen!$A$6:$A$22,Resumen!BH$6:BH$22,0)+_xlfn.XLOOKUP(G118,Resumen!$A$6:$A$22,Resumen!BI$6:BI$22,0),"")</f>
        <v>0</v>
      </c>
      <c r="K118" s="44">
        <f t="shared" ca="1" si="93"/>
        <v>1</v>
      </c>
      <c r="L118" s="44">
        <f t="shared" ca="1" si="82"/>
        <v>0</v>
      </c>
      <c r="M118" s="44">
        <f t="shared" ca="1" si="83"/>
        <v>0</v>
      </c>
      <c r="N118" s="44">
        <f t="shared" ca="1" si="84"/>
        <v>1</v>
      </c>
      <c r="O118" s="45">
        <f t="shared" ca="1" si="85"/>
        <v>5</v>
      </c>
      <c r="P118" s="42" t="str">
        <f>IF(VLOOKUP(F118,Fixture!$B$2:$F$137,5,FALSE)&lt;&gt;0,VLOOKUP(F118,Fixture!$B$2:$F$137,5,FALSE),"")</f>
        <v>Konami</v>
      </c>
      <c r="Q118" s="44">
        <f ca="1">IF($D118="Finalizado",_xlfn.XLOOKUP(P118,Resumen!$A$6:$A$22,Resumen!BF$6:BF$22,0),"")</f>
        <v>4</v>
      </c>
      <c r="R118" s="44">
        <f ca="1">IF($D118="Finalizado",_xlfn.XLOOKUP(P118,Resumen!$A$6:$A$22,Resumen!BG$6:BG$22,0),"")</f>
        <v>1</v>
      </c>
      <c r="S118" s="44">
        <f ca="1">IF($D118="Finalizado",_xlfn.XLOOKUP(P118,Resumen!$A$6:$A$22,Resumen!BH$6:BH$22,0)+_xlfn.XLOOKUP(P118,Resumen!$A$6:$A$22,Resumen!BI$6:BI$22,0),"")</f>
        <v>0</v>
      </c>
      <c r="T118" s="44">
        <f t="shared" ca="1" si="86"/>
        <v>0</v>
      </c>
      <c r="U118" s="44">
        <f t="shared" ca="1" si="89"/>
        <v>0</v>
      </c>
      <c r="V118" s="44">
        <f t="shared" ca="1" si="90"/>
        <v>1</v>
      </c>
      <c r="W118" s="44">
        <f t="shared" ca="1" si="87"/>
        <v>1</v>
      </c>
      <c r="X118" s="45">
        <f t="shared" ca="1" si="88"/>
        <v>5</v>
      </c>
      <c r="Y118" s="207"/>
    </row>
    <row r="119" spans="1:40" x14ac:dyDescent="0.25">
      <c r="A119" s="213"/>
      <c r="B119" s="61">
        <f>IF(Fixture!C118,Fixture!C118,"")</f>
        <v>45802</v>
      </c>
      <c r="C119" s="58">
        <v>0.52777777777777701</v>
      </c>
      <c r="D119" s="82" t="str">
        <f t="shared" ref="D119:D172" ca="1" si="115">IF(OR(B119="",C119="",B119&lt;$A$1),"Finalizado",IF(B119=$A$1,IF(AND(C119&lt;=$D$1,$D$1&lt;=(C119+0.08333333333)),"En juego",IF($A$1&lt;C119,"HOY!","Finalizado")),IF($D$1&gt;B119,"Finalizado","Proximamente..")))</f>
        <v>Finalizado</v>
      </c>
      <c r="E119" s="207"/>
      <c r="F119" s="43">
        <f>+Fixture!B118</f>
        <v>117</v>
      </c>
      <c r="G119" s="42" t="str">
        <f>IF(VLOOKUP(F119,Fixture!$B$2:$F$137,3,FALSE)&lt;&gt;0,VLOOKUP(F119,Fixture!$B$2:$F$137,3,FALSE),"")</f>
        <v>Atalanta</v>
      </c>
      <c r="H119" s="44">
        <f ca="1">IF($D119="Finalizado",_xlfn.XLOOKUP(G119,Resumen!$A$6:$A$22,Resumen!BF$6:BF$22,0),"")</f>
        <v>2</v>
      </c>
      <c r="I119" s="44">
        <f ca="1">IF($D119="Finalizado",_xlfn.XLOOKUP(G119,Resumen!$A$6:$A$22,Resumen!BG$6:BG$22,0),"")</f>
        <v>0</v>
      </c>
      <c r="J119" s="44">
        <f ca="1">IF($D119="Finalizado",_xlfn.XLOOKUP(G119,Resumen!$A$6:$A$22,Resumen!BH$6:BH$22,0)+_xlfn.XLOOKUP(G119,Resumen!$A$6:$A$22,Resumen!BI$6:BI$22,0),"")</f>
        <v>0</v>
      </c>
      <c r="K119" s="44">
        <f t="shared" ca="1" si="93"/>
        <v>0</v>
      </c>
      <c r="L119" s="44">
        <f t="shared" ca="1" si="82"/>
        <v>0</v>
      </c>
      <c r="M119" s="44">
        <f t="shared" ca="1" si="83"/>
        <v>1</v>
      </c>
      <c r="N119" s="44">
        <f t="shared" ca="1" si="84"/>
        <v>1</v>
      </c>
      <c r="O119" s="45">
        <f t="shared" ca="1" si="85"/>
        <v>0</v>
      </c>
      <c r="P119" s="42" t="str">
        <f>IF(VLOOKUP(F119,Fixture!$B$2:$F$137,5,FALSE)&lt;&gt;0,VLOOKUP(F119,Fixture!$B$2:$F$137,5,FALSE),"")</f>
        <v>La Nueva Era</v>
      </c>
      <c r="Q119" s="44">
        <f ca="1">IF($D119="Finalizado",_xlfn.XLOOKUP(P119,Resumen!$A$6:$A$22,Resumen!BF$6:BF$22,0),"")</f>
        <v>5</v>
      </c>
      <c r="R119" s="44">
        <f ca="1">IF($D119="Finalizado",_xlfn.XLOOKUP(P119,Resumen!$A$6:$A$22,Resumen!BG$6:BG$22,0),"")</f>
        <v>0</v>
      </c>
      <c r="S119" s="44">
        <f ca="1">IF($D119="Finalizado",_xlfn.XLOOKUP(P119,Resumen!$A$6:$A$22,Resumen!BH$6:BH$22,0)+_xlfn.XLOOKUP(P119,Resumen!$A$6:$A$22,Resumen!BI$6:BI$22,0),"")</f>
        <v>0</v>
      </c>
      <c r="T119" s="44">
        <f t="shared" ca="1" si="86"/>
        <v>1</v>
      </c>
      <c r="U119" s="44">
        <f t="shared" ca="1" si="89"/>
        <v>0</v>
      </c>
      <c r="V119" s="44">
        <f t="shared" ca="1" si="90"/>
        <v>0</v>
      </c>
      <c r="W119" s="44">
        <f t="shared" ca="1" si="87"/>
        <v>1</v>
      </c>
      <c r="X119" s="45">
        <f t="shared" ca="1" si="88"/>
        <v>0</v>
      </c>
      <c r="Y119" s="207"/>
    </row>
    <row r="120" spans="1:40" x14ac:dyDescent="0.25">
      <c r="A120" s="213"/>
      <c r="B120" s="61">
        <f>IF(Fixture!C119,Fixture!C119,"")</f>
        <v>45802</v>
      </c>
      <c r="C120" s="58">
        <v>0.57638888888888895</v>
      </c>
      <c r="D120" s="82" t="str">
        <f t="shared" ca="1" si="115"/>
        <v>Finalizado</v>
      </c>
      <c r="E120" s="207"/>
      <c r="F120" s="43">
        <f>+Fixture!B119</f>
        <v>118</v>
      </c>
      <c r="G120" s="42" t="str">
        <f>IF(VLOOKUP(F120,Fixture!$B$2:$F$137,3,FALSE)&lt;&gt;0,VLOOKUP(F120,Fixture!$B$2:$F$137,3,FALSE),"")</f>
        <v>Valentín FC</v>
      </c>
      <c r="H120" s="44">
        <f ca="1">IF($D120="Finalizado",_xlfn.XLOOKUP(G120,Resumen!$A$6:$A$22,Resumen!BF$6:BF$22,0),"")</f>
        <v>2</v>
      </c>
      <c r="I120" s="44">
        <f ca="1">IF($D120="Finalizado",_xlfn.XLOOKUP(G120,Resumen!$A$6:$A$22,Resumen!BG$6:BG$22,0),"")</f>
        <v>1</v>
      </c>
      <c r="J120" s="44">
        <f ca="1">IF($D120="Finalizado",_xlfn.XLOOKUP(G120,Resumen!$A$6:$A$22,Resumen!BH$6:BH$22,0)+_xlfn.XLOOKUP(G120,Resumen!$A$6:$A$22,Resumen!BI$6:BI$22,0),"")</f>
        <v>0</v>
      </c>
      <c r="K120" s="44">
        <f t="shared" ca="1" si="93"/>
        <v>0</v>
      </c>
      <c r="L120" s="44">
        <f t="shared" ca="1" si="82"/>
        <v>1</v>
      </c>
      <c r="M120" s="44">
        <f t="shared" ca="1" si="83"/>
        <v>0</v>
      </c>
      <c r="N120" s="44">
        <f t="shared" ca="1" si="84"/>
        <v>1</v>
      </c>
      <c r="O120" s="45">
        <f t="shared" ca="1" si="85"/>
        <v>5</v>
      </c>
      <c r="P120" s="42" t="str">
        <f>IF(VLOOKUP(F120,Fixture!$B$2:$F$137,5,FALSE)&lt;&gt;0,VLOOKUP(F120,Fixture!$B$2:$F$137,5,FALSE),"")</f>
        <v>Los Amigos</v>
      </c>
      <c r="Q120" s="44">
        <f ca="1">IF($D120="Finalizado",_xlfn.XLOOKUP(P120,Resumen!$A$6:$A$22,Resumen!BF$6:BF$22,0),"")</f>
        <v>2</v>
      </c>
      <c r="R120" s="44">
        <f ca="1">IF($D120="Finalizado",_xlfn.XLOOKUP(P120,Resumen!$A$6:$A$22,Resumen!BG$6:BG$22,0),"")</f>
        <v>2</v>
      </c>
      <c r="S120" s="44">
        <f ca="1">IF($D120="Finalizado",_xlfn.XLOOKUP(P120,Resumen!$A$6:$A$22,Resumen!BH$6:BH$22,0)+_xlfn.XLOOKUP(P120,Resumen!$A$6:$A$22,Resumen!BI$6:BI$22,0),"")</f>
        <v>1</v>
      </c>
      <c r="T120" s="44">
        <f t="shared" ca="1" si="86"/>
        <v>0</v>
      </c>
      <c r="U120" s="44">
        <f t="shared" ca="1" si="89"/>
        <v>1</v>
      </c>
      <c r="V120" s="44">
        <f t="shared" ca="1" si="90"/>
        <v>0</v>
      </c>
      <c r="W120" s="44">
        <f t="shared" ca="1" si="87"/>
        <v>1</v>
      </c>
      <c r="X120" s="45">
        <f t="shared" ca="1" si="88"/>
        <v>20</v>
      </c>
      <c r="Y120" s="207"/>
    </row>
    <row r="121" spans="1:40" ht="16.5" thickBot="1" x14ac:dyDescent="0.3">
      <c r="A121" s="213"/>
      <c r="B121" s="61">
        <f>IF(Fixture!C120,Fixture!C120,"")</f>
        <v>45802</v>
      </c>
      <c r="C121" s="58">
        <v>0.625</v>
      </c>
      <c r="D121" s="82" t="str">
        <f t="shared" ca="1" si="115"/>
        <v>Finalizado</v>
      </c>
      <c r="E121" s="207"/>
      <c r="F121" s="43">
        <f>+Fixture!B120</f>
        <v>119</v>
      </c>
      <c r="G121" s="42" t="str">
        <f>IF(VLOOKUP(F121,Fixture!$B$2:$F$137,3,FALSE)&lt;&gt;0,VLOOKUP(F121,Fixture!$B$2:$F$137,3,FALSE),"")</f>
        <v>CD El Corozo</v>
      </c>
      <c r="H121" s="44">
        <f ca="1">IF($D121="Finalizado",_xlfn.XLOOKUP(G121,Resumen!$A$6:$A$22,Resumen!BF$6:BF$22,0),"")</f>
        <v>2</v>
      </c>
      <c r="I121" s="44">
        <f ca="1">IF($D121="Finalizado",_xlfn.XLOOKUP(G121,Resumen!$A$6:$A$22,Resumen!BG$6:BG$22,0),"")</f>
        <v>1</v>
      </c>
      <c r="J121" s="44">
        <f ca="1">IF($D121="Finalizado",_xlfn.XLOOKUP(G121,Resumen!$A$6:$A$22,Resumen!BH$6:BH$22,0)+_xlfn.XLOOKUP(G121,Resumen!$A$6:$A$22,Resumen!BI$6:BI$22,0),"")</f>
        <v>0</v>
      </c>
      <c r="K121" s="44">
        <f t="shared" ca="1" si="93"/>
        <v>0</v>
      </c>
      <c r="L121" s="44">
        <f t="shared" ca="1" si="82"/>
        <v>0</v>
      </c>
      <c r="M121" s="44">
        <f t="shared" ca="1" si="83"/>
        <v>1</v>
      </c>
      <c r="N121" s="44">
        <f t="shared" ca="1" si="84"/>
        <v>1</v>
      </c>
      <c r="O121" s="45">
        <f t="shared" ca="1" si="85"/>
        <v>5</v>
      </c>
      <c r="P121" s="42" t="str">
        <f>IF(VLOOKUP(F121,Fixture!$B$2:$F$137,5,FALSE)&lt;&gt;0,VLOOKUP(F121,Fixture!$B$2:$F$137,5,FALSE),"")</f>
        <v>La Amistad</v>
      </c>
      <c r="Q121" s="44">
        <f ca="1">IF($D121="Finalizado",_xlfn.XLOOKUP(P121,Resumen!$A$6:$A$22,Resumen!BF$6:BF$22,0),"")</f>
        <v>3</v>
      </c>
      <c r="R121" s="44">
        <f ca="1">IF($D121="Finalizado",_xlfn.XLOOKUP(P121,Resumen!$A$6:$A$22,Resumen!BG$6:BG$22,0),"")</f>
        <v>2</v>
      </c>
      <c r="S121" s="44">
        <f ca="1">IF($D121="Finalizado",_xlfn.XLOOKUP(P121,Resumen!$A$6:$A$22,Resumen!BH$6:BH$22,0)+_xlfn.XLOOKUP(P121,Resumen!$A$6:$A$22,Resumen!BI$6:BI$22,0),"")</f>
        <v>0</v>
      </c>
      <c r="T121" s="44">
        <f t="shared" ca="1" si="86"/>
        <v>1</v>
      </c>
      <c r="U121" s="44">
        <f t="shared" ca="1" si="89"/>
        <v>0</v>
      </c>
      <c r="V121" s="44">
        <f t="shared" ca="1" si="90"/>
        <v>0</v>
      </c>
      <c r="W121" s="44">
        <f t="shared" ca="1" si="87"/>
        <v>1</v>
      </c>
      <c r="X121" s="45">
        <f t="shared" ca="1" si="88"/>
        <v>10</v>
      </c>
      <c r="Y121" s="207"/>
    </row>
    <row r="122" spans="1:40" ht="16.5" thickBot="1" x14ac:dyDescent="0.3">
      <c r="A122" s="214"/>
      <c r="B122" s="61">
        <f>IF(Fixture!C121,Fixture!C121,"")</f>
        <v>45802</v>
      </c>
      <c r="C122" s="58">
        <v>0.67361111111111105</v>
      </c>
      <c r="D122" s="82" t="str">
        <f t="shared" ca="1" si="115"/>
        <v>Finalizado</v>
      </c>
      <c r="E122" s="208"/>
      <c r="F122" s="90">
        <f>+Fixture!B121</f>
        <v>120</v>
      </c>
      <c r="G122" s="42" t="str">
        <f>IF(VLOOKUP(F122,Fixture!$B$2:$F$137,3,FALSE)&lt;&gt;0,VLOOKUP(F122,Fixture!$B$2:$F$137,3,FALSE),"")</f>
        <v>Rayos FC</v>
      </c>
      <c r="H122" s="48">
        <f ca="1">IF($D122="Finalizado",_xlfn.XLOOKUP(G122,Resumen!$A$6:$A$22,Resumen!BF$6:BF$22,0),"")</f>
        <v>0</v>
      </c>
      <c r="I122" s="48">
        <f ca="1">IF($D122="Finalizado",_xlfn.XLOOKUP(G122,Resumen!$A$6:$A$22,Resumen!BG$6:BG$22,0),"")</f>
        <v>0</v>
      </c>
      <c r="J122" s="48">
        <f ca="1">IF($D122="Finalizado",_xlfn.XLOOKUP(G122,Resumen!$A$6:$A$22,Resumen!BH$6:BH$22,0)+_xlfn.XLOOKUP(G122,Resumen!$A$6:$A$22,Resumen!BI$6:BI$22,0),"")</f>
        <v>3</v>
      </c>
      <c r="K122" s="48">
        <f t="shared" ca="1" si="93"/>
        <v>0</v>
      </c>
      <c r="L122" s="48">
        <f t="shared" ca="1" si="82"/>
        <v>0</v>
      </c>
      <c r="M122" s="48">
        <f t="shared" ca="1" si="83"/>
        <v>1</v>
      </c>
      <c r="N122" s="48">
        <f t="shared" ca="1" si="84"/>
        <v>1</v>
      </c>
      <c r="O122" s="49">
        <f t="shared" ca="1" si="85"/>
        <v>30</v>
      </c>
      <c r="P122" s="42" t="str">
        <f>IF(VLOOKUP(F122,Fixture!$B$2:$F$137,5,FALSE)&lt;&gt;0,VLOOKUP(F122,Fixture!$B$2:$F$137,5,FALSE),"")</f>
        <v>Villanueva</v>
      </c>
      <c r="Q122" s="48">
        <f ca="1">IF($D122="Finalizado",_xlfn.XLOOKUP(P122,Resumen!$A$6:$A$22,Resumen!BF$6:BF$22,0),"")</f>
        <v>3</v>
      </c>
      <c r="R122" s="48">
        <f ca="1">IF($D122="Finalizado",_xlfn.XLOOKUP(P122,Resumen!$A$6:$A$22,Resumen!BG$6:BG$22,0),"")</f>
        <v>0</v>
      </c>
      <c r="S122" s="48">
        <f ca="1">IF($D122="Finalizado",_xlfn.XLOOKUP(P122,Resumen!$A$6:$A$22,Resumen!BH$6:BH$22,0)+_xlfn.XLOOKUP(P122,Resumen!$A$6:$A$22,Resumen!BI$6:BI$22,0),"")</f>
        <v>0</v>
      </c>
      <c r="T122" s="44">
        <f t="shared" ca="1" si="86"/>
        <v>1</v>
      </c>
      <c r="U122" s="44">
        <f t="shared" ca="1" si="89"/>
        <v>0</v>
      </c>
      <c r="V122" s="44">
        <f t="shared" ca="1" si="90"/>
        <v>0</v>
      </c>
      <c r="W122" s="48">
        <f t="shared" ca="1" si="87"/>
        <v>1</v>
      </c>
      <c r="X122" s="49">
        <f t="shared" ca="1" si="88"/>
        <v>0</v>
      </c>
      <c r="Y122" s="208"/>
      <c r="AA122" s="40" t="s">
        <v>122</v>
      </c>
      <c r="AB122" s="40"/>
      <c r="AC122" s="41" t="s">
        <v>2</v>
      </c>
      <c r="AD122" s="40" t="s">
        <v>115</v>
      </c>
      <c r="AE122" s="40" t="s">
        <v>116</v>
      </c>
      <c r="AF122" s="40" t="s">
        <v>117</v>
      </c>
      <c r="AG122" s="40" t="s">
        <v>123</v>
      </c>
      <c r="AH122" s="40" t="s">
        <v>124</v>
      </c>
      <c r="AI122" s="40" t="s">
        <v>125</v>
      </c>
      <c r="AJ122" s="40" t="s">
        <v>126</v>
      </c>
      <c r="AK122" s="40" t="s">
        <v>127</v>
      </c>
      <c r="AL122" s="40" t="s">
        <v>119</v>
      </c>
      <c r="AM122"/>
    </row>
    <row r="123" spans="1:40" x14ac:dyDescent="0.25">
      <c r="A123" s="209" t="s">
        <v>20</v>
      </c>
      <c r="B123" s="60">
        <f>IF(Fixture!C122,Fixture!C122,"")</f>
        <v>45816</v>
      </c>
      <c r="C123" s="58">
        <v>0.33333333333333331</v>
      </c>
      <c r="D123" s="82" t="str">
        <f t="shared" ca="1" si="115"/>
        <v>Finalizado</v>
      </c>
      <c r="E123" s="197" t="s">
        <v>114</v>
      </c>
      <c r="F123" s="43">
        <f>+Fixture!B122</f>
        <v>121</v>
      </c>
      <c r="G123" s="42" t="str">
        <f>IF(VLOOKUP(F123,Fixture!$B$2:$F$137,3,FALSE)&lt;&gt;0,VLOOKUP(F123,Fixture!$B$2:$F$137,3,FALSE),"")</f>
        <v>Villanueva</v>
      </c>
      <c r="H123" s="44">
        <f ca="1">IF($D123="Finalizado",_xlfn.XLOOKUP(G123,Resumen!$A$6:$A$22,Resumen!BJ$6:BJ$22,0),"")</f>
        <v>3</v>
      </c>
      <c r="I123" s="44">
        <f ca="1">IF($D123="Finalizado",_xlfn.XLOOKUP(G123,Resumen!$A$6:$A$22,Resumen!BK$6:BK$22,0),"")</f>
        <v>1</v>
      </c>
      <c r="J123" s="44">
        <f ca="1">IF($D123="Finalizado",_xlfn.XLOOKUP(G123,Resumen!$A$6:$A$22,Resumen!BL$6:BL$22,0)+_xlfn.XLOOKUP(G123,Resumen!$A$6:$A$22,Resumen!BM$6:BM$22,0),"")</f>
        <v>0</v>
      </c>
      <c r="K123" s="44">
        <f t="shared" ca="1" si="93"/>
        <v>1</v>
      </c>
      <c r="L123" s="44">
        <f t="shared" ca="1" si="82"/>
        <v>0</v>
      </c>
      <c r="M123" s="44">
        <f t="shared" ca="1" si="83"/>
        <v>0</v>
      </c>
      <c r="N123" s="44">
        <f t="shared" ca="1" si="84"/>
        <v>1</v>
      </c>
      <c r="O123" s="45">
        <f t="shared" ca="1" si="85"/>
        <v>5</v>
      </c>
      <c r="P123" s="42" t="str">
        <f>IF(VLOOKUP(F123,Fixture!$B$2:$F$137,5,FALSE)&lt;&gt;0,VLOOKUP(F123,Fixture!$B$2:$F$137,5,FALSE),"")</f>
        <v>Konami</v>
      </c>
      <c r="Q123" s="44">
        <f ca="1">IF($D123="Finalizado",_xlfn.XLOOKUP(P123,Resumen!$A$6:$A$22,Resumen!BJ$6:BJ$22,0),"")</f>
        <v>0</v>
      </c>
      <c r="R123" s="44">
        <f ca="1">IF($D123="Finalizado",_xlfn.XLOOKUP(P123,Resumen!$A$6:$A$22,Resumen!BK$6:BK$22,0),"")</f>
        <v>1</v>
      </c>
      <c r="S123" s="44">
        <f ca="1">IF($D123="Finalizado",_xlfn.XLOOKUP(P123,Resumen!$A$6:$A$22,Resumen!BL$6:BL$22,0)+_xlfn.XLOOKUP(P123,Resumen!$A$6:$A$22,Resumen!BM$6:BM$22,0),"")</f>
        <v>0</v>
      </c>
      <c r="T123" s="44">
        <f t="shared" ca="1" si="86"/>
        <v>0</v>
      </c>
      <c r="U123" s="44">
        <f t="shared" ca="1" si="89"/>
        <v>0</v>
      </c>
      <c r="V123" s="44">
        <f t="shared" ca="1" si="90"/>
        <v>1</v>
      </c>
      <c r="W123" s="44">
        <f t="shared" ca="1" si="87"/>
        <v>1</v>
      </c>
      <c r="X123" s="45">
        <f t="shared" ca="1" si="88"/>
        <v>5</v>
      </c>
      <c r="Y123" s="197" t="str">
        <f>+A123</f>
        <v>Fecha 16</v>
      </c>
      <c r="AA123" s="19">
        <v>1</v>
      </c>
      <c r="AB123" s="19" t="e">
        <f ca="1">AJ123*1000+IF($D$123="Finalizado",AA130*10,0)+(AG123)+(AI123/10)+(AD123/1000)+IF(AL123&gt;0,(0.1/AL123),0)</f>
        <v>#N/A</v>
      </c>
      <c r="AC123" s="46" t="str">
        <f ca="1">+AC36</f>
        <v>La Unión FC</v>
      </c>
      <c r="AD123" t="e">
        <f ca="1">SUMIF($G$139:$G$176,AC123,$K$139:$K$176)+SUMIF($P$139:$P$176,AC123,$T$139:$T$176)</f>
        <v>#N/A</v>
      </c>
      <c r="AE123" t="e">
        <f ca="1">SUMIF($G$137:$G$176,AC123,$L$137:$L$176)+SUMIF($P$137:$P$176,AC123,$U$137:$U$176)</f>
        <v>#N/A</v>
      </c>
      <c r="AF123">
        <f ca="1">SUMIF($G$137:$G$176,AC123,$M$137:$M$176)+SUMIF($P$137:$P$176,AC136,$V$137:$V$176)</f>
        <v>0</v>
      </c>
      <c r="AG123" t="e">
        <f ca="1">SUMIF($G$137:$G$176,AC123,$H$137:$H$176)+SUMIF($P$137:$P$176,AC123,$Q$137:$Q$176)</f>
        <v>#VALUE!</v>
      </c>
      <c r="AH123" t="e">
        <f ca="1">SUMIF($G$137:$G$176,AC123,$Q$137:$Q$176)+SUMIF($P$131:$P$176,AC123,$H$137:$H$176)</f>
        <v>#VALUE!</v>
      </c>
      <c r="AI123" t="e">
        <f ca="1">+AG123-AH123</f>
        <v>#VALUE!</v>
      </c>
      <c r="AJ123" t="e">
        <f ca="1">AD123*3+AE123*1</f>
        <v>#N/A</v>
      </c>
      <c r="AK123">
        <f ca="1">SUMIF($G$137:$G$176,AC123,$N$137:$N$176)+SUMIF($P$137:$P$176,AC123,$W$137:$W$176)</f>
        <v>4</v>
      </c>
      <c r="AL123" t="e">
        <f ca="1">SUMIF($G$131:$G$176,AC123,$O$131:$O$176)+SUMIF($P$131:$P$176,AC123,$X$131:$X$176)</f>
        <v>#VALUE!</v>
      </c>
      <c r="AM123" t="e">
        <f ca="1">LARGE($AB$123:$AB$131,AA123)</f>
        <v>#N/A</v>
      </c>
      <c r="AN123" s="1" t="s">
        <v>90</v>
      </c>
    </row>
    <row r="124" spans="1:40" x14ac:dyDescent="0.25">
      <c r="A124" s="210"/>
      <c r="B124" s="61">
        <f>IF(Fixture!C123,Fixture!C123,"")</f>
        <v>45816</v>
      </c>
      <c r="C124" s="58">
        <v>0.38194444444444442</v>
      </c>
      <c r="D124" s="82" t="str">
        <f t="shared" ca="1" si="115"/>
        <v>Finalizado</v>
      </c>
      <c r="E124" s="198"/>
      <c r="F124" s="43">
        <f>+Fixture!B123</f>
        <v>122</v>
      </c>
      <c r="G124" s="42" t="str">
        <f>IF(VLOOKUP(F124,Fixture!$B$2:$F$137,3,FALSE)&lt;&gt;0,VLOOKUP(F124,Fixture!$B$2:$F$137,3,FALSE),"")</f>
        <v>La Nueva Era</v>
      </c>
      <c r="H124" s="44">
        <f ca="1">IF($D124="Finalizado",_xlfn.XLOOKUP(G124,Resumen!$A$6:$A$22,Resumen!BJ$6:BJ$22,0),"")</f>
        <v>0</v>
      </c>
      <c r="I124" s="44">
        <f ca="1">IF($D124="Finalizado",_xlfn.XLOOKUP(G124,Resumen!$A$6:$A$22,Resumen!BK$6:BK$22,0),"")</f>
        <v>0</v>
      </c>
      <c r="J124" s="44">
        <f ca="1">IF($D124="Finalizado",_xlfn.XLOOKUP(G124,Resumen!$A$6:$A$22,Resumen!BL$6:BL$22,0)+_xlfn.XLOOKUP(G124,Resumen!$A$6:$A$22,Resumen!BM$6:BM$22,0),"")</f>
        <v>0</v>
      </c>
      <c r="K124" s="44">
        <f t="shared" ca="1" si="93"/>
        <v>0</v>
      </c>
      <c r="L124" s="44">
        <f t="shared" ca="1" si="82"/>
        <v>0</v>
      </c>
      <c r="M124" s="44">
        <f t="shared" ca="1" si="83"/>
        <v>1</v>
      </c>
      <c r="N124" s="44">
        <f t="shared" ca="1" si="84"/>
        <v>1</v>
      </c>
      <c r="O124" s="45">
        <f t="shared" ca="1" si="85"/>
        <v>0</v>
      </c>
      <c r="P124" s="42" t="str">
        <f>IF(VLOOKUP(F124,Fixture!$B$2:$F$137,5,FALSE)&lt;&gt;0,VLOOKUP(F124,Fixture!$B$2:$F$137,5,FALSE),"")</f>
        <v>La Amistad</v>
      </c>
      <c r="Q124" s="44">
        <f ca="1">IF($D124="Finalizado",_xlfn.XLOOKUP(P124,Resumen!$A$6:$A$22,Resumen!BJ$6:BJ$22,0),"")</f>
        <v>9</v>
      </c>
      <c r="R124" s="44">
        <f ca="1">IF($D124="Finalizado",_xlfn.XLOOKUP(P124,Resumen!$A$6:$A$22,Resumen!BK$6:BK$22,0),"")</f>
        <v>0</v>
      </c>
      <c r="S124" s="44">
        <f ca="1">IF($D124="Finalizado",_xlfn.XLOOKUP(P124,Resumen!$A$6:$A$22,Resumen!BL$6:BL$22,0)+_xlfn.XLOOKUP(P124,Resumen!$A$6:$A$22,Resumen!BM$6:BM$22,0),"")</f>
        <v>0</v>
      </c>
      <c r="T124" s="44">
        <f t="shared" ca="1" si="86"/>
        <v>1</v>
      </c>
      <c r="U124" s="44">
        <f t="shared" ca="1" si="89"/>
        <v>0</v>
      </c>
      <c r="V124" s="44">
        <f t="shared" ca="1" si="90"/>
        <v>0</v>
      </c>
      <c r="W124" s="44">
        <f t="shared" ca="1" si="87"/>
        <v>1</v>
      </c>
      <c r="X124" s="45">
        <f t="shared" ca="1" si="88"/>
        <v>0</v>
      </c>
      <c r="Y124" s="198"/>
      <c r="AA124" s="19">
        <v>2</v>
      </c>
      <c r="AB124" s="19" t="e">
        <f ca="1">AJ124*1000+IF($D$123="Finalizado",AA129*10,0)+(AG124)+(AI124/10)+(AD124/1000)+IF(AL124&gt;0,(0.1/AL124),0)</f>
        <v>#N/A</v>
      </c>
      <c r="AC124" s="46" t="str">
        <f ca="1">+AC38</f>
        <v>Ron Star</v>
      </c>
      <c r="AD124" t="e">
        <f t="shared" ref="AD124:AD126" ca="1" si="116">SUMIF($G$131:$G$176,AC124,$K$131:$K$176)+SUMIF($P$131:$P$176,AC124,$T$131:$T$176)</f>
        <v>#N/A</v>
      </c>
      <c r="AE124" t="e">
        <f t="shared" ref="AE124:AE126" ca="1" si="117">SUMIF($G$131:$G$176,AC124,$L$131:$L$176)+SUMIF($P$131:$P$176,AC124,$U$131:$U$176)</f>
        <v>#N/A</v>
      </c>
      <c r="AF124" t="e">
        <f t="shared" ref="AF124:AF126" ca="1" si="118">SUMIF($G$131:$G$176,AC124,$M$131:$M$176)+SUMIF($P$131:$P$176,AC124,$V$131:$V$176)</f>
        <v>#N/A</v>
      </c>
      <c r="AG124" t="e">
        <f t="shared" ref="AG124:AG126" ca="1" si="119">SUMIF($G$131:$G$176,AC124,$H$131:$H$176)+SUMIF($P$131:$P$176,AC124,$Q$131:$Q$176)</f>
        <v>#VALUE!</v>
      </c>
      <c r="AH124" t="e">
        <f t="shared" ref="AH124:AH126" ca="1" si="120">SUMIF($G$131:$G$176,AC124,$Q$131:$Q$176)+SUMIF($P$131:$P$176,AC124,$H$131:$H$176)</f>
        <v>#N/A</v>
      </c>
      <c r="AI124" t="e">
        <f t="shared" ref="AI124:AI126" ca="1" si="121">+AG124-AH124</f>
        <v>#VALUE!</v>
      </c>
      <c r="AJ124" t="e">
        <f t="shared" ref="AJ124:AJ126" ca="1" si="122">AD124*3+AE124*1</f>
        <v>#N/A</v>
      </c>
      <c r="AK124">
        <f t="shared" ref="AK124:AK126" ca="1" si="123">SUMIF($G$131:$G$176,AC124,$N$131:$N$176)+SUMIF($P$131:$P$176,AC124,$W$131:$W$176)</f>
        <v>4</v>
      </c>
      <c r="AL124" t="e">
        <f t="shared" ref="AL124:AL126" ca="1" si="124">SUMIF($G$131:$G$176,AC124,$O$131:$O$176)+SUMIF($P$131:$P$176,AC124,$X$131:$X$176)</f>
        <v>#VALUE!</v>
      </c>
      <c r="AM124" t="e">
        <f t="shared" ref="AM124:AM131" ca="1" si="125">LARGE($AB$123:$AB$131,AA124)</f>
        <v>#N/A</v>
      </c>
    </row>
    <row r="125" spans="1:40" x14ac:dyDescent="0.25">
      <c r="A125" s="210"/>
      <c r="B125" s="61">
        <f>IF(Fixture!C124,Fixture!C124,"")</f>
        <v>45816</v>
      </c>
      <c r="C125" s="58">
        <v>0.43055555555555602</v>
      </c>
      <c r="D125" s="82" t="str">
        <f t="shared" ca="1" si="115"/>
        <v>Finalizado</v>
      </c>
      <c r="E125" s="198"/>
      <c r="F125" s="43">
        <f>+Fixture!B124</f>
        <v>123</v>
      </c>
      <c r="G125" s="42" t="str">
        <f>IF(VLOOKUP(F125,Fixture!$B$2:$F$137,3,FALSE)&lt;&gt;0,VLOOKUP(F125,Fixture!$B$2:$F$137,3,FALSE),"")</f>
        <v>Valentín FC</v>
      </c>
      <c r="H125" s="44">
        <f ca="1">IF($D125="Finalizado",_xlfn.XLOOKUP(G125,Resumen!$A$6:$A$22,Resumen!BJ$6:BJ$22,0),"")</f>
        <v>0</v>
      </c>
      <c r="I125" s="44">
        <f ca="1">IF($D125="Finalizado",_xlfn.XLOOKUP(G125,Resumen!$A$6:$A$22,Resumen!BK$6:BK$22,0),"")</f>
        <v>2</v>
      </c>
      <c r="J125" s="44">
        <f ca="1">IF($D125="Finalizado",_xlfn.XLOOKUP(G125,Resumen!$A$6:$A$22,Resumen!BL$6:BL$22,0)+_xlfn.XLOOKUP(G125,Resumen!$A$6:$A$22,Resumen!BM$6:BM$22,0),"")</f>
        <v>1</v>
      </c>
      <c r="K125" s="44">
        <f t="shared" ca="1" si="93"/>
        <v>0</v>
      </c>
      <c r="L125" s="44">
        <f t="shared" ca="1" si="82"/>
        <v>0</v>
      </c>
      <c r="M125" s="44">
        <f t="shared" ca="1" si="83"/>
        <v>1</v>
      </c>
      <c r="N125" s="44">
        <f t="shared" ca="1" si="84"/>
        <v>1</v>
      </c>
      <c r="O125" s="45">
        <f t="shared" ca="1" si="85"/>
        <v>20</v>
      </c>
      <c r="P125" s="42" t="str">
        <f>IF(VLOOKUP(F125,Fixture!$B$2:$F$137,5,FALSE)&lt;&gt;0,VLOOKUP(F125,Fixture!$B$2:$F$137,5,FALSE),"")</f>
        <v>Los Amigos</v>
      </c>
      <c r="Q125" s="44">
        <f ca="1">IF($D125="Finalizado",_xlfn.XLOOKUP(P125,Resumen!$A$6:$A$22,Resumen!BJ$6:BJ$22,0),"")</f>
        <v>4</v>
      </c>
      <c r="R125" s="44">
        <f ca="1">IF($D125="Finalizado",_xlfn.XLOOKUP(P125,Resumen!$A$6:$A$22,Resumen!BK$6:BK$22,0),"")</f>
        <v>2</v>
      </c>
      <c r="S125" s="44">
        <f ca="1">IF($D125="Finalizado",_xlfn.XLOOKUP(P125,Resumen!$A$6:$A$22,Resumen!BL$6:BL$22,0)+_xlfn.XLOOKUP(P125,Resumen!$A$6:$A$22,Resumen!BM$6:BM$22,0),"")</f>
        <v>0</v>
      </c>
      <c r="T125" s="44">
        <f t="shared" ca="1" si="86"/>
        <v>1</v>
      </c>
      <c r="U125" s="44">
        <f t="shared" ca="1" si="89"/>
        <v>0</v>
      </c>
      <c r="V125" s="44">
        <f t="shared" ca="1" si="90"/>
        <v>0</v>
      </c>
      <c r="W125" s="44">
        <f t="shared" ca="1" si="87"/>
        <v>1</v>
      </c>
      <c r="X125" s="45">
        <f t="shared" ca="1" si="88"/>
        <v>10</v>
      </c>
      <c r="Y125" s="198"/>
      <c r="AA125" s="19">
        <v>3</v>
      </c>
      <c r="AB125" s="19" t="e">
        <f ca="1">AJ125*1000+IF($D$123="Finalizado",AA126*10,0)+(AG125)+(AI125/10)+(AD125/1000)+IF(AL125&gt;0,(0.1/AL125),0)</f>
        <v>#N/A</v>
      </c>
      <c r="AC125" s="46" t="str">
        <f ca="1">+AC40</f>
        <v>Konami</v>
      </c>
      <c r="AD125" t="e">
        <f t="shared" ca="1" si="116"/>
        <v>#N/A</v>
      </c>
      <c r="AE125" t="e">
        <f t="shared" ca="1" si="117"/>
        <v>#N/A</v>
      </c>
      <c r="AF125" t="e">
        <f t="shared" ca="1" si="118"/>
        <v>#N/A</v>
      </c>
      <c r="AG125" t="e">
        <f t="shared" ca="1" si="119"/>
        <v>#VALUE!</v>
      </c>
      <c r="AH125" t="e">
        <f t="shared" ca="1" si="120"/>
        <v>#N/A</v>
      </c>
      <c r="AI125" t="e">
        <f t="shared" ca="1" si="121"/>
        <v>#VALUE!</v>
      </c>
      <c r="AJ125" t="e">
        <f t="shared" ca="1" si="122"/>
        <v>#N/A</v>
      </c>
      <c r="AK125">
        <f t="shared" ca="1" si="123"/>
        <v>3</v>
      </c>
      <c r="AL125" t="e">
        <f t="shared" ca="1" si="124"/>
        <v>#VALUE!</v>
      </c>
      <c r="AM125" t="e">
        <f t="shared" ca="1" si="125"/>
        <v>#N/A</v>
      </c>
    </row>
    <row r="126" spans="1:40" x14ac:dyDescent="0.25">
      <c r="A126" s="210"/>
      <c r="B126" s="61">
        <f>IF(Fixture!C125,Fixture!C125,"")</f>
        <v>45816</v>
      </c>
      <c r="C126" s="58">
        <v>0.47916666666666602</v>
      </c>
      <c r="D126" s="82" t="str">
        <f t="shared" ca="1" si="115"/>
        <v>Finalizado</v>
      </c>
      <c r="E126" s="198"/>
      <c r="F126" s="43">
        <f>+Fixture!B125</f>
        <v>124</v>
      </c>
      <c r="G126" s="42" t="str">
        <f>IF(VLOOKUP(F126,Fixture!$B$2:$F$137,3,FALSE)&lt;&gt;0,VLOOKUP(F126,Fixture!$B$2:$F$137,3,FALSE),"")</f>
        <v>Hojas Anchas</v>
      </c>
      <c r="H126" s="44">
        <f ca="1">IF($D126="Finalizado",_xlfn.XLOOKUP(G126,Resumen!$A$6:$A$22,Resumen!BJ$6:BJ$22,0),"")</f>
        <v>8</v>
      </c>
      <c r="I126" s="44">
        <f ca="1">IF($D126="Finalizado",_xlfn.XLOOKUP(G126,Resumen!$A$6:$A$22,Resumen!BK$6:BK$22,0),"")</f>
        <v>4</v>
      </c>
      <c r="J126" s="44">
        <f ca="1">IF($D126="Finalizado",_xlfn.XLOOKUP(G126,Resumen!$A$6:$A$22,Resumen!BL$6:BL$22,0)+_xlfn.XLOOKUP(G126,Resumen!$A$6:$A$22,Resumen!BM$6:BM$22,0),"")</f>
        <v>0</v>
      </c>
      <c r="K126" s="44">
        <f t="shared" ca="1" si="93"/>
        <v>1</v>
      </c>
      <c r="L126" s="44">
        <f t="shared" ca="1" si="82"/>
        <v>0</v>
      </c>
      <c r="M126" s="44">
        <f t="shared" ca="1" si="83"/>
        <v>0</v>
      </c>
      <c r="N126" s="44">
        <f t="shared" ca="1" si="84"/>
        <v>1</v>
      </c>
      <c r="O126" s="45">
        <f t="shared" ca="1" si="85"/>
        <v>20</v>
      </c>
      <c r="P126" s="42" t="str">
        <f>IF(VLOOKUP(F126,Fixture!$B$2:$F$137,5,FALSE)&lt;&gt;0,VLOOKUP(F126,Fixture!$B$2:$F$137,5,FALSE),"")</f>
        <v>Los Aliados</v>
      </c>
      <c r="Q126" s="44">
        <f ca="1">IF($D126="Finalizado",_xlfn.XLOOKUP(P126,Resumen!$A$6:$A$22,Resumen!BJ$6:BJ$22,0),"")</f>
        <v>3</v>
      </c>
      <c r="R126" s="44">
        <f ca="1">IF($D126="Finalizado",_xlfn.XLOOKUP(P126,Resumen!$A$6:$A$22,Resumen!BK$6:BK$22,0),"")</f>
        <v>1</v>
      </c>
      <c r="S126" s="44">
        <f ca="1">IF($D126="Finalizado",_xlfn.XLOOKUP(P126,Resumen!$A$6:$A$22,Resumen!BL$6:BL$22,0)+_xlfn.XLOOKUP(P126,Resumen!$A$6:$A$22,Resumen!BM$6:BM$22,0),"")</f>
        <v>0</v>
      </c>
      <c r="T126" s="44">
        <f t="shared" ca="1" si="86"/>
        <v>0</v>
      </c>
      <c r="U126" s="44">
        <f t="shared" ca="1" si="89"/>
        <v>0</v>
      </c>
      <c r="V126" s="44">
        <f t="shared" ca="1" si="90"/>
        <v>1</v>
      </c>
      <c r="W126" s="44">
        <f t="shared" ca="1" si="87"/>
        <v>1</v>
      </c>
      <c r="X126" s="45">
        <f t="shared" ca="1" si="88"/>
        <v>5</v>
      </c>
      <c r="Y126" s="198"/>
      <c r="AA126" s="19">
        <v>4</v>
      </c>
      <c r="AB126" s="19" t="e">
        <f ca="1">AJ126*1000+IF($D$123="Finalizado",AA125*10,0)+(AG126)+(AI126/10)+(AD126/1000)+IF(AL126&gt;0,(0.1/AL126),0)</f>
        <v>#N/A</v>
      </c>
      <c r="AC126" s="46" t="str">
        <f ca="1">+AC43</f>
        <v>Boca Juniors</v>
      </c>
      <c r="AD126" t="e">
        <f t="shared" ca="1" si="116"/>
        <v>#N/A</v>
      </c>
      <c r="AE126" t="e">
        <f t="shared" ca="1" si="117"/>
        <v>#N/A</v>
      </c>
      <c r="AF126" t="e">
        <f t="shared" ca="1" si="118"/>
        <v>#N/A</v>
      </c>
      <c r="AG126">
        <f t="shared" ca="1" si="119"/>
        <v>1</v>
      </c>
      <c r="AH126" t="e">
        <f t="shared" ca="1" si="120"/>
        <v>#N/A</v>
      </c>
      <c r="AI126" t="e">
        <f t="shared" ca="1" si="121"/>
        <v>#N/A</v>
      </c>
      <c r="AJ126" t="e">
        <f t="shared" ca="1" si="122"/>
        <v>#N/A</v>
      </c>
      <c r="AK126">
        <f t="shared" ca="1" si="123"/>
        <v>2</v>
      </c>
      <c r="AL126">
        <f t="shared" ca="1" si="124"/>
        <v>35</v>
      </c>
      <c r="AM126" t="e">
        <f t="shared" ca="1" si="125"/>
        <v>#N/A</v>
      </c>
    </row>
    <row r="127" spans="1:40" x14ac:dyDescent="0.25">
      <c r="A127" s="210"/>
      <c r="B127" s="61">
        <f>IF(Fixture!C126,Fixture!C126,"")</f>
        <v>45816</v>
      </c>
      <c r="C127" s="58">
        <v>0.52777777777777701</v>
      </c>
      <c r="D127" s="82" t="str">
        <f t="shared" ca="1" si="115"/>
        <v>Finalizado</v>
      </c>
      <c r="E127" s="198"/>
      <c r="F127" s="43">
        <f>+Fixture!B126</f>
        <v>125</v>
      </c>
      <c r="G127" s="42" t="str">
        <f>IF(VLOOKUP(F127,Fixture!$B$2:$F$137,3,FALSE)&lt;&gt;0,VLOOKUP(F127,Fixture!$B$2:$F$137,3,FALSE),"")</f>
        <v>Amenadim</v>
      </c>
      <c r="H127" s="44">
        <f ca="1">IF($D127="Finalizado",_xlfn.XLOOKUP(G127,Resumen!$A$6:$A$22,Resumen!BJ$6:BJ$22,0),"")</f>
        <v>5</v>
      </c>
      <c r="I127" s="44">
        <f ca="1">IF($D127="Finalizado",_xlfn.XLOOKUP(G127,Resumen!$A$6:$A$22,Resumen!BK$6:BK$22,0),"")</f>
        <v>1</v>
      </c>
      <c r="J127" s="44">
        <f ca="1">IF($D127="Finalizado",_xlfn.XLOOKUP(G127,Resumen!$A$6:$A$22,Resumen!BL$6:BL$22,0)+_xlfn.XLOOKUP(G127,Resumen!$A$6:$A$22,Resumen!BM$6:BM$22,0),"")</f>
        <v>0</v>
      </c>
      <c r="K127" s="44">
        <f t="shared" ca="1" si="93"/>
        <v>1</v>
      </c>
      <c r="L127" s="44">
        <f t="shared" ca="1" si="82"/>
        <v>0</v>
      </c>
      <c r="M127" s="44">
        <f t="shared" ca="1" si="83"/>
        <v>0</v>
      </c>
      <c r="N127" s="44">
        <f t="shared" ca="1" si="84"/>
        <v>1</v>
      </c>
      <c r="O127" s="45">
        <f t="shared" ca="1" si="85"/>
        <v>5</v>
      </c>
      <c r="P127" s="42" t="str">
        <f>IF(VLOOKUP(F127,Fixture!$B$2:$F$137,5,FALSE)&lt;&gt;0,VLOOKUP(F127,Fixture!$B$2:$F$137,5,FALSE),"")</f>
        <v>Deportivo Fénix</v>
      </c>
      <c r="Q127" s="44">
        <f ca="1">IF($D127="Finalizado",_xlfn.XLOOKUP(P127,Resumen!$A$6:$A$22,Resumen!BJ$6:BJ$22,0),"")</f>
        <v>3</v>
      </c>
      <c r="R127" s="44">
        <f ca="1">IF($D127="Finalizado",_xlfn.XLOOKUP(P127,Resumen!$A$6:$A$22,Resumen!BK$6:BK$22,0),"")</f>
        <v>0</v>
      </c>
      <c r="S127" s="44">
        <f ca="1">IF($D127="Finalizado",_xlfn.XLOOKUP(P127,Resumen!$A$6:$A$22,Resumen!BL$6:BL$22,0)+_xlfn.XLOOKUP(P127,Resumen!$A$6:$A$22,Resumen!BM$6:BM$22,0),"")</f>
        <v>0</v>
      </c>
      <c r="T127" s="44">
        <f t="shared" ca="1" si="86"/>
        <v>0</v>
      </c>
      <c r="U127" s="44">
        <f t="shared" ca="1" si="89"/>
        <v>0</v>
      </c>
      <c r="V127" s="44">
        <f t="shared" ca="1" si="90"/>
        <v>1</v>
      </c>
      <c r="W127" s="44">
        <f t="shared" ca="1" si="87"/>
        <v>1</v>
      </c>
      <c r="X127" s="45">
        <f t="shared" ca="1" si="88"/>
        <v>0</v>
      </c>
      <c r="Y127" s="198"/>
      <c r="AA127" s="19"/>
      <c r="AB127" s="19"/>
      <c r="AC127" s="46"/>
      <c r="AD127"/>
      <c r="AE127"/>
      <c r="AF127"/>
      <c r="AG127"/>
      <c r="AH127"/>
      <c r="AI127"/>
      <c r="AJ127"/>
      <c r="AK127"/>
      <c r="AL127"/>
      <c r="AM127"/>
    </row>
    <row r="128" spans="1:40" x14ac:dyDescent="0.25">
      <c r="A128" s="210"/>
      <c r="B128" s="61">
        <f>IF(Fixture!C127,Fixture!C127,"")</f>
        <v>45816</v>
      </c>
      <c r="C128" s="58">
        <v>0.57638888888888895</v>
      </c>
      <c r="D128" s="82" t="str">
        <f t="shared" ca="1" si="115"/>
        <v>Finalizado</v>
      </c>
      <c r="E128" s="198"/>
      <c r="F128" s="43">
        <f>+Fixture!B127</f>
        <v>126</v>
      </c>
      <c r="G128" s="42" t="str">
        <f>IF(VLOOKUP(F128,Fixture!$B$2:$F$137,3,FALSE)&lt;&gt;0,VLOOKUP(F128,Fixture!$B$2:$F$137,3,FALSE),"")</f>
        <v>Atalanta</v>
      </c>
      <c r="H128" s="44">
        <f ca="1">IF($D128="Finalizado",_xlfn.XLOOKUP(G128,Resumen!$A$6:$A$22,Resumen!BJ$6:BJ$22,0),"")</f>
        <v>0</v>
      </c>
      <c r="I128" s="44">
        <f ca="1">IF($D128="Finalizado",_xlfn.XLOOKUP(G128,Resumen!$A$6:$A$22,Resumen!BK$6:BK$22,0),"")</f>
        <v>0</v>
      </c>
      <c r="J128" s="44">
        <f ca="1">IF($D128="Finalizado",_xlfn.XLOOKUP(G128,Resumen!$A$6:$A$22,Resumen!BL$6:BL$22,0)+_xlfn.XLOOKUP(G128,Resumen!$A$6:$A$22,Resumen!BM$6:BM$22,0),"")</f>
        <v>0</v>
      </c>
      <c r="K128" s="44">
        <f t="shared" ca="1" si="93"/>
        <v>0</v>
      </c>
      <c r="L128" s="44">
        <f t="shared" ca="1" si="82"/>
        <v>0</v>
      </c>
      <c r="M128" s="44">
        <f t="shared" ca="1" si="83"/>
        <v>1</v>
      </c>
      <c r="N128" s="44">
        <f t="shared" ca="1" si="84"/>
        <v>1</v>
      </c>
      <c r="O128" s="45">
        <f t="shared" ca="1" si="85"/>
        <v>0</v>
      </c>
      <c r="P128" s="42" t="str">
        <f>IF(VLOOKUP(F128,Fixture!$B$2:$F$137,5,FALSE)&lt;&gt;0,VLOOKUP(F128,Fixture!$B$2:$F$137,5,FALSE),"")</f>
        <v>La Unión FC</v>
      </c>
      <c r="Q128" s="44">
        <f ca="1">IF($D128="Finalizado",_xlfn.XLOOKUP(P128,Resumen!$A$6:$A$22,Resumen!BJ$6:BJ$22,0),"")</f>
        <v>5</v>
      </c>
      <c r="R128" s="44">
        <f ca="1">IF($D128="Finalizado",_xlfn.XLOOKUP(P128,Resumen!$A$6:$A$22,Resumen!BK$6:BK$22,0),"")</f>
        <v>0</v>
      </c>
      <c r="S128" s="44">
        <f ca="1">IF($D128="Finalizado",_xlfn.XLOOKUP(P128,Resumen!$A$6:$A$22,Resumen!BL$6:BL$22,0)+_xlfn.XLOOKUP(P128,Resumen!$A$6:$A$22,Resumen!BM$6:BM$22,0),"")</f>
        <v>0</v>
      </c>
      <c r="T128" s="44">
        <f t="shared" ca="1" si="86"/>
        <v>1</v>
      </c>
      <c r="U128" s="44">
        <f t="shared" ca="1" si="89"/>
        <v>0</v>
      </c>
      <c r="V128" s="44">
        <f t="shared" ca="1" si="90"/>
        <v>0</v>
      </c>
      <c r="W128" s="44">
        <f t="shared" ca="1" si="87"/>
        <v>1</v>
      </c>
      <c r="X128" s="45">
        <f t="shared" ca="1" si="88"/>
        <v>0</v>
      </c>
      <c r="Y128" s="198"/>
      <c r="AA128" s="19"/>
      <c r="AB128" s="19"/>
      <c r="AC128" s="46"/>
      <c r="AD128"/>
      <c r="AE128"/>
      <c r="AF128"/>
      <c r="AG128"/>
      <c r="AH128"/>
      <c r="AI128"/>
      <c r="AJ128"/>
      <c r="AK128"/>
      <c r="AL128"/>
      <c r="AM128"/>
    </row>
    <row r="129" spans="1:40" x14ac:dyDescent="0.25">
      <c r="A129" s="210"/>
      <c r="B129" s="61">
        <f>IF(Fixture!C128,Fixture!C128,"")</f>
        <v>45816</v>
      </c>
      <c r="C129" s="58">
        <v>0.625</v>
      </c>
      <c r="D129" s="82" t="str">
        <f t="shared" ca="1" si="115"/>
        <v>Finalizado</v>
      </c>
      <c r="E129" s="198"/>
      <c r="F129" s="43">
        <f>+Fixture!B128</f>
        <v>127</v>
      </c>
      <c r="G129" s="42" t="str">
        <f>IF(VLOOKUP(F129,Fixture!$B$2:$F$137,3,FALSE)&lt;&gt;0,VLOOKUP(F129,Fixture!$B$2:$F$137,3,FALSE),"")</f>
        <v>Boca Juniors</v>
      </c>
      <c r="H129" s="44">
        <f ca="1">IF($D129="Finalizado",_xlfn.XLOOKUP(G129,Resumen!$A$6:$A$22,Resumen!BJ$6:BJ$22,0),"")</f>
        <v>5</v>
      </c>
      <c r="I129" s="44">
        <f ca="1">IF($D129="Finalizado",_xlfn.XLOOKUP(G129,Resumen!$A$6:$A$22,Resumen!BK$6:BK$22,0),"")</f>
        <v>1</v>
      </c>
      <c r="J129" s="44">
        <f ca="1">IF($D129="Finalizado",_xlfn.XLOOKUP(G129,Resumen!$A$6:$A$22,Resumen!BL$6:BL$22,0)+_xlfn.XLOOKUP(G129,Resumen!$A$6:$A$22,Resumen!BM$6:BM$22,0),"")</f>
        <v>0</v>
      </c>
      <c r="K129" s="44">
        <f t="shared" ca="1" si="93"/>
        <v>0</v>
      </c>
      <c r="L129" s="44">
        <f t="shared" ca="1" si="82"/>
        <v>0</v>
      </c>
      <c r="M129" s="44">
        <f t="shared" ca="1" si="83"/>
        <v>1</v>
      </c>
      <c r="N129" s="44">
        <f t="shared" ca="1" si="84"/>
        <v>1</v>
      </c>
      <c r="O129" s="45">
        <f t="shared" ca="1" si="85"/>
        <v>5</v>
      </c>
      <c r="P129" s="42" t="str">
        <f>IF(VLOOKUP(F129,Fixture!$B$2:$F$137,5,FALSE)&lt;&gt;0,VLOOKUP(F129,Fixture!$B$2:$F$137,5,FALSE),"")</f>
        <v>Ron Star</v>
      </c>
      <c r="Q129" s="44">
        <f ca="1">IF($D129="Finalizado",_xlfn.XLOOKUP(P129,Resumen!$A$6:$A$22,Resumen!BJ$6:BJ$22,0),"")</f>
        <v>6</v>
      </c>
      <c r="R129" s="44">
        <f ca="1">IF($D129="Finalizado",_xlfn.XLOOKUP(P129,Resumen!$A$6:$A$22,Resumen!BK$6:BK$22,0),"")</f>
        <v>1</v>
      </c>
      <c r="S129" s="44">
        <f ca="1">IF($D129="Finalizado",_xlfn.XLOOKUP(P129,Resumen!$A$6:$A$22,Resumen!BL$6:BL$22,0)+_xlfn.XLOOKUP(P129,Resumen!$A$6:$A$22,Resumen!BM$6:BM$22,0),"")</f>
        <v>0</v>
      </c>
      <c r="T129" s="44">
        <f t="shared" ca="1" si="86"/>
        <v>1</v>
      </c>
      <c r="U129" s="44">
        <f t="shared" ca="1" si="89"/>
        <v>0</v>
      </c>
      <c r="V129" s="44">
        <f t="shared" ca="1" si="90"/>
        <v>0</v>
      </c>
      <c r="W129" s="44">
        <f t="shared" ca="1" si="87"/>
        <v>1</v>
      </c>
      <c r="X129" s="45">
        <f t="shared" ca="1" si="88"/>
        <v>5</v>
      </c>
      <c r="Y129" s="198"/>
      <c r="AA129" s="19">
        <v>5</v>
      </c>
      <c r="AB129" s="19">
        <f ca="1">AJ129*1000+IF($D$123="Finalizado",AA124*10,0)+(AG129)+(AI129/10)+(AD129/1000)+IF(AL129&gt;0,(0.1/AL129),0)</f>
        <v>3024.807666666667</v>
      </c>
      <c r="AC129" s="46" t="str">
        <f ca="1">+AC45</f>
        <v>Amenadim</v>
      </c>
      <c r="AD129">
        <f t="shared" ref="AD129:AD131" ca="1" si="126">SUMIF($G$123:$G$168,AC129,$K$123:$K$168)+SUMIF($P$123:$P$168,AC129,$T$123:$T$168)</f>
        <v>1</v>
      </c>
      <c r="AE129">
        <f t="shared" ref="AE129:AE131" ca="1" si="127">SUMIF($G$123:$G$168,AC129,$L$123:$L$168)+SUMIF($P$123:$P$168,AC129,$U$123:$U$168)</f>
        <v>0</v>
      </c>
      <c r="AF129">
        <f t="shared" ref="AF129:AF131" ca="1" si="128">SUMIF($G$123:$G$168,AC129,$M$123:$M$168)+SUMIF($P$123:$P$168,AC129,$V$123:$V$168)</f>
        <v>1</v>
      </c>
      <c r="AG129">
        <f t="shared" ref="AG129:AG131" ca="1" si="129">SUMIF($G$123:$G$168,AC129,$H$123:$H$168)+SUMIF($P$123:$P$168,AC129,$Q$123:$Q$168)</f>
        <v>5</v>
      </c>
      <c r="AH129">
        <f t="shared" ref="AH129:AH131" ca="1" si="130">SUMIF($G$123:$G$168,AC129,$Q$123:$Q$168)+SUMIF($P$123:$P$168,AC129,$H$123:$H$168)</f>
        <v>7</v>
      </c>
      <c r="AI129">
        <f t="shared" ref="AI129:AI131" ca="1" si="131">+AG129-AH129</f>
        <v>-2</v>
      </c>
      <c r="AJ129">
        <f t="shared" ref="AJ129:AJ131" ca="1" si="132">AD129*3+AE129*1</f>
        <v>3</v>
      </c>
      <c r="AK129">
        <f t="shared" ref="AK129:AK131" ca="1" si="133">SUMIF($G$123:$G$168,AC129,$N$123:$N$168)+SUMIF($P$123:$P$168,AC129,$W$123:$W$168)</f>
        <v>2</v>
      </c>
      <c r="AL129">
        <f t="shared" ref="AL129:AL131" ca="1" si="134">SUMIF($G$123:$G$168,AC129,$O$123:$O$168)+SUMIF($P$123:$P$168,AC129,$X$123:$X$168)</f>
        <v>15</v>
      </c>
      <c r="AM129" t="e">
        <f t="shared" ca="1" si="125"/>
        <v>#N/A</v>
      </c>
    </row>
    <row r="130" spans="1:40" ht="16.5" thickBot="1" x14ac:dyDescent="0.3">
      <c r="A130" s="211"/>
      <c r="B130" s="61">
        <f>IF(Fixture!C129,Fixture!C129,"")</f>
        <v>45823</v>
      </c>
      <c r="C130" s="58">
        <v>0.67361111111111105</v>
      </c>
      <c r="D130" s="82" t="str">
        <f t="shared" ca="1" si="115"/>
        <v>Finalizado</v>
      </c>
      <c r="E130" s="199"/>
      <c r="F130" s="90">
        <f>+Fixture!B129</f>
        <v>128</v>
      </c>
      <c r="G130" s="42" t="str">
        <f>IF(VLOOKUP(F130,Fixture!$B$2:$F$137,3,FALSE)&lt;&gt;0,VLOOKUP(F130,Fixture!$B$2:$F$137,3,FALSE),"")</f>
        <v>Los Aliados</v>
      </c>
      <c r="H130" s="48">
        <f ca="1">IF($D130="Finalizado",_xlfn.XLOOKUP(G130,Resumen!$A$6:$A$22,Resumen!BJ$6:BJ$22,0),"")</f>
        <v>3</v>
      </c>
      <c r="I130" s="48">
        <f ca="1">IF($D130="Finalizado",_xlfn.XLOOKUP(G130,Resumen!$A$6:$A$22,Resumen!BK$6:BK$22,0),"")</f>
        <v>1</v>
      </c>
      <c r="J130" s="48">
        <f ca="1">IF($D130="Finalizado",_xlfn.XLOOKUP(G130,Resumen!$A$6:$A$22,Resumen!BL$6:BL$22,0)+_xlfn.XLOOKUP(G130,Resumen!$A$6:$A$22,Resumen!BM$6:BM$22,0),"")</f>
        <v>0</v>
      </c>
      <c r="K130" s="48">
        <f t="shared" ca="1" si="93"/>
        <v>1</v>
      </c>
      <c r="L130" s="48">
        <f t="shared" ca="1" si="82"/>
        <v>0</v>
      </c>
      <c r="M130" s="48">
        <f t="shared" ca="1" si="83"/>
        <v>0</v>
      </c>
      <c r="N130" s="48">
        <f t="shared" ca="1" si="84"/>
        <v>1</v>
      </c>
      <c r="O130" s="49">
        <f t="shared" ca="1" si="85"/>
        <v>5</v>
      </c>
      <c r="P130" s="42" t="str">
        <f>IF(VLOOKUP(F130,Fixture!$B$2:$F$137,5,FALSE)&lt;&gt;0,VLOOKUP(F130,Fixture!$B$2:$F$137,5,FALSE),"")</f>
        <v>Atalanta</v>
      </c>
      <c r="Q130" s="48">
        <f ca="1">IF($D130="Finalizado",_xlfn.XLOOKUP(P130,Resumen!$A$6:$A$22,Resumen!BJ$6:BJ$22,0),"")</f>
        <v>0</v>
      </c>
      <c r="R130" s="48">
        <f ca="1">IF($D130="Finalizado",_xlfn.XLOOKUP(P130,Resumen!$A$6:$A$22,Resumen!BK$6:BK$22,0),"")</f>
        <v>0</v>
      </c>
      <c r="S130" s="48">
        <f ca="1">IF($D130="Finalizado",_xlfn.XLOOKUP(P130,Resumen!$A$6:$A$22,Resumen!BL$6:BL$22,0)+_xlfn.XLOOKUP(P130,Resumen!$A$6:$A$22,Resumen!BM$6:BM$22,0),"")</f>
        <v>0</v>
      </c>
      <c r="T130" s="44">
        <f t="shared" ca="1" si="86"/>
        <v>0</v>
      </c>
      <c r="U130" s="44">
        <f t="shared" ca="1" si="89"/>
        <v>0</v>
      </c>
      <c r="V130" s="44">
        <f t="shared" ca="1" si="90"/>
        <v>1</v>
      </c>
      <c r="W130" s="48">
        <f t="shared" ca="1" si="87"/>
        <v>1</v>
      </c>
      <c r="X130" s="49">
        <f t="shared" ca="1" si="88"/>
        <v>0</v>
      </c>
      <c r="Y130" s="198"/>
      <c r="AA130" s="19">
        <v>6</v>
      </c>
      <c r="AB130" s="19">
        <f ca="1">AJ130*1000+IF($D$123="Finalizado",AA123*10,0)+(AG130)+(AI130/10)+(AD130/1000)+IF(AL130&gt;0,(0.1/AL130),0)</f>
        <v>3016.0010000000002</v>
      </c>
      <c r="AC130" s="46" t="str">
        <f ca="1">+AC47</f>
        <v>Deportivo Fénix</v>
      </c>
      <c r="AD130">
        <f t="shared" ca="1" si="126"/>
        <v>1</v>
      </c>
      <c r="AE130">
        <f t="shared" ca="1" si="127"/>
        <v>0</v>
      </c>
      <c r="AF130">
        <f t="shared" ca="1" si="128"/>
        <v>1</v>
      </c>
      <c r="AG130">
        <f t="shared" ca="1" si="129"/>
        <v>6</v>
      </c>
      <c r="AH130">
        <f t="shared" ca="1" si="130"/>
        <v>6</v>
      </c>
      <c r="AI130">
        <f t="shared" ca="1" si="131"/>
        <v>0</v>
      </c>
      <c r="AJ130">
        <f t="shared" ca="1" si="132"/>
        <v>3</v>
      </c>
      <c r="AK130">
        <f t="shared" ca="1" si="133"/>
        <v>2</v>
      </c>
      <c r="AL130">
        <f t="shared" ca="1" si="134"/>
        <v>0</v>
      </c>
      <c r="AM130" t="e">
        <f t="shared" ca="1" si="125"/>
        <v>#N/A</v>
      </c>
    </row>
    <row r="131" spans="1:40" x14ac:dyDescent="0.25">
      <c r="A131" s="209" t="s">
        <v>51</v>
      </c>
      <c r="B131" s="60">
        <f>IF(Fixture!C130,Fixture!C130,"")</f>
        <v>45823</v>
      </c>
      <c r="C131" s="58">
        <v>0.33333333333333331</v>
      </c>
      <c r="D131" s="82" t="str">
        <f t="shared" ca="1" si="115"/>
        <v>Finalizado</v>
      </c>
      <c r="E131" s="197" t="s">
        <v>114</v>
      </c>
      <c r="F131" s="43">
        <f>+Fixture!B130</f>
        <v>129</v>
      </c>
      <c r="G131" s="42" t="str">
        <f>IF(VLOOKUP(F131,Fixture!$B$2:$F$137,3,FALSE)&lt;&gt;0,VLOOKUP(F131,Fixture!$B$2:$F$137,3,FALSE),"")</f>
        <v>Los Amigos</v>
      </c>
      <c r="H131" s="44">
        <f ca="1">IF($D131="Finalizado",_xlfn.XLOOKUP(G131,Resumen!$A$6:$A$22,Resumen!BN$6:BN$22,0),"")</f>
        <v>3</v>
      </c>
      <c r="I131" s="44">
        <f ca="1">IF($D131="Finalizado",_xlfn.XLOOKUP(G131,Resumen!$A$6:$A$22,Resumen!BO$6:BO$22,0),"")</f>
        <v>2</v>
      </c>
      <c r="J131" s="44">
        <f ca="1">IF($D131="Finalizado",_xlfn.XLOOKUP(G131,Resumen!$A$6:$A$22,Resumen!BP$6:BP$22,0)+_xlfn.XLOOKUP(G131,Resumen!$A$6:$A$22,Resumen!BQ$6:BQ$22,0),"")</f>
        <v>0</v>
      </c>
      <c r="K131" s="44">
        <f t="shared" ca="1" si="93"/>
        <v>0</v>
      </c>
      <c r="L131" s="44">
        <f t="shared" ref="L131:L141" ca="1" si="135">IF(D131="Finalizado",IF(H131=Q131,1,0),"")</f>
        <v>0</v>
      </c>
      <c r="M131" s="44">
        <f t="shared" ref="M131:M141" ca="1" si="136">IF(D131="Finalizado",IF(H131&lt;Q131,1,0),"")</f>
        <v>1</v>
      </c>
      <c r="N131" s="44">
        <f t="shared" ref="N131:N141" ca="1" si="137">IF(D131="Finalizado",1,"")</f>
        <v>1</v>
      </c>
      <c r="O131" s="45">
        <f t="shared" ref="O131:O141" ca="1" si="138">IF(D131="Finalizado",SUM(I131*5,J131*10),"")</f>
        <v>10</v>
      </c>
      <c r="P131" s="42" t="str">
        <f>IF(VLOOKUP(F131,Fixture!$B$2:$F$137,5,FALSE)&lt;&gt;0,VLOOKUP(F131,Fixture!$B$2:$F$137,5,FALSE),"")</f>
        <v>La Unión FC</v>
      </c>
      <c r="Q131" s="44">
        <f ca="1">IF($D131="Finalizado",_xlfn.XLOOKUP(P131,Resumen!$A$6:$A$22,Resumen!BN$6:BN$22,0),"")</f>
        <v>8</v>
      </c>
      <c r="R131" s="44">
        <f ca="1">IF($D131="Finalizado",_xlfn.XLOOKUP(P131,Resumen!$A$6:$A$22,Resumen!BO$6:BO$22,0),"")</f>
        <v>2</v>
      </c>
      <c r="S131" s="44">
        <f ca="1">IF($D131="Finalizado",_xlfn.XLOOKUP(P131,Resumen!$A$6:$A$22,Resumen!BP$6:BP$22,0)+_xlfn.XLOOKUP(P131,Resumen!$A$6:$A$22,Resumen!BQ$6:BQ$22,0),"")</f>
        <v>0</v>
      </c>
      <c r="T131" s="44">
        <f t="shared" ref="T131:T172" ca="1" si="139">IF(D131="Finalizado",IF(Q131&gt;H131,1,0),"")</f>
        <v>1</v>
      </c>
      <c r="U131" s="44">
        <f t="shared" ca="1" si="89"/>
        <v>0</v>
      </c>
      <c r="V131" s="44">
        <f t="shared" ca="1" si="90"/>
        <v>0</v>
      </c>
      <c r="W131" s="44">
        <f t="shared" ref="W131:W172" ca="1" si="140">IF(D131="Finalizado",1,"")</f>
        <v>1</v>
      </c>
      <c r="X131" s="45">
        <f t="shared" ref="X131:X147" ca="1" si="141">IF(D131="Finalizado",SUM(R131*5,S131*10),"")</f>
        <v>10</v>
      </c>
      <c r="Y131" s="197" t="str">
        <f>+A131</f>
        <v>Fecha 17</v>
      </c>
      <c r="AA131" s="19">
        <v>7</v>
      </c>
      <c r="AB131" s="19" t="e">
        <f ca="1">AJ131*1000+IF($D$123="Finalizado",AA124*10,0)+(AG131)+(AI131/10)+(AD131/1000)+IF(AL131&gt;0,(0.1/AL131),0)</f>
        <v>#N/A</v>
      </c>
      <c r="AC131" s="46" t="str">
        <f ca="1">+AC50</f>
        <v>La Nueva Era</v>
      </c>
      <c r="AD131" t="e">
        <f t="shared" ca="1" si="126"/>
        <v>#N/A</v>
      </c>
      <c r="AE131" t="e">
        <f t="shared" ca="1" si="127"/>
        <v>#N/A</v>
      </c>
      <c r="AF131" t="e">
        <f t="shared" ca="1" si="128"/>
        <v>#N/A</v>
      </c>
      <c r="AG131" t="e">
        <f t="shared" ca="1" si="129"/>
        <v>#VALUE!</v>
      </c>
      <c r="AH131" t="e">
        <f t="shared" ca="1" si="130"/>
        <v>#N/A</v>
      </c>
      <c r="AI131" t="e">
        <f t="shared" ca="1" si="131"/>
        <v>#VALUE!</v>
      </c>
      <c r="AJ131" t="e">
        <f t="shared" ca="1" si="132"/>
        <v>#N/A</v>
      </c>
      <c r="AK131">
        <f t="shared" ca="1" si="133"/>
        <v>6</v>
      </c>
      <c r="AL131" t="e">
        <f t="shared" ca="1" si="134"/>
        <v>#VALUE!</v>
      </c>
      <c r="AM131" t="e">
        <f t="shared" ca="1" si="125"/>
        <v>#N/A</v>
      </c>
    </row>
    <row r="132" spans="1:40" ht="16.5" thickBot="1" x14ac:dyDescent="0.3">
      <c r="A132" s="210"/>
      <c r="B132" s="61">
        <f>IF(Fixture!C131,Fixture!C131,"")</f>
        <v>45823</v>
      </c>
      <c r="C132" s="58">
        <v>0.38194444444444442</v>
      </c>
      <c r="D132" s="82" t="str">
        <f t="shared" ca="1" si="115"/>
        <v>Finalizado</v>
      </c>
      <c r="E132" s="198"/>
      <c r="F132" s="43">
        <f>+Fixture!B131</f>
        <v>130</v>
      </c>
      <c r="G132" s="42" t="str">
        <f>IF(VLOOKUP(F132,Fixture!$B$2:$F$137,3,FALSE)&lt;&gt;0,VLOOKUP(F132,Fixture!$B$2:$F$137,3,FALSE),"")</f>
        <v>Boca Juniors</v>
      </c>
      <c r="H132" s="44">
        <f ca="1">IF($D132="Finalizado",_xlfn.XLOOKUP(G132,Resumen!$A$6:$A$22,Resumen!BN$6:BN$22,0),"")</f>
        <v>1</v>
      </c>
      <c r="I132" s="44">
        <f ca="1">IF($D132="Finalizado",_xlfn.XLOOKUP(G132,Resumen!$A$6:$A$22,Resumen!BO$6:BO$22,0),"")</f>
        <v>1</v>
      </c>
      <c r="J132" s="44">
        <f ca="1">IF($D132="Finalizado",_xlfn.XLOOKUP(G132,Resumen!$A$6:$A$22,Resumen!BP$6:BP$22,0)+_xlfn.XLOOKUP(G132,Resumen!$A$6:$A$22,Resumen!BQ$6:BQ$22,0),"")</f>
        <v>0</v>
      </c>
      <c r="K132" s="44">
        <f t="shared" ca="1" si="93"/>
        <v>0</v>
      </c>
      <c r="L132" s="44">
        <f t="shared" ca="1" si="135"/>
        <v>0</v>
      </c>
      <c r="M132" s="44">
        <f t="shared" ca="1" si="136"/>
        <v>1</v>
      </c>
      <c r="N132" s="44">
        <f ca="1">IF(D132="Finalizado",1,"")</f>
        <v>1</v>
      </c>
      <c r="O132" s="45">
        <f t="shared" ca="1" si="138"/>
        <v>5</v>
      </c>
      <c r="P132" s="42" t="str">
        <f>IF(VLOOKUP(F132,Fixture!$B$2:$F$137,5,FALSE)&lt;&gt;0,VLOOKUP(F132,Fixture!$B$2:$F$137,5,FALSE),"")</f>
        <v>Hojas Anchas</v>
      </c>
      <c r="Q132" s="44">
        <f ca="1">IF($D132="Finalizado",_xlfn.XLOOKUP(P132,Resumen!$A$6:$A$22,Resumen!BN$6:BN$22,0),"")</f>
        <v>6</v>
      </c>
      <c r="R132" s="44">
        <f ca="1">IF($D132="Finalizado",_xlfn.XLOOKUP(P132,Resumen!$A$6:$A$22,Resumen!BO$6:BO$22,0),"")</f>
        <v>3</v>
      </c>
      <c r="S132" s="44">
        <f ca="1">IF($D132="Finalizado",_xlfn.XLOOKUP(P132,Resumen!$A$6:$A$22,Resumen!BP$6:BP$22,0)+_xlfn.XLOOKUP(P132,Resumen!$A$6:$A$22,Resumen!BQ$6:BQ$22,0),"")</f>
        <v>0</v>
      </c>
      <c r="T132" s="44">
        <f t="shared" ca="1" si="139"/>
        <v>1</v>
      </c>
      <c r="U132" s="44">
        <f t="shared" ref="U132:U172" ca="1" si="142">IF(D132="Finalizado",IF(Q132=H132,1,0),"")</f>
        <v>0</v>
      </c>
      <c r="V132" s="44">
        <f t="shared" ref="V132:V172" ca="1" si="143">IF(D132="Finalizado",IF(Q132&lt;H132,1,0),"")</f>
        <v>0</v>
      </c>
      <c r="W132" s="44">
        <f t="shared" ca="1" si="140"/>
        <v>1</v>
      </c>
      <c r="X132" s="45">
        <f t="shared" ca="1" si="141"/>
        <v>15</v>
      </c>
      <c r="Y132" s="198"/>
    </row>
    <row r="133" spans="1:40" ht="16.5" thickBot="1" x14ac:dyDescent="0.3">
      <c r="A133" s="210"/>
      <c r="B133" s="61">
        <f>IF(Fixture!C132,Fixture!C132,"")</f>
        <v>45823</v>
      </c>
      <c r="C133" s="58">
        <v>0.43055555555555602</v>
      </c>
      <c r="D133" s="82" t="str">
        <f t="shared" ca="1" si="115"/>
        <v>Finalizado</v>
      </c>
      <c r="E133" s="198"/>
      <c r="F133" s="43">
        <f>+Fixture!B132</f>
        <v>131</v>
      </c>
      <c r="G133" s="42" t="str">
        <f>IF(VLOOKUP(F133,Fixture!$B$2:$F$137,3,FALSE)&lt;&gt;0,VLOOKUP(F133,Fixture!$B$2:$F$137,3,FALSE),"")</f>
        <v>Valentín FC</v>
      </c>
      <c r="H133" s="44">
        <f ca="1">IF($D133="Finalizado",_xlfn.XLOOKUP(G133,Resumen!$A$6:$A$22,Resumen!BN$6:BN$22,0),"")</f>
        <v>2</v>
      </c>
      <c r="I133" s="44">
        <f ca="1">IF($D133="Finalizado",_xlfn.XLOOKUP(G133,Resumen!$A$6:$A$22,Resumen!BO$6:BO$22,0),"")</f>
        <v>3</v>
      </c>
      <c r="J133" s="44">
        <f ca="1">IF($D133="Finalizado",_xlfn.XLOOKUP(G133,Resumen!$A$6:$A$22,Resumen!BP$6:BP$22,0)+_xlfn.XLOOKUP(G133,Resumen!$A$6:$A$22,Resumen!BQ$6:BQ$22,0),"")</f>
        <v>0</v>
      </c>
      <c r="K133" s="44">
        <f t="shared" ca="1" si="93"/>
        <v>1</v>
      </c>
      <c r="L133" s="44">
        <f t="shared" ca="1" si="135"/>
        <v>0</v>
      </c>
      <c r="M133" s="44">
        <f t="shared" ca="1" si="136"/>
        <v>0</v>
      </c>
      <c r="N133" s="44">
        <f t="shared" ca="1" si="137"/>
        <v>1</v>
      </c>
      <c r="O133" s="45">
        <f t="shared" ca="1" si="138"/>
        <v>15</v>
      </c>
      <c r="P133" s="42" t="str">
        <f>IF(VLOOKUP(F133,Fixture!$B$2:$F$137,5,FALSE)&lt;&gt;0,VLOOKUP(F133,Fixture!$B$2:$F$137,5,FALSE),"")</f>
        <v>Ron Star</v>
      </c>
      <c r="Q133" s="44">
        <f ca="1">IF($D133="Finalizado",_xlfn.XLOOKUP(P133,Resumen!$A$6:$A$22,Resumen!BN$6:BN$22,0),"")</f>
        <v>1</v>
      </c>
      <c r="R133" s="44">
        <f ca="1">IF($D133="Finalizado",_xlfn.XLOOKUP(P133,Resumen!$A$6:$A$22,Resumen!BO$6:BO$22,0),"")</f>
        <v>2</v>
      </c>
      <c r="S133" s="44">
        <f ca="1">IF($D133="Finalizado",_xlfn.XLOOKUP(P133,Resumen!$A$6:$A$22,Resumen!BP$6:BP$22,0)+_xlfn.XLOOKUP(P133,Resumen!$A$6:$A$22,Resumen!BQ$6:BQ$22,0),"")</f>
        <v>0</v>
      </c>
      <c r="T133" s="44">
        <f t="shared" ca="1" si="139"/>
        <v>0</v>
      </c>
      <c r="U133" s="44">
        <f t="shared" ca="1" si="142"/>
        <v>0</v>
      </c>
      <c r="V133" s="44">
        <f t="shared" ca="1" si="143"/>
        <v>1</v>
      </c>
      <c r="W133" s="44">
        <f t="shared" ca="1" si="140"/>
        <v>1</v>
      </c>
      <c r="X133" s="45">
        <f t="shared" ca="1" si="141"/>
        <v>10</v>
      </c>
      <c r="Y133" s="198"/>
      <c r="AA133" s="40" t="s">
        <v>122</v>
      </c>
      <c r="AB133" s="40"/>
      <c r="AC133" s="41" t="s">
        <v>2</v>
      </c>
      <c r="AD133" s="40" t="s">
        <v>115</v>
      </c>
      <c r="AE133" s="40" t="s">
        <v>116</v>
      </c>
      <c r="AF133" s="40" t="s">
        <v>117</v>
      </c>
      <c r="AG133" s="40" t="s">
        <v>123</v>
      </c>
      <c r="AH133" s="40" t="s">
        <v>124</v>
      </c>
      <c r="AI133" s="40" t="s">
        <v>125</v>
      </c>
      <c r="AJ133" s="40" t="s">
        <v>126</v>
      </c>
      <c r="AK133" s="40" t="s">
        <v>127</v>
      </c>
      <c r="AL133" s="40" t="s">
        <v>119</v>
      </c>
      <c r="AM133"/>
      <c r="AN133" s="1" t="s">
        <v>232</v>
      </c>
    </row>
    <row r="134" spans="1:40" x14ac:dyDescent="0.25">
      <c r="A134" s="210"/>
      <c r="B134" s="61">
        <f>IF(Fixture!C133,Fixture!C133,"")</f>
        <v>45823</v>
      </c>
      <c r="C134" s="58">
        <v>0.47916666666666602</v>
      </c>
      <c r="D134" s="82" t="str">
        <f t="shared" ca="1" si="115"/>
        <v>Finalizado</v>
      </c>
      <c r="E134" s="198"/>
      <c r="F134" s="43">
        <f>+Fixture!B133</f>
        <v>132</v>
      </c>
      <c r="G134" s="42" t="str">
        <f>IF(VLOOKUP(F134,Fixture!$B$2:$F$137,3,FALSE)&lt;&gt;0,VLOOKUP(F134,Fixture!$B$2:$F$137,3,FALSE),"")</f>
        <v>Deportivo Fénix</v>
      </c>
      <c r="H134" s="44">
        <f ca="1">IF($D134="Finalizado",_xlfn.XLOOKUP(G134,Resumen!$A$6:$A$22,Resumen!BN$6:BN$22,0),"")</f>
        <v>3</v>
      </c>
      <c r="I134" s="44">
        <f ca="1">IF($D134="Finalizado",_xlfn.XLOOKUP(G134,Resumen!$A$6:$A$22,Resumen!BO$6:BO$22,0),"")</f>
        <v>0</v>
      </c>
      <c r="J134" s="44">
        <f ca="1">IF($D134="Finalizado",_xlfn.XLOOKUP(G134,Resumen!$A$6:$A$22,Resumen!BP$6:BP$22,0)+_xlfn.XLOOKUP(G134,Resumen!$A$6:$A$22,Resumen!BQ$6:BQ$22,0),"")</f>
        <v>0</v>
      </c>
      <c r="K134" s="44">
        <f t="shared" ca="1" si="93"/>
        <v>1</v>
      </c>
      <c r="L134" s="44">
        <f t="shared" ca="1" si="135"/>
        <v>0</v>
      </c>
      <c r="M134" s="44">
        <f t="shared" ca="1" si="136"/>
        <v>0</v>
      </c>
      <c r="N134" s="44">
        <f t="shared" ca="1" si="137"/>
        <v>1</v>
      </c>
      <c r="O134" s="45">
        <f t="shared" ca="1" si="138"/>
        <v>0</v>
      </c>
      <c r="P134" s="42" t="str">
        <f>IF(VLOOKUP(F134,Fixture!$B$2:$F$137,5,FALSE)&lt;&gt;0,VLOOKUP(F134,Fixture!$B$2:$F$137,5,FALSE),"")</f>
        <v>La Nueva Era</v>
      </c>
      <c r="Q134" s="44">
        <f ca="1">IF($D134="Finalizado",_xlfn.XLOOKUP(P134,Resumen!$A$6:$A$22,Resumen!BN$6:BN$22,0),"")</f>
        <v>1</v>
      </c>
      <c r="R134" s="44">
        <f ca="1">IF($D134="Finalizado",_xlfn.XLOOKUP(P134,Resumen!$A$6:$A$22,Resumen!BO$6:BO$22,0),"")</f>
        <v>0</v>
      </c>
      <c r="S134" s="44">
        <f ca="1">IF($D134="Finalizado",_xlfn.XLOOKUP(P134,Resumen!$A$6:$A$22,Resumen!BP$6:BP$22,0)+_xlfn.XLOOKUP(P134,Resumen!$A$6:$A$22,Resumen!BQ$6:BQ$22,0),"")</f>
        <v>0</v>
      </c>
      <c r="T134" s="44">
        <f t="shared" ca="1" si="139"/>
        <v>0</v>
      </c>
      <c r="U134" s="44">
        <f t="shared" ca="1" si="142"/>
        <v>0</v>
      </c>
      <c r="V134" s="44">
        <f t="shared" ca="1" si="143"/>
        <v>1</v>
      </c>
      <c r="W134" s="44">
        <f t="shared" ca="1" si="140"/>
        <v>1</v>
      </c>
      <c r="X134" s="45">
        <f t="shared" ca="1" si="141"/>
        <v>0</v>
      </c>
      <c r="Y134" s="198"/>
      <c r="AA134" s="19">
        <v>1</v>
      </c>
      <c r="AB134" s="19" t="e">
        <f ca="1">AJ134*1000+IF($D$123="Finalizado",AA141*10,0)+(AG134)+(AI134/10)+(AD134/1000)+IF(AL134&gt;0,(0.1/AL134),0)</f>
        <v>#VALUE!</v>
      </c>
      <c r="AC134" s="46" t="str">
        <f ca="1">+AC37</f>
        <v>La Amistad</v>
      </c>
      <c r="AD134" t="e">
        <f ca="1">SUMIF($G$139:$G$176,AC134,$K$139:$K$176)+SUMIF($P$139:$P$176,AC134,$T$139:$T$176)</f>
        <v>#VALUE!</v>
      </c>
      <c r="AE134" t="e">
        <f ca="1">SUMIF($G$137:$G$176,AC134,$L$137:$L$176)+SUMIF($P$137:$P$176,AC134,$U$137:$U$176)</f>
        <v>#VALUE!</v>
      </c>
      <c r="AF134" t="e">
        <f ca="1">SUMIF($G$137:$G$176,AC134,$M$137:$M$176)+SUMIF($P$137:$P$176,AC134,$V$137:$V$176)</f>
        <v>#VALUE!</v>
      </c>
      <c r="AG134" t="e">
        <f ca="1">SUMIF($G$137:$G$176,AC134,$H$137:$H$176)+SUMIF($P$137:$P$176,AC134,$Q$137:$Q$176)</f>
        <v>#VALUE!</v>
      </c>
      <c r="AH134" t="e">
        <f ca="1">SUMIF($G$137:$G$176,AC134,$Q$137:$Q$176)+SUMIF($P$137:$P$176,AC134,$H$137:$H$176)</f>
        <v>#VALUE!</v>
      </c>
      <c r="AI134" t="e">
        <f ca="1">+AG134-AH134</f>
        <v>#VALUE!</v>
      </c>
      <c r="AJ134" t="e">
        <f ca="1">AD134*3+AE134*1</f>
        <v>#VALUE!</v>
      </c>
      <c r="AK134">
        <f ca="1">SUMIF($G$137:$G$176,AC134,$N$137:$N$176)+SUMIF($P$137:$P$176,AC134,$W$137:$W$176)</f>
        <v>2</v>
      </c>
      <c r="AL134" t="e">
        <f ca="1">SUMIF($G$131:$G$176,AC134,$O$131:$O$176)+SUMIF($P$131:$P$176,AC134,$X$131:$X$176)</f>
        <v>#VALUE!</v>
      </c>
      <c r="AM134" t="e">
        <f ca="1">LARGE($AB$134:$AB$142,AA134)</f>
        <v>#VALUE!</v>
      </c>
    </row>
    <row r="135" spans="1:40" x14ac:dyDescent="0.25">
      <c r="A135" s="210"/>
      <c r="B135" s="61">
        <f>IF(Fixture!C134,Fixture!C134,"")</f>
        <v>45823</v>
      </c>
      <c r="C135" s="58">
        <v>0.52777777777777701</v>
      </c>
      <c r="D135" s="82" t="str">
        <f t="shared" ca="1" si="115"/>
        <v>Finalizado</v>
      </c>
      <c r="E135" s="198"/>
      <c r="F135" s="43">
        <f>+Fixture!B134</f>
        <v>133</v>
      </c>
      <c r="G135" s="42" t="str">
        <f>IF(VLOOKUP(F135,Fixture!$B$2:$F$137,3,FALSE)&lt;&gt;0,VLOOKUP(F135,Fixture!$B$2:$F$137,3,FALSE),"")</f>
        <v>CD El Corozo</v>
      </c>
      <c r="H135" s="44">
        <f ca="1">IF($D135="Finalizado",_xlfn.XLOOKUP(G135,Resumen!$A$6:$A$22,Resumen!BN$6:BN$22,0),"")</f>
        <v>2</v>
      </c>
      <c r="I135" s="44">
        <f ca="1">IF($D135="Finalizado",_xlfn.XLOOKUP(G135,Resumen!$A$6:$A$22,Resumen!BO$6:BO$22,0),"")</f>
        <v>1</v>
      </c>
      <c r="J135" s="44">
        <f ca="1">IF($D135="Finalizado",_xlfn.XLOOKUP(G135,Resumen!$A$6:$A$22,Resumen!BP$6:BP$22,0)+_xlfn.XLOOKUP(G135,Resumen!$A$6:$A$22,Resumen!BQ$6:BQ$22,0),"")</f>
        <v>0</v>
      </c>
      <c r="K135" s="44">
        <f t="shared" ca="1" si="93"/>
        <v>0</v>
      </c>
      <c r="L135" s="44">
        <f t="shared" ca="1" si="135"/>
        <v>0</v>
      </c>
      <c r="M135" s="44">
        <f t="shared" ca="1" si="136"/>
        <v>1</v>
      </c>
      <c r="N135" s="44">
        <f t="shared" ca="1" si="137"/>
        <v>1</v>
      </c>
      <c r="O135" s="45">
        <f t="shared" ca="1" si="138"/>
        <v>5</v>
      </c>
      <c r="P135" s="42" t="str">
        <f>IF(VLOOKUP(F135,Fixture!$B$2:$F$137,5,FALSE)&lt;&gt;0,VLOOKUP(F135,Fixture!$B$2:$F$137,5,FALSE),"")</f>
        <v>La Amistad</v>
      </c>
      <c r="Q135" s="44">
        <f ca="1">IF($D135="Finalizado",_xlfn.XLOOKUP(P135,Resumen!$A$6:$A$22,Resumen!BN$6:BN$22,0),"")</f>
        <v>5</v>
      </c>
      <c r="R135" s="44">
        <f ca="1">IF($D135="Finalizado",_xlfn.XLOOKUP(P135,Resumen!$A$6:$A$22,Resumen!BO$6:BO$22,0),"")</f>
        <v>3</v>
      </c>
      <c r="S135" s="44">
        <f ca="1">IF($D135="Finalizado",_xlfn.XLOOKUP(P135,Resumen!$A$6:$A$22,Resumen!BP$6:BP$22,0)+_xlfn.XLOOKUP(P135,Resumen!$A$6:$A$22,Resumen!BQ$6:BQ$22,0),"")</f>
        <v>0</v>
      </c>
      <c r="T135" s="44">
        <f t="shared" ca="1" si="139"/>
        <v>1</v>
      </c>
      <c r="U135" s="44">
        <f t="shared" ca="1" si="142"/>
        <v>0</v>
      </c>
      <c r="V135" s="44">
        <f t="shared" ca="1" si="143"/>
        <v>0</v>
      </c>
      <c r="W135" s="44">
        <f t="shared" ca="1" si="140"/>
        <v>1</v>
      </c>
      <c r="X135" s="45">
        <f t="shared" ca="1" si="141"/>
        <v>15</v>
      </c>
      <c r="Y135" s="198"/>
      <c r="AA135" s="19"/>
      <c r="AB135" s="19"/>
      <c r="AC135" s="46"/>
      <c r="AD135">
        <f t="shared" ref="AD135:AD142" si="144">SUMIF($G$131:$G$176,AC135,$K$131:$K$176)+SUMIF($P$131:$P$176,AC135,$T$131:$T$176)</f>
        <v>0</v>
      </c>
      <c r="AE135">
        <f t="shared" ref="AE135:AE142" si="145">SUMIF($G$131:$G$176,AC135,$L$131:$L$176)+SUMIF($P$131:$P$176,AC135,$U$131:$U$176)</f>
        <v>0</v>
      </c>
      <c r="AF135">
        <f t="shared" ref="AF135:AF142" si="146">SUMIF($G$131:$G$176,AC135,$M$131:$M$176)+SUMIF($P$131:$P$176,AC135,$V$131:$V$176)</f>
        <v>0</v>
      </c>
      <c r="AG135">
        <f t="shared" ref="AG135:AG142" si="147">SUMIF($G$131:$G$176,AC135,$H$131:$H$176)+SUMIF($P$131:$P$176,AC135,$Q$131:$Q$176)</f>
        <v>0</v>
      </c>
      <c r="AH135">
        <f t="shared" ref="AH135:AH142" si="148">SUMIF($G$131:$G$176,AC135,$Q$131:$Q$176)+SUMIF($P$131:$P$176,AC135,$H$131:$H$176)</f>
        <v>0</v>
      </c>
      <c r="AI135">
        <f t="shared" ref="AI135:AI142" si="149">+AG135-AH135</f>
        <v>0</v>
      </c>
      <c r="AJ135">
        <f t="shared" ref="AJ135:AJ142" si="150">AD135*3+AE135*1</f>
        <v>0</v>
      </c>
      <c r="AK135">
        <f t="shared" ref="AK135:AK142" si="151">SUMIF($G$131:$G$176,AC135,$N$131:$N$176)+SUMIF($P$131:$P$176,AC135,$W$131:$W$176)</f>
        <v>0</v>
      </c>
      <c r="AL135">
        <f t="shared" ref="AL135:AL142" si="152">SUMIF($G$131:$G$176,AC135,$O$131:$O$176)+SUMIF($P$131:$P$176,AC135,$X$131:$X$176)</f>
        <v>0</v>
      </c>
      <c r="AM135"/>
    </row>
    <row r="136" spans="1:40" x14ac:dyDescent="0.25">
      <c r="A136" s="210"/>
      <c r="B136" s="61">
        <f>IF(Fixture!C135,Fixture!C135,"")</f>
        <v>45823</v>
      </c>
      <c r="C136" s="58">
        <v>0.57638888888888895</v>
      </c>
      <c r="D136" s="82" t="str">
        <f t="shared" ca="1" si="115"/>
        <v>Finalizado</v>
      </c>
      <c r="E136" s="198"/>
      <c r="F136" s="43">
        <f>+Fixture!B135</f>
        <v>134</v>
      </c>
      <c r="G136" s="42" t="str">
        <f>IF(VLOOKUP(F136,Fixture!$B$2:$F$137,3,FALSE)&lt;&gt;0,VLOOKUP(F136,Fixture!$B$2:$F$137,3,FALSE),"")</f>
        <v>Villanueva</v>
      </c>
      <c r="H136" s="44">
        <f ca="1">IF($D136="Finalizado",_xlfn.XLOOKUP(G136,Resumen!$A$6:$A$22,Resumen!BN$6:BN$22,0),"")</f>
        <v>4</v>
      </c>
      <c r="I136" s="44">
        <f ca="1">IF($D136="Finalizado",_xlfn.XLOOKUP(G136,Resumen!$A$6:$A$22,Resumen!BO$6:BO$22,0),"")</f>
        <v>0</v>
      </c>
      <c r="J136" s="44">
        <f ca="1">IF($D136="Finalizado",_xlfn.XLOOKUP(G136,Resumen!$A$6:$A$22,Resumen!BP$6:BP$22,0)+_xlfn.XLOOKUP(G136,Resumen!$A$6:$A$22,Resumen!BQ$6:BQ$22,0),"")</f>
        <v>0</v>
      </c>
      <c r="K136" s="44"/>
      <c r="L136" s="44"/>
      <c r="M136" s="44"/>
      <c r="N136" s="44"/>
      <c r="O136" s="45"/>
      <c r="P136" s="42" t="str">
        <f>IF(VLOOKUP(F136,Fixture!$B$2:$F$137,5,FALSE)&lt;&gt;0,VLOOKUP(F136,Fixture!$B$2:$F$137,5,FALSE),"")</f>
        <v>Amenadim</v>
      </c>
      <c r="Q136" s="44">
        <f ca="1">IF($D136="Finalizado",_xlfn.XLOOKUP(P136,Resumen!$A$6:$A$22,Resumen!BN$6:BN$22,0),"")</f>
        <v>0</v>
      </c>
      <c r="R136" s="44">
        <f ca="1">IF($D136="Finalizado",_xlfn.XLOOKUP(P136,Resumen!$A$6:$A$22,Resumen!BO$6:BO$22,0),"")</f>
        <v>2</v>
      </c>
      <c r="S136" s="44">
        <f ca="1">IF($D136="Finalizado",_xlfn.XLOOKUP(P136,Resumen!$A$6:$A$22,Resumen!BP$6:BP$22,0)+_xlfn.XLOOKUP(P136,Resumen!$A$6:$A$22,Resumen!BQ$6:BQ$22,0),"")</f>
        <v>0</v>
      </c>
      <c r="T136" s="44">
        <f t="shared" ca="1" si="139"/>
        <v>0</v>
      </c>
      <c r="U136" s="44">
        <f t="shared" ca="1" si="142"/>
        <v>0</v>
      </c>
      <c r="V136" s="44">
        <f t="shared" ca="1" si="143"/>
        <v>1</v>
      </c>
      <c r="W136" s="44">
        <f t="shared" ca="1" si="140"/>
        <v>1</v>
      </c>
      <c r="X136" s="45">
        <f t="shared" ca="1" si="141"/>
        <v>10</v>
      </c>
      <c r="Y136" s="198"/>
      <c r="AA136" s="19"/>
      <c r="AB136" s="19"/>
      <c r="AC136" s="46"/>
      <c r="AD136">
        <f t="shared" si="144"/>
        <v>0</v>
      </c>
      <c r="AE136">
        <f t="shared" si="145"/>
        <v>0</v>
      </c>
      <c r="AF136">
        <f t="shared" si="146"/>
        <v>0</v>
      </c>
      <c r="AG136">
        <f t="shared" si="147"/>
        <v>0</v>
      </c>
      <c r="AH136">
        <f t="shared" si="148"/>
        <v>0</v>
      </c>
      <c r="AI136">
        <f t="shared" si="149"/>
        <v>0</v>
      </c>
      <c r="AJ136">
        <f t="shared" si="150"/>
        <v>0</v>
      </c>
      <c r="AK136">
        <f t="shared" si="151"/>
        <v>0</v>
      </c>
      <c r="AL136">
        <f t="shared" si="152"/>
        <v>0</v>
      </c>
      <c r="AM136"/>
    </row>
    <row r="137" spans="1:40" x14ac:dyDescent="0.25">
      <c r="A137" s="210"/>
      <c r="B137" s="61">
        <f>IF(Fixture!C136,Fixture!C136,"")</f>
        <v>45830</v>
      </c>
      <c r="C137" s="58">
        <v>0.625</v>
      </c>
      <c r="D137" s="82" t="str">
        <f t="shared" ca="1" si="115"/>
        <v>Finalizado</v>
      </c>
      <c r="E137" s="198"/>
      <c r="F137" s="43">
        <f>+Fixture!B136</f>
        <v>135</v>
      </c>
      <c r="G137" s="42" t="str">
        <f>IF(VLOOKUP(F137,Fixture!$B$2:$F$137,3,FALSE)&lt;&gt;0,VLOOKUP(F137,Fixture!$B$2:$F$137,3,FALSE),"")</f>
        <v>Ron Star</v>
      </c>
      <c r="H137" s="44">
        <f ca="1">IF($D137="Finalizado",_xlfn.XLOOKUP(G137,Resumen!$A$6:$A$22,Resumen!BN$6:BN$22,0),"")</f>
        <v>1</v>
      </c>
      <c r="I137" s="44">
        <f ca="1">IF($D137="Finalizado",_xlfn.XLOOKUP(G137,Resumen!$A$6:$A$22,Resumen!BO$6:BO$22,0),"")</f>
        <v>2</v>
      </c>
      <c r="J137" s="44">
        <f ca="1">IF($D137="Finalizado",_xlfn.XLOOKUP(G137,Resumen!$A$6:$A$22,Resumen!BP$6:BP$22,0)+_xlfn.XLOOKUP(G137,Resumen!$A$6:$A$22,Resumen!BQ$6:BQ$22,0),"")</f>
        <v>0</v>
      </c>
      <c r="K137" s="44"/>
      <c r="L137" s="44"/>
      <c r="M137" s="44"/>
      <c r="N137" s="44"/>
      <c r="O137" s="45"/>
      <c r="P137" s="42" t="str">
        <f>IF(VLOOKUP(F137,Fixture!$B$2:$F$137,5,FALSE)&lt;&gt;0,VLOOKUP(F137,Fixture!$B$2:$F$137,5,FALSE),"")</f>
        <v>Atalanta</v>
      </c>
      <c r="Q137" s="44">
        <f ca="1">IF($D137="Finalizado",_xlfn.XLOOKUP(P137,Resumen!$A$6:$A$22,Resumen!BN$6:BN$22,0),"")</f>
        <v>12</v>
      </c>
      <c r="R137" s="44">
        <f ca="1">IF($D137="Finalizado",_xlfn.XLOOKUP(P137,Resumen!$A$6:$A$22,Resumen!BO$6:BO$22,0),"")</f>
        <v>0</v>
      </c>
      <c r="S137" s="44">
        <f ca="1">IF($D137="Finalizado",_xlfn.XLOOKUP(P137,Resumen!$A$6:$A$22,Resumen!BP$6:BP$22,0)+_xlfn.XLOOKUP(P137,Resumen!$A$6:$A$22,Resumen!BQ$6:BQ$22,0),"")</f>
        <v>0</v>
      </c>
      <c r="T137" s="44">
        <f t="shared" ca="1" si="139"/>
        <v>1</v>
      </c>
      <c r="U137" s="44">
        <f t="shared" ca="1" si="142"/>
        <v>0</v>
      </c>
      <c r="V137" s="44">
        <f t="shared" ca="1" si="143"/>
        <v>0</v>
      </c>
      <c r="W137" s="44">
        <f t="shared" ca="1" si="140"/>
        <v>1</v>
      </c>
      <c r="X137" s="45">
        <f t="shared" ca="1" si="141"/>
        <v>0</v>
      </c>
      <c r="Y137" s="198"/>
      <c r="AA137" s="19">
        <v>2</v>
      </c>
      <c r="AB137" s="19">
        <f ca="1">AJ137*1000+IF($D$123="Finalizado",AA140*10,0)+(AG137)+(AI137/10)+(AD137/1000)+IF(AL137&gt;0,(0.1/AL137),0)</f>
        <v>51.720000000000006</v>
      </c>
      <c r="AC137" s="46" t="str">
        <f ca="1">+AC42</f>
        <v>CD El Corozo</v>
      </c>
      <c r="AD137">
        <f t="shared" ca="1" si="144"/>
        <v>0</v>
      </c>
      <c r="AE137">
        <f t="shared" ca="1" si="145"/>
        <v>0</v>
      </c>
      <c r="AF137">
        <f t="shared" ca="1" si="146"/>
        <v>1</v>
      </c>
      <c r="AG137">
        <f t="shared" ca="1" si="147"/>
        <v>2</v>
      </c>
      <c r="AH137">
        <f t="shared" ca="1" si="148"/>
        <v>5</v>
      </c>
      <c r="AI137">
        <f t="shared" ca="1" si="149"/>
        <v>-3</v>
      </c>
      <c r="AJ137">
        <f t="shared" ca="1" si="150"/>
        <v>0</v>
      </c>
      <c r="AK137">
        <f t="shared" ca="1" si="151"/>
        <v>1</v>
      </c>
      <c r="AL137">
        <f t="shared" ca="1" si="152"/>
        <v>5</v>
      </c>
      <c r="AM137" t="e">
        <f t="shared" ref="AM137:AM142" ca="1" si="153">LARGE($AB$134:$AB$142,AA137)</f>
        <v>#VALUE!</v>
      </c>
    </row>
    <row r="138" spans="1:40" ht="16.5" thickBot="1" x14ac:dyDescent="0.3">
      <c r="A138" s="211"/>
      <c r="B138" s="61">
        <f>IF(Fixture!C137,Fixture!C137,"")</f>
        <v>45830</v>
      </c>
      <c r="C138" s="58">
        <v>0.67361111111111105</v>
      </c>
      <c r="D138" s="82" t="str">
        <f t="shared" ca="1" si="115"/>
        <v>Finalizado</v>
      </c>
      <c r="E138" s="199"/>
      <c r="F138" s="90">
        <f>+Fixture!B137</f>
        <v>136</v>
      </c>
      <c r="G138" s="42" t="str">
        <f>IF(VLOOKUP(F138,Fixture!$B$2:$F$137,3,FALSE)&lt;&gt;0,VLOOKUP(F138,Fixture!$B$2:$F$137,3,FALSE),"")</f>
        <v>Los Aliados</v>
      </c>
      <c r="H138" s="48">
        <f ca="1">IF($D138="Finalizado",_xlfn.XLOOKUP(G138,Resumen!$A$6:$A$22,Resumen!BN$6:BN$22,0),"")</f>
        <v>1</v>
      </c>
      <c r="I138" s="48">
        <f ca="1">IF($D138="Finalizado",_xlfn.XLOOKUP(G138,Resumen!$A$6:$A$22,Resumen!BO$6:BO$22,0),"")</f>
        <v>1</v>
      </c>
      <c r="J138" s="48">
        <f ca="1">IF($D138="Finalizado",_xlfn.XLOOKUP(G138,Resumen!$A$6:$A$22,Resumen!BP$6:BP$22,0)+_xlfn.XLOOKUP(G138,Resumen!$A$6:$A$22,Resumen!BQ$6:BQ$22,0),"")</f>
        <v>0</v>
      </c>
      <c r="K138" s="48">
        <f t="shared" ca="1" si="93"/>
        <v>0</v>
      </c>
      <c r="L138" s="48">
        <f t="shared" ca="1" si="135"/>
        <v>0</v>
      </c>
      <c r="M138" s="48">
        <f t="shared" ca="1" si="136"/>
        <v>1</v>
      </c>
      <c r="N138" s="48">
        <f t="shared" ca="1" si="137"/>
        <v>1</v>
      </c>
      <c r="O138" s="49">
        <f t="shared" ca="1" si="138"/>
        <v>5</v>
      </c>
      <c r="P138" s="42" t="str">
        <f>IF(VLOOKUP(F138,Fixture!$B$2:$F$137,5,FALSE)&lt;&gt;0,VLOOKUP(F138,Fixture!$B$2:$F$137,5,FALSE),"")</f>
        <v>La Unión FC</v>
      </c>
      <c r="Q138" s="44">
        <f ca="1">IF($D138="Finalizado",_xlfn.XLOOKUP(P138,Resumen!$A$6:$A$22,Resumen!BN$6:BN$22,0),"")</f>
        <v>8</v>
      </c>
      <c r="R138" s="44">
        <f ca="1">IF($D138="Finalizado",_xlfn.XLOOKUP(P138,Resumen!$A$6:$A$22,Resumen!BO$6:BO$22,0),"")</f>
        <v>2</v>
      </c>
      <c r="S138" s="44">
        <f ca="1">IF($D138="Finalizado",_xlfn.XLOOKUP(P138,Resumen!$A$6:$A$22,Resumen!BP$6:BP$22,0)+_xlfn.XLOOKUP(P138,Resumen!$A$6:$A$22,Resumen!BQ$6:BQ$22,0),"")</f>
        <v>0</v>
      </c>
      <c r="T138" s="44">
        <f t="shared" ca="1" si="139"/>
        <v>1</v>
      </c>
      <c r="U138" s="44">
        <f t="shared" ca="1" si="142"/>
        <v>0</v>
      </c>
      <c r="V138" s="44">
        <f t="shared" ca="1" si="143"/>
        <v>0</v>
      </c>
      <c r="W138" s="48">
        <f t="shared" ca="1" si="140"/>
        <v>1</v>
      </c>
      <c r="X138" s="49">
        <f t="shared" ca="1" si="141"/>
        <v>10</v>
      </c>
      <c r="Y138" s="198"/>
      <c r="AA138" s="19">
        <v>3</v>
      </c>
      <c r="AB138" s="19">
        <f ca="1">AJ138*1000+IF($D$123="Finalizado",AA139*10,0)+(AG138)+(AI138/10)+(AD138/1000)+IF(AL138&gt;0,(0.1/AL138),0)</f>
        <v>3042.1076666666668</v>
      </c>
      <c r="AC138" s="46" t="str">
        <f ca="1">+AC44</f>
        <v>Valentín FC</v>
      </c>
      <c r="AD138">
        <f t="shared" ca="1" si="144"/>
        <v>1</v>
      </c>
      <c r="AE138">
        <f t="shared" ca="1" si="145"/>
        <v>0</v>
      </c>
      <c r="AF138">
        <f t="shared" ca="1" si="146"/>
        <v>0</v>
      </c>
      <c r="AG138">
        <f t="shared" ca="1" si="147"/>
        <v>2</v>
      </c>
      <c r="AH138">
        <f t="shared" ca="1" si="148"/>
        <v>1</v>
      </c>
      <c r="AI138">
        <f t="shared" ca="1" si="149"/>
        <v>1</v>
      </c>
      <c r="AJ138">
        <f t="shared" ca="1" si="150"/>
        <v>3</v>
      </c>
      <c r="AK138">
        <f t="shared" ca="1" si="151"/>
        <v>1</v>
      </c>
      <c r="AL138">
        <f t="shared" ca="1" si="152"/>
        <v>15</v>
      </c>
      <c r="AM138" t="e">
        <f t="shared" ca="1" si="153"/>
        <v>#VALUE!</v>
      </c>
    </row>
    <row r="139" spans="1:40" x14ac:dyDescent="0.25">
      <c r="A139" s="209" t="s">
        <v>81</v>
      </c>
      <c r="B139" s="60">
        <f>IF(Fixture!C138,Fixture!C138,"")</f>
        <v>45830</v>
      </c>
      <c r="C139" s="58">
        <v>0.63541666666666663</v>
      </c>
      <c r="D139" s="82" t="str">
        <f t="shared" ca="1" si="115"/>
        <v>Finalizado</v>
      </c>
      <c r="E139" s="197" t="s">
        <v>114</v>
      </c>
      <c r="F139" s="43">
        <f>+Fixture!B138</f>
        <v>137</v>
      </c>
      <c r="G139" s="42" t="e">
        <f>IF(VLOOKUP(F139,Fixture!$B$2:$F$137,3,FALSE)&lt;&gt;0,VLOOKUP(F139,Fixture!$B$2:$F$137,3,FALSE),"")</f>
        <v>#N/A</v>
      </c>
      <c r="H139" s="44" t="e">
        <f ca="1">IF($D139="Finalizado",_xlfn.XLOOKUP(G139,Resumen!$A$6:$A$22,Resumen!BR$6:BR$22,0),"")</f>
        <v>#N/A</v>
      </c>
      <c r="I139" s="44" t="e">
        <f ca="1">IF($D139="Finalizado",_xlfn.XLOOKUP(G139,Resumen!$A$6:$A$22,Resumen!BS$6:BS$22,0),"")</f>
        <v>#N/A</v>
      </c>
      <c r="J139" s="44" t="e">
        <f ca="1">IF($D139="Finalizado",_xlfn.XLOOKUP(G139,Resumen!$A$6:$A$22,Resumen!BT$6:BT$22,0)+_xlfn.XLOOKUP(G139,Resumen!$A$6:$A$22,Resumen!BU$6:BU$22,0),"")</f>
        <v>#N/A</v>
      </c>
      <c r="K139" s="44" t="e">
        <f t="shared" ca="1" si="93"/>
        <v>#N/A</v>
      </c>
      <c r="L139" s="44" t="e">
        <f t="shared" ca="1" si="135"/>
        <v>#N/A</v>
      </c>
      <c r="M139" s="44" t="e">
        <f t="shared" ca="1" si="136"/>
        <v>#N/A</v>
      </c>
      <c r="N139" s="44">
        <f t="shared" ca="1" si="137"/>
        <v>1</v>
      </c>
      <c r="O139" s="45" t="e">
        <f t="shared" ca="1" si="138"/>
        <v>#N/A</v>
      </c>
      <c r="P139" s="42" t="str">
        <f>IF(VLOOKUP(F139,Fixture!$B$2:$F$229,5,FALSE)&lt;&gt;0,VLOOKUP(F139,Fixture!$B$2:$F$229,5,FALSE),"")</f>
        <v>Los Amigos</v>
      </c>
      <c r="Q139" s="44">
        <f ca="1">IF($D139="Finalizado",_xlfn.XLOOKUP(P139,Resumen!$A$6:$A$22,Resumen!CA$6:CA$22,0),"")</f>
        <v>0</v>
      </c>
      <c r="R139" s="44">
        <f ca="1">IF($D139="Finalizado",_xlfn.XLOOKUP(P139,Resumen!$A$6:$A$22,Resumen!CB$6:CB$22,0),"")</f>
        <v>0</v>
      </c>
      <c r="S139" s="44">
        <f ca="1">IF($D139="Finalizado",_xlfn.XLOOKUP(P139,Resumen!$A$6:$A$22,Resumen!CC$6:CC$22,0)+_xlfn.XLOOKUP(P139,Resumen!$A$6:$A$22,Resumen!CD$6:CD$22,0),"")</f>
        <v>1</v>
      </c>
      <c r="T139" s="44" t="e">
        <f t="shared" ca="1" si="139"/>
        <v>#N/A</v>
      </c>
      <c r="U139" s="44" t="e">
        <f t="shared" ca="1" si="142"/>
        <v>#N/A</v>
      </c>
      <c r="V139" s="44" t="e">
        <f t="shared" ca="1" si="143"/>
        <v>#N/A</v>
      </c>
      <c r="W139" s="44">
        <f t="shared" ca="1" si="140"/>
        <v>1</v>
      </c>
      <c r="X139" s="45">
        <f t="shared" ca="1" si="141"/>
        <v>10</v>
      </c>
      <c r="Y139" s="197" t="str">
        <f t="shared" ref="Y139" si="154">+A139</f>
        <v>Fecha 18</v>
      </c>
      <c r="AA139" s="19">
        <v>4</v>
      </c>
      <c r="AB139" s="19" t="e">
        <f ca="1">AJ139*1000+IF($D$123="Finalizado",AA138*10,0)+(AG139)+(AI139/10)+(AD139/1000)+IF(AL139&gt;0,(0.1/AL139),0)</f>
        <v>#N/A</v>
      </c>
      <c r="AC139" s="46" t="str">
        <f ca="1">+AC46</f>
        <v>Hojas Anchas</v>
      </c>
      <c r="AD139" t="e">
        <f t="shared" ca="1" si="144"/>
        <v>#N/A</v>
      </c>
      <c r="AE139" t="e">
        <f t="shared" ca="1" si="145"/>
        <v>#N/A</v>
      </c>
      <c r="AF139" t="e">
        <f t="shared" ca="1" si="146"/>
        <v>#N/A</v>
      </c>
      <c r="AG139">
        <f t="shared" ca="1" si="147"/>
        <v>6</v>
      </c>
      <c r="AH139" t="e">
        <f t="shared" ca="1" si="148"/>
        <v>#N/A</v>
      </c>
      <c r="AI139" t="e">
        <f t="shared" ca="1" si="149"/>
        <v>#N/A</v>
      </c>
      <c r="AJ139" t="e">
        <f t="shared" ca="1" si="150"/>
        <v>#N/A</v>
      </c>
      <c r="AK139">
        <f t="shared" ca="1" si="151"/>
        <v>2</v>
      </c>
      <c r="AL139">
        <f t="shared" ca="1" si="152"/>
        <v>85</v>
      </c>
      <c r="AM139" t="e">
        <f t="shared" ca="1" si="153"/>
        <v>#VALUE!</v>
      </c>
    </row>
    <row r="140" spans="1:40" x14ac:dyDescent="0.25">
      <c r="A140" s="210"/>
      <c r="B140" s="61">
        <f>IF(Fixture!C139,Fixture!C139,"")</f>
        <v>45830</v>
      </c>
      <c r="C140" s="58">
        <v>0.67708333333333337</v>
      </c>
      <c r="D140" s="82" t="str">
        <f t="shared" ca="1" si="115"/>
        <v>Finalizado</v>
      </c>
      <c r="E140" s="198"/>
      <c r="F140" s="43">
        <f>+Fixture!B139</f>
        <v>138</v>
      </c>
      <c r="G140" s="42" t="e">
        <f>IF(VLOOKUP(F140,Fixture!$B$2:$F$137,3,FALSE)&lt;&gt;0,VLOOKUP(F140,Fixture!$B$2:$F$137,3,FALSE),"")</f>
        <v>#N/A</v>
      </c>
      <c r="H140" s="44" t="e">
        <f ca="1">IF($D140="Finalizado",_xlfn.XLOOKUP(G140,Resumen!$A$6:$A$22,Resumen!BR$6:BR$22,0),"")</f>
        <v>#N/A</v>
      </c>
      <c r="I140" s="44" t="e">
        <f ca="1">IF($D140="Finalizado",_xlfn.XLOOKUP(G140,Resumen!$A$6:$A$22,Resumen!BS$6:BS$22,0),"")</f>
        <v>#N/A</v>
      </c>
      <c r="J140" s="44" t="e">
        <f ca="1">IF($D140="Finalizado",_xlfn.XLOOKUP(G140,Resumen!$A$6:$A$22,Resumen!BT$6:BT$22,0)+_xlfn.XLOOKUP(G140,Resumen!$A$6:$A$22,Resumen!BU$6:BU$22,0),"")</f>
        <v>#N/A</v>
      </c>
      <c r="K140" s="44" t="e">
        <f t="shared" ca="1" si="93"/>
        <v>#N/A</v>
      </c>
      <c r="L140" s="44" t="e">
        <f t="shared" ca="1" si="135"/>
        <v>#N/A</v>
      </c>
      <c r="M140" s="44" t="e">
        <f t="shared" ca="1" si="136"/>
        <v>#N/A</v>
      </c>
      <c r="N140" s="44">
        <f t="shared" ca="1" si="137"/>
        <v>1</v>
      </c>
      <c r="O140" s="45" t="e">
        <f t="shared" ca="1" si="138"/>
        <v>#N/A</v>
      </c>
      <c r="P140" s="42" t="str">
        <f>IF(VLOOKUP(F140,Fixture!$B$2:$F$229,5,FALSE)&lt;&gt;0,VLOOKUP(F140,Fixture!$B$2:$F$229,5,FALSE),"")</f>
        <v>Hojas Anchas</v>
      </c>
      <c r="Q140" s="44">
        <f ca="1">IF($D140="Finalizado",_xlfn.XLOOKUP(P140,Resumen!$A$6:$A$22,Resumen!CA$6:CA$22,0),"")</f>
        <v>0</v>
      </c>
      <c r="R140" s="44">
        <f ca="1">IF($D140="Finalizado",_xlfn.XLOOKUP(P140,Resumen!$A$6:$A$22,Resumen!CB$6:CB$22,0),"")</f>
        <v>0</v>
      </c>
      <c r="S140" s="44">
        <f ca="1">IF($D140="Finalizado",_xlfn.XLOOKUP(P140,Resumen!$A$6:$A$22,Resumen!CC$6:CC$22,0)+_xlfn.XLOOKUP(P140,Resumen!$A$6:$A$22,Resumen!CD$6:CD$22,0),"")</f>
        <v>7</v>
      </c>
      <c r="T140" s="44" t="e">
        <f t="shared" ca="1" si="139"/>
        <v>#N/A</v>
      </c>
      <c r="U140" s="44" t="e">
        <f t="shared" ca="1" si="142"/>
        <v>#N/A</v>
      </c>
      <c r="V140" s="44" t="e">
        <f t="shared" ca="1" si="143"/>
        <v>#N/A</v>
      </c>
      <c r="W140" s="44">
        <f t="shared" ca="1" si="140"/>
        <v>1</v>
      </c>
      <c r="X140" s="45">
        <f t="shared" ca="1" si="141"/>
        <v>70</v>
      </c>
      <c r="Y140" s="198"/>
      <c r="AA140" s="19">
        <v>5</v>
      </c>
      <c r="AB140" s="19" t="e">
        <f ca="1">AJ140*1000+IF($D$123="Finalizado",AA137*10,0)+(AG140)+(AI140/10)+(AD140/1000)+IF(AL140&gt;0,(0.1/AL140),0)</f>
        <v>#VALUE!</v>
      </c>
      <c r="AC140" s="46" t="str">
        <f ca="1">+AC48</f>
        <v>Los Aliados</v>
      </c>
      <c r="AD140" t="e">
        <f t="shared" ca="1" si="144"/>
        <v>#VALUE!</v>
      </c>
      <c r="AE140" t="e">
        <f t="shared" ca="1" si="145"/>
        <v>#VALUE!</v>
      </c>
      <c r="AF140" t="e">
        <f t="shared" ca="1" si="146"/>
        <v>#VALUE!</v>
      </c>
      <c r="AG140" t="e">
        <f t="shared" ca="1" si="147"/>
        <v>#VALUE!</v>
      </c>
      <c r="AH140" t="e">
        <f t="shared" ca="1" si="148"/>
        <v>#VALUE!</v>
      </c>
      <c r="AI140" t="e">
        <f t="shared" ca="1" si="149"/>
        <v>#VALUE!</v>
      </c>
      <c r="AJ140" t="e">
        <f t="shared" ca="1" si="150"/>
        <v>#VALUE!</v>
      </c>
      <c r="AK140">
        <f t="shared" ca="1" si="151"/>
        <v>2</v>
      </c>
      <c r="AL140" t="e">
        <f t="shared" ca="1" si="152"/>
        <v>#VALUE!</v>
      </c>
      <c r="AM140" t="e">
        <f t="shared" ca="1" si="153"/>
        <v>#VALUE!</v>
      </c>
    </row>
    <row r="141" spans="1:40" x14ac:dyDescent="0.25">
      <c r="A141" s="210"/>
      <c r="B141" s="61">
        <f>IF(Fixture!C140,Fixture!C140,"")</f>
        <v>45830</v>
      </c>
      <c r="C141" s="58">
        <v>0.375</v>
      </c>
      <c r="D141" s="82" t="str">
        <f t="shared" ca="1" si="115"/>
        <v>Finalizado</v>
      </c>
      <c r="E141" s="198"/>
      <c r="F141" s="43">
        <f>+Fixture!B140</f>
        <v>139</v>
      </c>
      <c r="G141" s="42" t="e">
        <f>IF(VLOOKUP(F141,Fixture!$B$2:$F$137,3,FALSE)&lt;&gt;0,VLOOKUP(F141,Fixture!$B$2:$F$137,3,FALSE),"")</f>
        <v>#N/A</v>
      </c>
      <c r="H141" s="44" t="e">
        <f ca="1">IF($D141="Finalizado",_xlfn.XLOOKUP(G141,Resumen!$A$6:$A$22,Resumen!BR$6:BR$22,0),"")</f>
        <v>#N/A</v>
      </c>
      <c r="I141" s="44" t="e">
        <f ca="1">IF($D141="Finalizado",_xlfn.XLOOKUP(G141,Resumen!$A$6:$A$22,Resumen!BS$6:BS$22,0),"")</f>
        <v>#N/A</v>
      </c>
      <c r="J141" s="44" t="e">
        <f ca="1">IF($D141="Finalizado",_xlfn.XLOOKUP(G141,Resumen!$A$6:$A$22,Resumen!BT$6:BT$22,0)+_xlfn.XLOOKUP(G141,Resumen!$A$6:$A$22,Resumen!BU$6:BU$22,0),"")</f>
        <v>#N/A</v>
      </c>
      <c r="K141" s="44" t="e">
        <f t="shared" ca="1" si="93"/>
        <v>#N/A</v>
      </c>
      <c r="L141" s="44" t="e">
        <f t="shared" ca="1" si="135"/>
        <v>#N/A</v>
      </c>
      <c r="M141" s="44" t="e">
        <f t="shared" ca="1" si="136"/>
        <v>#N/A</v>
      </c>
      <c r="N141" s="44">
        <f t="shared" ca="1" si="137"/>
        <v>1</v>
      </c>
      <c r="O141" s="45" t="e">
        <f t="shared" ca="1" si="138"/>
        <v>#N/A</v>
      </c>
      <c r="P141" s="42" t="str">
        <f>IF(VLOOKUP(F141,Fixture!$B$2:$F$229,5,FALSE)&lt;&gt;0,VLOOKUP(F141,Fixture!$B$2:$F$229,5,FALSE),"")</f>
        <v>La Nueva Era</v>
      </c>
      <c r="Q141" s="44">
        <f ca="1">IF($D141="Finalizado",_xlfn.XLOOKUP(P141,Resumen!$A$6:$A$22,Resumen!CA$6:CA$22,0),"")</f>
        <v>0</v>
      </c>
      <c r="R141" s="44">
        <f ca="1">IF($D141="Finalizado",_xlfn.XLOOKUP(P141,Resumen!$A$6:$A$22,Resumen!CB$6:CB$22,0),"")</f>
        <v>0</v>
      </c>
      <c r="S141" s="44">
        <f ca="1">IF($D141="Finalizado",_xlfn.XLOOKUP(P141,Resumen!$A$6:$A$22,Resumen!CC$6:CC$22,0)+_xlfn.XLOOKUP(P141,Resumen!$A$6:$A$22,Resumen!CD$6:CD$22,0),"")</f>
        <v>0</v>
      </c>
      <c r="T141" s="44" t="e">
        <f t="shared" ca="1" si="139"/>
        <v>#N/A</v>
      </c>
      <c r="U141" s="44" t="e">
        <f t="shared" ca="1" si="142"/>
        <v>#N/A</v>
      </c>
      <c r="V141" s="44" t="e">
        <f t="shared" ca="1" si="143"/>
        <v>#N/A</v>
      </c>
      <c r="W141" s="44">
        <f t="shared" ca="1" si="140"/>
        <v>1</v>
      </c>
      <c r="X141" s="45">
        <f t="shared" ca="1" si="141"/>
        <v>0</v>
      </c>
      <c r="Y141" s="198"/>
      <c r="AA141" s="19">
        <v>6</v>
      </c>
      <c r="AB141" s="19">
        <f ca="1">AJ141*1000+IF($D$123="Finalizado",AA134*10,0)+(AG141)+(AI141/10)+(AD141/1000)+IF(AL141&gt;0,(0.1/AL141),0)</f>
        <v>10</v>
      </c>
      <c r="AC141" s="46" t="str">
        <f ca="1">+AC51</f>
        <v>Rayos FC</v>
      </c>
      <c r="AD141">
        <f t="shared" ca="1" si="144"/>
        <v>0</v>
      </c>
      <c r="AE141">
        <f t="shared" ca="1" si="145"/>
        <v>0</v>
      </c>
      <c r="AF141">
        <f t="shared" ca="1" si="146"/>
        <v>0</v>
      </c>
      <c r="AG141">
        <f t="shared" ca="1" si="147"/>
        <v>0</v>
      </c>
      <c r="AH141">
        <f t="shared" ca="1" si="148"/>
        <v>0</v>
      </c>
      <c r="AI141">
        <f t="shared" ca="1" si="149"/>
        <v>0</v>
      </c>
      <c r="AJ141">
        <f t="shared" ca="1" si="150"/>
        <v>0</v>
      </c>
      <c r="AK141">
        <f t="shared" ca="1" si="151"/>
        <v>0</v>
      </c>
      <c r="AL141">
        <f t="shared" ca="1" si="152"/>
        <v>0</v>
      </c>
      <c r="AM141" t="e">
        <f t="shared" ca="1" si="153"/>
        <v>#VALUE!</v>
      </c>
    </row>
    <row r="142" spans="1:40" x14ac:dyDescent="0.25">
      <c r="A142" s="210"/>
      <c r="B142" s="61">
        <f>IF(Fixture!C141,Fixture!C141,"")</f>
        <v>45830</v>
      </c>
      <c r="C142" s="58">
        <v>0.42708333333333331</v>
      </c>
      <c r="D142" s="82" t="str">
        <f t="shared" ca="1" si="115"/>
        <v>Finalizado</v>
      </c>
      <c r="E142" s="198"/>
      <c r="F142" s="43">
        <f>+Fixture!B141</f>
        <v>140</v>
      </c>
      <c r="G142" s="42"/>
      <c r="H142" s="44">
        <f ca="1">IF($D142="Finalizado",_xlfn.XLOOKUP(G142,Resumen!$A$6:$A$22,Resumen!BR$6:BR$22,0),"")</f>
        <v>0</v>
      </c>
      <c r="I142" s="44">
        <f ca="1">IF($D142="Finalizado",_xlfn.XLOOKUP(G142,Resumen!$A$6:$A$22,Resumen!BS$6:BS$22,0),"")</f>
        <v>0</v>
      </c>
      <c r="J142" s="44">
        <f ca="1">IF($D142="Finalizado",_xlfn.XLOOKUP(G142,Resumen!$A$6:$A$22,Resumen!BT$6:BT$22,0)+_xlfn.XLOOKUP(G142,Resumen!$A$6:$A$22,Resumen!BU$6:BU$22,0),"")</f>
        <v>0</v>
      </c>
      <c r="K142" s="44"/>
      <c r="L142" s="44"/>
      <c r="M142" s="44"/>
      <c r="N142" s="44"/>
      <c r="O142" s="45"/>
      <c r="P142" s="42"/>
      <c r="Q142" s="44">
        <f ca="1">IF($D142="Finalizado",_xlfn.XLOOKUP(P142,Resumen!$A$6:$A$22,Resumen!CA$6:CA$22,0),"")</f>
        <v>0</v>
      </c>
      <c r="R142" s="44">
        <f ca="1">IF($D142="Finalizado",_xlfn.XLOOKUP(P142,Resumen!$A$6:$A$22,Resumen!CB$6:CB$22,0),"")</f>
        <v>0</v>
      </c>
      <c r="S142" s="44">
        <f ca="1">IF($D142="Finalizado",_xlfn.XLOOKUP(P142,Resumen!$A$6:$A$22,Resumen!CC$6:CC$22,0)+_xlfn.XLOOKUP(P142,Resumen!$A$6:$A$22,Resumen!CD$6:CD$22,0),"")</f>
        <v>0</v>
      </c>
      <c r="T142" s="44">
        <f t="shared" ca="1" si="139"/>
        <v>0</v>
      </c>
      <c r="U142" s="44">
        <f t="shared" ca="1" si="142"/>
        <v>1</v>
      </c>
      <c r="V142" s="44">
        <f t="shared" ca="1" si="143"/>
        <v>0</v>
      </c>
      <c r="W142" s="44">
        <f t="shared" ca="1" si="140"/>
        <v>1</v>
      </c>
      <c r="X142" s="45">
        <f t="shared" ca="1" si="141"/>
        <v>0</v>
      </c>
      <c r="Y142" s="198"/>
      <c r="AA142" s="19">
        <v>7</v>
      </c>
      <c r="AB142" s="19">
        <f ca="1">AJ142*1000+IF($D$123="Finalizado",AA137*10,0)+(AG142)+(AI142/10)+(AD142/1000)+IF(AL142&gt;0,(0.1/AL142),0)</f>
        <v>20</v>
      </c>
      <c r="AC142" s="46">
        <f>+AC52</f>
        <v>0</v>
      </c>
      <c r="AD142">
        <f t="shared" si="144"/>
        <v>0</v>
      </c>
      <c r="AE142">
        <f t="shared" si="145"/>
        <v>0</v>
      </c>
      <c r="AF142">
        <f t="shared" si="146"/>
        <v>0</v>
      </c>
      <c r="AG142">
        <f t="shared" si="147"/>
        <v>0</v>
      </c>
      <c r="AH142">
        <f t="shared" si="148"/>
        <v>0</v>
      </c>
      <c r="AI142">
        <f t="shared" si="149"/>
        <v>0</v>
      </c>
      <c r="AJ142">
        <f t="shared" si="150"/>
        <v>0</v>
      </c>
      <c r="AK142">
        <f t="shared" si="151"/>
        <v>0</v>
      </c>
      <c r="AL142">
        <f t="shared" si="152"/>
        <v>0</v>
      </c>
      <c r="AM142" t="e">
        <f t="shared" ca="1" si="153"/>
        <v>#VALUE!</v>
      </c>
    </row>
    <row r="143" spans="1:40" ht="16.5" thickBot="1" x14ac:dyDescent="0.3">
      <c r="A143" s="210"/>
      <c r="B143" s="61">
        <f>IF(Fixture!C142,Fixture!C142,"")</f>
        <v>45830</v>
      </c>
      <c r="C143" s="58">
        <v>0.47916666666666669</v>
      </c>
      <c r="D143" s="82" t="str">
        <f t="shared" ca="1" si="115"/>
        <v>Finalizado</v>
      </c>
      <c r="E143" s="198"/>
      <c r="F143" s="43">
        <f>+Fixture!B142</f>
        <v>141</v>
      </c>
      <c r="G143" s="42"/>
      <c r="H143" s="44">
        <f ca="1">IF($D143="Finalizado",_xlfn.XLOOKUP(G143,Resumen!$A$6:$A$22,Resumen!BR$6:BR$22,0),"")</f>
        <v>0</v>
      </c>
      <c r="I143" s="44">
        <f ca="1">IF($D143="Finalizado",_xlfn.XLOOKUP(G143,Resumen!$A$6:$A$22,Resumen!BS$6:BS$22,0),"")</f>
        <v>0</v>
      </c>
      <c r="J143" s="44">
        <f ca="1">IF($D143="Finalizado",_xlfn.XLOOKUP(G143,Resumen!$A$6:$A$22,Resumen!BT$6:BT$22,0)+_xlfn.XLOOKUP(G143,Resumen!$A$6:$A$22,Resumen!BU$6:BU$22,0),"")</f>
        <v>0</v>
      </c>
      <c r="K143" s="44"/>
      <c r="L143" s="44"/>
      <c r="M143" s="44"/>
      <c r="N143" s="44"/>
      <c r="O143" s="45"/>
      <c r="P143" s="42"/>
      <c r="Q143" s="44">
        <f ca="1">IF($D143="Finalizado",_xlfn.XLOOKUP(P143,Resumen!$A$6:$A$22,Resumen!CA$6:CA$22,0),"")</f>
        <v>0</v>
      </c>
      <c r="R143" s="44">
        <f ca="1">IF($D143="Finalizado",_xlfn.XLOOKUP(P143,Resumen!$A$6:$A$22,Resumen!CB$6:CB$22,0),"")</f>
        <v>0</v>
      </c>
      <c r="S143" s="44">
        <f ca="1">IF($D143="Finalizado",_xlfn.XLOOKUP(P143,Resumen!$A$6:$A$22,Resumen!CC$6:CC$22,0)+_xlfn.XLOOKUP(P143,Resumen!$A$6:$A$22,Resumen!CD$6:CD$22,0),"")</f>
        <v>0</v>
      </c>
      <c r="T143" s="44">
        <f t="shared" ca="1" si="139"/>
        <v>0</v>
      </c>
      <c r="U143" s="44">
        <f t="shared" ca="1" si="142"/>
        <v>1</v>
      </c>
      <c r="V143" s="44">
        <f t="shared" ca="1" si="143"/>
        <v>0</v>
      </c>
      <c r="W143" s="44">
        <f t="shared" ca="1" si="140"/>
        <v>1</v>
      </c>
      <c r="X143" s="45">
        <f t="shared" ca="1" si="141"/>
        <v>0</v>
      </c>
      <c r="Y143" s="198"/>
    </row>
    <row r="144" spans="1:40" ht="16.5" thickBot="1" x14ac:dyDescent="0.3">
      <c r="A144" s="211"/>
      <c r="B144" s="61">
        <f>IF(Fixture!C143,Fixture!C143,"")</f>
        <v>45837</v>
      </c>
      <c r="C144" s="59">
        <v>0.53125</v>
      </c>
      <c r="D144" s="82" t="str">
        <f t="shared" ca="1" si="115"/>
        <v>Finalizado</v>
      </c>
      <c r="E144" s="199"/>
      <c r="F144" s="90">
        <f>+Fixture!B143</f>
        <v>142</v>
      </c>
      <c r="G144" s="42"/>
      <c r="H144" s="48">
        <f ca="1">IF($D144="Finalizado",_xlfn.XLOOKUP(G144,Resumen!$A$6:$A$22,Resumen!BR$6:BR$22,0),"")</f>
        <v>0</v>
      </c>
      <c r="I144" s="48">
        <f ca="1">IF($D144="Finalizado",_xlfn.XLOOKUP(G144,Resumen!$A$6:$A$22,Resumen!BS$6:BS$22,0),"")</f>
        <v>0</v>
      </c>
      <c r="J144" s="48">
        <f ca="1">IF($D144="Finalizado",_xlfn.XLOOKUP(G144,Resumen!$A$6:$A$22,Resumen!BT$6:BT$22,0)+_xlfn.XLOOKUP(G144,Resumen!$A$6:$A$22,Resumen!BU$6:BU$22,0),"")</f>
        <v>0</v>
      </c>
      <c r="K144" s="48"/>
      <c r="L144" s="48"/>
      <c r="M144" s="48"/>
      <c r="N144" s="48"/>
      <c r="O144" s="49"/>
      <c r="P144" s="42"/>
      <c r="Q144" s="48">
        <f ca="1">IF($D144="Finalizado",_xlfn.XLOOKUP(P144,Resumen!$A$6:$A$22,Resumen!CA$6:CA$22,0),"")</f>
        <v>0</v>
      </c>
      <c r="R144" s="48">
        <f ca="1">IF($D144="Finalizado",_xlfn.XLOOKUP(P144,Resumen!$A$6:$A$22,Resumen!CB$6:CB$22,0),"")</f>
        <v>0</v>
      </c>
      <c r="S144" s="48">
        <f ca="1">IF($D144="Finalizado",_xlfn.XLOOKUP(P144,Resumen!$A$6:$A$22,Resumen!CC$6:CC$22,0)+_xlfn.XLOOKUP(P144,Resumen!$A$6:$A$22,Resumen!CD$6:CD$22,0),"")</f>
        <v>0</v>
      </c>
      <c r="T144" s="48">
        <f t="shared" ca="1" si="139"/>
        <v>0</v>
      </c>
      <c r="U144" s="48">
        <f t="shared" ca="1" si="142"/>
        <v>1</v>
      </c>
      <c r="V144" s="48">
        <f t="shared" ca="1" si="143"/>
        <v>0</v>
      </c>
      <c r="W144" s="48">
        <f t="shared" ca="1" si="140"/>
        <v>1</v>
      </c>
      <c r="X144" s="49">
        <f t="shared" ca="1" si="141"/>
        <v>0</v>
      </c>
      <c r="Y144" s="198"/>
      <c r="AA144" s="40" t="s">
        <v>122</v>
      </c>
      <c r="AB144" s="40"/>
      <c r="AC144" s="41" t="s">
        <v>2</v>
      </c>
      <c r="AD144" s="40" t="s">
        <v>115</v>
      </c>
      <c r="AE144" s="40" t="s">
        <v>116</v>
      </c>
      <c r="AF144" s="40" t="s">
        <v>117</v>
      </c>
      <c r="AG144" s="40" t="s">
        <v>123</v>
      </c>
      <c r="AH144" s="40" t="s">
        <v>124</v>
      </c>
      <c r="AI144" s="40" t="s">
        <v>125</v>
      </c>
      <c r="AJ144" s="40" t="s">
        <v>126</v>
      </c>
      <c r="AK144" s="40" t="s">
        <v>127</v>
      </c>
      <c r="AL144" s="40" t="s">
        <v>119</v>
      </c>
    </row>
    <row r="145" spans="1:38" x14ac:dyDescent="0.25">
      <c r="A145" s="209" t="s">
        <v>83</v>
      </c>
      <c r="B145" s="60">
        <f>IF(Fixture!C144,Fixture!C144,"")</f>
        <v>45837</v>
      </c>
      <c r="C145" s="58">
        <v>0.58333333333333337</v>
      </c>
      <c r="D145" s="82" t="str">
        <f t="shared" ca="1" si="115"/>
        <v>Finalizado</v>
      </c>
      <c r="E145" s="197" t="s">
        <v>114</v>
      </c>
      <c r="F145" s="43">
        <f>+Fixture!B144</f>
        <v>143</v>
      </c>
      <c r="G145" s="42"/>
      <c r="H145" s="44">
        <f ca="1">IF($D145="Finalizado",_xlfn.XLOOKUP(G145,Resumen!$A$6:$A$22,Resumen!BV$6:BV$22,0),"")</f>
        <v>0</v>
      </c>
      <c r="I145" s="44">
        <f ca="1">IF($D145="Finalizado",_xlfn.XLOOKUP(G145,Resumen!$A$6:$A$22,Resumen!BW$6:BW$22,0),"")</f>
        <v>0</v>
      </c>
      <c r="J145" s="44" cm="1">
        <f t="array" aca="1" ref="J145" ca="1">IF($D145="Finalizado",_xlfn.XLOOKUP(G145,Resumen!$A$6:$A$22,Resumen!BW$6:BX$22,0)+_xlfn.XLOOKUP(G145,Resumen!$A$6:$A$22,Resumen!BY$6:BY$22,0),"")</f>
        <v>0</v>
      </c>
      <c r="K145" s="44"/>
      <c r="L145" s="44"/>
      <c r="M145" s="44"/>
      <c r="N145" s="44"/>
      <c r="O145" s="45"/>
      <c r="P145" s="42"/>
      <c r="Q145" s="44">
        <f ca="1">IF($D145="Finalizado",_xlfn.XLOOKUP(P145,Resumen!$A$6:$A$22,Resumen!CE$6:CE$22,0),"")</f>
        <v>0</v>
      </c>
      <c r="R145" s="44">
        <f ca="1">IF($D145="Finalizado",_xlfn.XLOOKUP(P145,Resumen!$A$6:$A$22,Resumen!CF$6:CF$22,0),"")</f>
        <v>0</v>
      </c>
      <c r="S145" s="44" cm="1">
        <f t="array" aca="1" ref="S145" ca="1">IF($D145="Finalizado",_xlfn.XLOOKUP(P145,Resumen!$A$6:$A$22,Resumen!CF$6:CG$22,0)+_xlfn.XLOOKUP(P145,Resumen!$A$6:$A$22,Resumen!CH$6:CH$22,0),"")</f>
        <v>0</v>
      </c>
      <c r="T145" s="44">
        <f t="shared" ca="1" si="139"/>
        <v>0</v>
      </c>
      <c r="U145" s="44">
        <f t="shared" ca="1" si="142"/>
        <v>1</v>
      </c>
      <c r="V145" s="44">
        <f t="shared" ca="1" si="143"/>
        <v>0</v>
      </c>
      <c r="W145" s="44">
        <f t="shared" ca="1" si="140"/>
        <v>1</v>
      </c>
      <c r="X145" s="45">
        <f t="shared" ca="1" si="141"/>
        <v>0</v>
      </c>
      <c r="Y145" s="197" t="str">
        <f t="shared" ref="Y145" si="155">+A145</f>
        <v>Fecha 19</v>
      </c>
      <c r="AA145" s="19">
        <v>1</v>
      </c>
      <c r="AB145" s="19">
        <f ca="1">AJ145*1000+IF($D$123="Finalizado",AA150*10,0)+(AG145)+(AI145/10)+(AD145/1000)+IF(AL145&gt;0,(0.1/AL145),0)</f>
        <v>0</v>
      </c>
      <c r="AC145" s="46" t="e">
        <f ca="1">+AC56</f>
        <v>#N/A</v>
      </c>
      <c r="AD145">
        <f ca="1">SUMIF($G$169:$G$179,AC145,$K$169:$K$179)+SUMIF($P$169:$P$179,AC145,$T$169:$T$179)</f>
        <v>0</v>
      </c>
      <c r="AE145">
        <f ca="1">SUMIF($G$169:$G$179,AC145,$L$169:$L$179)+SUMIF($P$169:$P$179,AC145,$U$169:$U$179)</f>
        <v>0</v>
      </c>
      <c r="AF145">
        <f ca="1">SUMIF($G$169:$G$179,AC145,$M$169:$M$179)+SUMIF($P$169:$P$179,AC145,$V$169:$V$179)</f>
        <v>0</v>
      </c>
      <c r="AG145">
        <f ca="1">SUMIF($G$169:$G$179,AC145,$H$169:$H$179)+SUMIF($P$169:$P$179,AC145,$Q$169:$Q$179)</f>
        <v>0</v>
      </c>
      <c r="AH145">
        <f ca="1">SUMIF($G$169:$G$179,AC145,$Q$169:$Q$179)+SUMIF($P$169:$P$179,AC145,$H$169:$H$179)</f>
        <v>0</v>
      </c>
      <c r="AI145">
        <f ca="1">+AG145-AH145</f>
        <v>0</v>
      </c>
      <c r="AJ145">
        <f ca="1">AD145*3+AE145*1</f>
        <v>0</v>
      </c>
      <c r="AK145">
        <f ca="1">SUMIF($G$169:$G$179,AC145,$N$169:$N$179)+SUMIF($P$169:$P$179,AC145,$W$169:$W$179)</f>
        <v>0</v>
      </c>
      <c r="AL145">
        <f ca="1">SUMIF($G$169:$G$179,AC145,$O$169:$O$179)+SUMIF($P$169:$P$179,AC145,$X$169:$X$179)</f>
        <v>0</v>
      </c>
    </row>
    <row r="146" spans="1:38" ht="16.5" thickBot="1" x14ac:dyDescent="0.3">
      <c r="A146" s="210"/>
      <c r="B146" s="61">
        <f>IF(Fixture!C145,Fixture!C145,"")</f>
        <v>45837</v>
      </c>
      <c r="C146" s="58">
        <v>0.63541666666666663</v>
      </c>
      <c r="D146" s="82" t="str">
        <f t="shared" ca="1" si="115"/>
        <v>Finalizado</v>
      </c>
      <c r="E146" s="198"/>
      <c r="F146" s="43">
        <f>+Fixture!B145</f>
        <v>144</v>
      </c>
      <c r="G146" s="42" t="e">
        <f>IF(VLOOKUP(F146,Fixture!$B$2:$F$137,3,FALSE)&lt;&gt;0,VLOOKUP(F146,Fixture!$B$2:$F$137,3,FALSE),"")</f>
        <v>#N/A</v>
      </c>
      <c r="H146" s="44" t="e">
        <f ca="1">IF($D146="Finalizado",_xlfn.XLOOKUP(G146,Resumen!$A$6:$A$22,Resumen!BV$6:BV$22,0),"")</f>
        <v>#N/A</v>
      </c>
      <c r="I146" s="44" t="e">
        <f ca="1">IF($D146="Finalizado",_xlfn.XLOOKUP(G146,Resumen!$A$6:$A$22,Resumen!BW$6:BW$22,0),"")</f>
        <v>#N/A</v>
      </c>
      <c r="J146" s="44" t="e" cm="1">
        <f t="array" aca="1" ref="J146" ca="1">IF($D146="Finalizado",_xlfn.XLOOKUP(G146,Resumen!$A$6:$A$22,Resumen!BW$6:BX$22,0)+_xlfn.XLOOKUP(G146,Resumen!$A$6:$A$22,Resumen!BY$6:BY$22,0),"")</f>
        <v>#N/A</v>
      </c>
      <c r="K146" s="44" t="e">
        <f t="shared" ref="K146:K161" ca="1" si="156">IF(D146="Finalizado",IF(H146&gt;Q146,1,0),"")</f>
        <v>#N/A</v>
      </c>
      <c r="L146" s="44" t="e">
        <f t="shared" ref="L146:L172" ca="1" si="157">IF(D146="Finalizado",IF(H146=Q146,1,0),"")</f>
        <v>#N/A</v>
      </c>
      <c r="M146" s="44" t="e">
        <f t="shared" ref="M146:M172" ca="1" si="158">IF(D146="Finalizado",IF(H146&lt;Q146,1,0),"")</f>
        <v>#N/A</v>
      </c>
      <c r="N146" s="44">
        <f t="shared" ref="N146:N172" ca="1" si="159">IF(D146="Finalizado",1,"")</f>
        <v>1</v>
      </c>
      <c r="O146" s="45" t="e">
        <f t="shared" ref="O146:O172" ca="1" si="160">IF(D146="Finalizado",SUM(I146*5,J146*10),"")</f>
        <v>#N/A</v>
      </c>
      <c r="P146" s="42" t="str">
        <f>IF(VLOOKUP(F146,Fixture!$B$2:$F$229,5,FALSE)&lt;&gt;0,VLOOKUP(F146,Fixture!$B$2:$F$229,5,FALSE),"")</f>
        <v>Konami</v>
      </c>
      <c r="Q146" s="44">
        <f ca="1">IF($D146="Finalizado",_xlfn.XLOOKUP(P146,Resumen!$A$6:$A$22,Resumen!CE$6:CE$22,0),"")</f>
        <v>0</v>
      </c>
      <c r="R146" s="44">
        <f ca="1">IF($D146="Finalizado",_xlfn.XLOOKUP(P146,Resumen!$A$6:$A$22,Resumen!CF$6:CF$22,0),"")</f>
        <v>0</v>
      </c>
      <c r="S146" s="44" t="e" cm="1" vm="1">
        <f t="array" aca="1" ref="S146" ca="1">IF($D146="Finalizado",_xlfn.XLOOKUP(P146,Resumen!$A$6:$A$22,Resumen!CF$6:CG$22,0)+_xlfn.XLOOKUP(P146,Resumen!$A$6:$A$22,Resumen!CH$6:CH$22,0),"")</f>
        <v>#VALUE!</v>
      </c>
      <c r="T146" s="44" t="e">
        <f t="shared" ca="1" si="139"/>
        <v>#N/A</v>
      </c>
      <c r="U146" s="44" t="e">
        <f t="shared" ca="1" si="142"/>
        <v>#N/A</v>
      </c>
      <c r="V146" s="44" t="e">
        <f t="shared" ca="1" si="143"/>
        <v>#N/A</v>
      </c>
      <c r="W146" s="48">
        <f t="shared" ca="1" si="140"/>
        <v>1</v>
      </c>
      <c r="X146" s="45" t="e" vm="2">
        <f t="shared" ca="1" si="141"/>
        <v>#VALUE!</v>
      </c>
      <c r="Y146" s="198"/>
      <c r="AA146" s="19">
        <v>2</v>
      </c>
      <c r="AB146" s="19">
        <f ca="1">AJ146*1000+IF($D$123="Finalizado",AA149*10,0)+(AG146)+(AI146/10)+(AD146/1000)+IF(AL146&gt;0,(0.1/AL146),0)</f>
        <v>0</v>
      </c>
      <c r="AC146" s="46" t="e">
        <f ca="1">+AC57</f>
        <v>#N/A</v>
      </c>
      <c r="AD146">
        <f ca="1">SUMIF($G$169:$G$179,AC146,$K$169:$K$179)+SUMIF($P$169:$P$179,AC146,$T$169:$T$179)</f>
        <v>0</v>
      </c>
      <c r="AE146">
        <f ca="1">SUMIF($G$169:$G$179,AC146,$L$169:$L$179)+SUMIF($P$169:$P$179,AC146,$U$169:$U$179)</f>
        <v>0</v>
      </c>
      <c r="AF146">
        <f ca="1">SUMIF($G$169:$G$179,AC146,$M$169:$M$179)+SUMIF($P$169:$P$179,AC146,$V$169:$V$179)</f>
        <v>0</v>
      </c>
      <c r="AG146">
        <f ca="1">SUMIF($G$169:$G$179,AC146,$H$169:$H$179)+SUMIF($P$169:$P$179,AC146,$Q$169:$Q$179)</f>
        <v>0</v>
      </c>
      <c r="AH146">
        <f ca="1">SUMIF($G$169:$G$179,AC146,$Q$169:$Q$179)+SUMIF($P$169:$P$179,AC146,$H$169:$H$179)</f>
        <v>0</v>
      </c>
      <c r="AI146">
        <f t="shared" ref="AI146:AI148" ca="1" si="161">+AG146-AH146</f>
        <v>0</v>
      </c>
      <c r="AJ146">
        <f t="shared" ref="AJ146:AJ148" ca="1" si="162">AD146*3+AE146*1</f>
        <v>0</v>
      </c>
      <c r="AK146">
        <f ca="1">SUMIF($G$169:$G$179,AC146,$N$169:$N$179)+SUMIF($P$169:$P$179,AC146,$W$169:$W$179)</f>
        <v>0</v>
      </c>
      <c r="AL146">
        <f ca="1">SUMIF($G$169:$G$179,AC146,$O$169:$O$179)+SUMIF($P$169:$P$179,AC146,$X$169:$X$179)</f>
        <v>0</v>
      </c>
    </row>
    <row r="147" spans="1:38" x14ac:dyDescent="0.25">
      <c r="A147" s="210"/>
      <c r="B147" s="61">
        <f>IF(Fixture!C146,Fixture!C146,"")</f>
        <v>45837</v>
      </c>
      <c r="C147" s="58">
        <v>0.67708333333333337</v>
      </c>
      <c r="D147" s="82" t="str">
        <f t="shared" ca="1" si="115"/>
        <v>Finalizado</v>
      </c>
      <c r="E147" s="198"/>
      <c r="F147" s="43">
        <f>+Fixture!B146</f>
        <v>145</v>
      </c>
      <c r="G147" s="42" t="e">
        <f>IF(VLOOKUP(F147,Fixture!$B$2:$F$137,3,FALSE)&lt;&gt;0,VLOOKUP(F147,Fixture!$B$2:$F$137,3,FALSE),"")</f>
        <v>#N/A</v>
      </c>
      <c r="H147" s="44" t="e">
        <f ca="1">IF($D147="Finalizado",_xlfn.XLOOKUP(G147,Resumen!$A$6:$A$22,Resumen!BV$6:BV$22,0),"")</f>
        <v>#N/A</v>
      </c>
      <c r="I147" s="44" t="e">
        <f ca="1">IF($D147="Finalizado",_xlfn.XLOOKUP(G147,Resumen!$A$6:$A$22,Resumen!BW$6:BW$22,0),"")</f>
        <v>#N/A</v>
      </c>
      <c r="J147" s="44" t="e" cm="1">
        <f t="array" aca="1" ref="J147" ca="1">IF($D147="Finalizado",_xlfn.XLOOKUP(G147,Resumen!$A$6:$A$22,Resumen!BW$6:BX$22,0)+_xlfn.XLOOKUP(G147,Resumen!$A$6:$A$22,Resumen!BY$6:BY$22,0),"")</f>
        <v>#N/A</v>
      </c>
      <c r="K147" s="44" t="e">
        <f t="shared" ca="1" si="156"/>
        <v>#N/A</v>
      </c>
      <c r="L147" s="44" t="e">
        <f t="shared" ca="1" si="157"/>
        <v>#N/A</v>
      </c>
      <c r="M147" s="44" t="e">
        <f t="shared" ca="1" si="158"/>
        <v>#N/A</v>
      </c>
      <c r="N147" s="44">
        <f t="shared" ca="1" si="159"/>
        <v>1</v>
      </c>
      <c r="O147" s="45" t="e">
        <f t="shared" ca="1" si="160"/>
        <v>#N/A</v>
      </c>
      <c r="P147" s="42" t="str">
        <f>IF(VLOOKUP(F147,Fixture!$B$2:$F$229,5,FALSE)&lt;&gt;0,VLOOKUP(F147,Fixture!$B$2:$F$229,5,FALSE),"")</f>
        <v>Ron Star</v>
      </c>
      <c r="Q147" s="44">
        <f ca="1">IF($D147="Finalizado",_xlfn.XLOOKUP(P147,Resumen!$A$6:$A$22,Resumen!CE$6:CE$22,0),"")</f>
        <v>2</v>
      </c>
      <c r="R147" s="44">
        <f ca="1">IF($D147="Finalizado",_xlfn.XLOOKUP(P147,Resumen!$A$6:$A$22,Resumen!CF$6:CF$22,0),"")</f>
        <v>0</v>
      </c>
      <c r="S147" s="44" t="e" cm="1" vm="1">
        <f t="array" aca="1" ref="S147" ca="1">IF($D147="Finalizado",_xlfn.XLOOKUP(P147,Resumen!$A$6:$A$22,Resumen!CF$6:CG$22,0)+_xlfn.XLOOKUP(P147,Resumen!$A$6:$A$22,Resumen!CH$6:CH$22,0),"")</f>
        <v>#VALUE!</v>
      </c>
      <c r="T147" s="44" t="e">
        <f t="shared" ca="1" si="139"/>
        <v>#N/A</v>
      </c>
      <c r="U147" s="44" t="e">
        <f t="shared" ca="1" si="142"/>
        <v>#N/A</v>
      </c>
      <c r="V147" s="44" t="e">
        <f t="shared" ca="1" si="143"/>
        <v>#N/A</v>
      </c>
      <c r="W147" s="44">
        <f t="shared" ca="1" si="140"/>
        <v>1</v>
      </c>
      <c r="X147" s="45" t="e" vm="2">
        <f t="shared" ca="1" si="141"/>
        <v>#VALUE!</v>
      </c>
      <c r="Y147" s="198"/>
      <c r="AA147" s="19">
        <v>3</v>
      </c>
      <c r="AB147" s="19">
        <f ca="1">AJ147*1000+IF($D$123="Finalizado",AA148*10,0)+(AG147)+(AI147/10)+(AD147/1000)+IF(AL147&gt;0,(0.1/AL147),0)</f>
        <v>40</v>
      </c>
      <c r="AC147" s="46" t="e">
        <f ca="1">+AC66</f>
        <v>#VALUE!</v>
      </c>
      <c r="AD147">
        <f ca="1">SUMIF($G$169:$G$179,AC147,$K$169:$K$179)+SUMIF($P$169:$P$179,AC147,$T$169:$T$179)</f>
        <v>0</v>
      </c>
      <c r="AE147">
        <f ca="1">SUMIF($G$169:$G$179,AC147,$L$169:$L$179)+SUMIF($P$169:$P$179,AC147,$U$169:$U$179)</f>
        <v>0</v>
      </c>
      <c r="AF147">
        <f ca="1">SUMIF($G$169:$G$179,AC147,$M$169:$M$179)+SUMIF($P$169:$P$179,AC147,$V$169:$V$179)</f>
        <v>0</v>
      </c>
      <c r="AG147">
        <f ca="1">SUMIF($G$169:$G$179,AC147,$H$169:$H$179)+SUMIF($P$169:$P$179,AC147,$Q$169:$Q$179)</f>
        <v>0</v>
      </c>
      <c r="AH147">
        <f ca="1">SUMIF($G$169:$G$179,AC147,$Q$169:$Q$179)+SUMIF($P$169:$P$179,AC147,$H$169:$H$179)</f>
        <v>0</v>
      </c>
      <c r="AI147">
        <f t="shared" ca="1" si="161"/>
        <v>0</v>
      </c>
      <c r="AJ147">
        <f t="shared" ca="1" si="162"/>
        <v>0</v>
      </c>
      <c r="AK147">
        <f ca="1">SUMIF($G$169:$G$179,AC147,$N$169:$N$179)+SUMIF($P$169:$P$179,AC147,$W$169:$W$179)</f>
        <v>0</v>
      </c>
      <c r="AL147">
        <f ca="1">SUMIF($G$169:$G$179,AC147,$O$169:$O$179)+SUMIF($P$169:$P$179,AC147,$X$169:$X$179)</f>
        <v>0</v>
      </c>
    </row>
    <row r="148" spans="1:38" x14ac:dyDescent="0.25">
      <c r="A148" s="210"/>
      <c r="B148" s="61">
        <f>IF(Fixture!C147,Fixture!C147,"")</f>
        <v>45837</v>
      </c>
      <c r="C148" s="58">
        <v>0.375</v>
      </c>
      <c r="D148" s="82" t="str">
        <f t="shared" ca="1" si="115"/>
        <v>Finalizado</v>
      </c>
      <c r="E148" s="198"/>
      <c r="F148" s="43">
        <f>+Fixture!B147</f>
        <v>146</v>
      </c>
      <c r="G148" s="42" t="e">
        <f>IF(VLOOKUP(F148,Fixture!$B$2:$F$137,3,FALSE)&lt;&gt;0,VLOOKUP(F148,Fixture!$B$2:$F$137,3,FALSE),"")</f>
        <v>#N/A</v>
      </c>
      <c r="H148" s="44" t="e">
        <f ca="1">IF($D148="Finalizado",_xlfn.XLOOKUP(G148,Resumen!$A$6:$A$22,Resumen!BV$6:BV$22,0),"")</f>
        <v>#N/A</v>
      </c>
      <c r="I148" s="44" t="e">
        <f ca="1">IF($D148="Finalizado",_xlfn.XLOOKUP(G148,Resumen!$A$6:$A$22,Resumen!BW$6:BW$22,0),"")</f>
        <v>#N/A</v>
      </c>
      <c r="J148" s="44" t="e" cm="1">
        <f t="array" aca="1" ref="J148" ca="1">IF($D148="Finalizado",_xlfn.XLOOKUP(G148,Resumen!$A$6:$A$22,Resumen!BW$6:BX$22,0)+_xlfn.XLOOKUP(G148,Resumen!$A$6:$A$22,Resumen!BY$6:BY$22,0),"")</f>
        <v>#N/A</v>
      </c>
      <c r="K148" s="44" t="e">
        <f t="shared" ca="1" si="156"/>
        <v>#N/A</v>
      </c>
      <c r="L148" s="44" t="e">
        <f t="shared" ca="1" si="157"/>
        <v>#N/A</v>
      </c>
      <c r="M148" s="44" t="e">
        <f t="shared" ca="1" si="158"/>
        <v>#N/A</v>
      </c>
      <c r="N148" s="44">
        <f t="shared" ca="1" si="159"/>
        <v>1</v>
      </c>
      <c r="O148" s="45" t="e">
        <f t="shared" ca="1" si="160"/>
        <v>#N/A</v>
      </c>
      <c r="P148" s="42" t="str">
        <f>IF(VLOOKUP(F148,Fixture!$B$2:$F$229,5,FALSE)&lt;&gt;0,VLOOKUP(F148,Fixture!$B$2:$F$229,5,FALSE),"")</f>
        <v>La Nueva Era</v>
      </c>
      <c r="Q148" s="44">
        <f ca="1">IF($D148="Finalizado",_xlfn.XLOOKUP(P148,Resumen!$A$6:$A$22,Resumen!CE$6:CE$22,0),"")</f>
        <v>0</v>
      </c>
      <c r="R148" s="44">
        <f ca="1">IF($D148="Finalizado",_xlfn.XLOOKUP(P148,Resumen!$A$6:$A$22,Resumen!CF$6:CF$22,0),"")</f>
        <v>0</v>
      </c>
      <c r="S148" s="44" t="e" cm="1" vm="1">
        <f t="array" aca="1" ref="S148" ca="1">IF($D148="Finalizado",_xlfn.XLOOKUP(P148,Resumen!$A$6:$A$22,Resumen!CF$6:CG$22,0)+_xlfn.XLOOKUP(P148,Resumen!$A$6:$A$22,Resumen!CH$6:CH$22,0),"")</f>
        <v>#VALUE!</v>
      </c>
      <c r="T148" s="44" t="e">
        <f t="shared" ca="1" si="139"/>
        <v>#N/A</v>
      </c>
      <c r="U148" s="44" t="e">
        <f t="shared" ca="1" si="142"/>
        <v>#N/A</v>
      </c>
      <c r="V148" s="44" t="e">
        <f t="shared" ca="1" si="143"/>
        <v>#N/A</v>
      </c>
      <c r="W148" s="44">
        <f t="shared" ca="1" si="140"/>
        <v>1</v>
      </c>
      <c r="X148" s="45" t="e" vm="2">
        <f ca="1">IF(D148="Finalizado",SUM(R148*5,S148*10),"")</f>
        <v>#VALUE!</v>
      </c>
      <c r="Y148" s="198"/>
      <c r="AA148" s="19">
        <v>4</v>
      </c>
      <c r="AB148" s="19">
        <f ca="1">AJ148*1000+IF($D$123="Finalizado",AA147*10,0)+(AG148)+(AI148/10)+(AD148/1000)+IF(AL148&gt;0,(0.1/AL148),0)</f>
        <v>30</v>
      </c>
      <c r="AC148" s="46" t="e">
        <f ca="1">+AC67</f>
        <v>#VALUE!</v>
      </c>
      <c r="AD148">
        <f ca="1">SUMIF($G$169:$G$179,AC148,$K$169:$K$179)+SUMIF($P$169:$P$179,AC148,$T$169:$T$179)</f>
        <v>0</v>
      </c>
      <c r="AE148">
        <f ca="1">SUMIF($G$169:$G$179,AC148,$L$169:$L$179)+SUMIF($P$169:$P$179,AC148,$U$169:$U$179)</f>
        <v>0</v>
      </c>
      <c r="AF148">
        <f ca="1">SUMIF($G$169:$G$179,AC148,$M$169:$M$179)+SUMIF($P$169:$P$179,AC148,$V$169:$V$179)</f>
        <v>0</v>
      </c>
      <c r="AG148">
        <f ca="1">SUMIF($G$169:$G$179,AC148,$H$169:$H$179)+SUMIF($P$169:$P$179,AC148,$Q$169:$Q$179)</f>
        <v>0</v>
      </c>
      <c r="AH148">
        <f ca="1">SUMIF($G$169:$G$179,AC148,$Q$169:$Q$179)+SUMIF($P$169:$P$179,AC148,$H$169:$H$179)</f>
        <v>0</v>
      </c>
      <c r="AI148">
        <f t="shared" ca="1" si="161"/>
        <v>0</v>
      </c>
      <c r="AJ148">
        <f t="shared" ca="1" si="162"/>
        <v>0</v>
      </c>
      <c r="AK148">
        <f ca="1">SUMIF($G$169:$G$179,AC148,$N$169:$N$179)+SUMIF($P$169:$P$179,AC148,$W$169:$W$179)</f>
        <v>0</v>
      </c>
      <c r="AL148">
        <f ca="1">SUMIF($G$169:$G$179,AC148,$O$169:$O$179)+SUMIF($P$169:$P$179,AC148,$X$169:$X$179)</f>
        <v>0</v>
      </c>
    </row>
    <row r="149" spans="1:38" x14ac:dyDescent="0.25">
      <c r="A149" s="210"/>
      <c r="B149" s="61">
        <f>IF(Fixture!C148,Fixture!C148,"")</f>
        <v>45837</v>
      </c>
      <c r="C149" s="58">
        <v>0.42708333333333331</v>
      </c>
      <c r="D149" s="82" t="str">
        <f t="shared" ca="1" si="115"/>
        <v>Finalizado</v>
      </c>
      <c r="E149" s="198"/>
      <c r="F149" s="43">
        <f>+Fixture!B148</f>
        <v>147</v>
      </c>
      <c r="G149" s="42" t="e">
        <f>IF(VLOOKUP(F149,Fixture!$B$2:$F$137,3,FALSE)&lt;&gt;0,VLOOKUP(F149,Fixture!$B$2:$F$137,3,FALSE),"")</f>
        <v>#N/A</v>
      </c>
      <c r="H149" s="44" t="e">
        <f ca="1">IF($D149="Finalizado",_xlfn.XLOOKUP(G149,Resumen!$A$6:$A$22,Resumen!BV$6:BV$22,0),"")</f>
        <v>#N/A</v>
      </c>
      <c r="I149" s="44" t="e">
        <f ca="1">IF($D149="Finalizado",_xlfn.XLOOKUP(G149,Resumen!$A$6:$A$22,Resumen!BW$6:BW$22,0),"")</f>
        <v>#N/A</v>
      </c>
      <c r="J149" s="44" t="e" cm="1">
        <f t="array" aca="1" ref="J149" ca="1">IF($D149="Finalizado",_xlfn.XLOOKUP(G149,Resumen!$A$6:$A$22,Resumen!BW$6:BX$22,0)+_xlfn.XLOOKUP(G149,Resumen!$A$6:$A$22,Resumen!BY$6:BY$22,0),"")</f>
        <v>#N/A</v>
      </c>
      <c r="K149" s="44" t="e">
        <f t="shared" ca="1" si="156"/>
        <v>#N/A</v>
      </c>
      <c r="L149" s="44" t="e">
        <f t="shared" ca="1" si="157"/>
        <v>#N/A</v>
      </c>
      <c r="M149" s="44" t="e">
        <f t="shared" ca="1" si="158"/>
        <v>#N/A</v>
      </c>
      <c r="N149" s="44">
        <f t="shared" ca="1" si="159"/>
        <v>1</v>
      </c>
      <c r="O149" s="45" t="e">
        <f t="shared" ca="1" si="160"/>
        <v>#N/A</v>
      </c>
      <c r="P149" s="42" t="str">
        <f>IF(VLOOKUP(F149,Fixture!$B$2:$F$229,5,FALSE)&lt;&gt;0,VLOOKUP(F149,Fixture!$B$2:$F$229,5,FALSE),"")</f>
        <v>Atalanta</v>
      </c>
      <c r="Q149" s="44">
        <f ca="1">IF($D149="Finalizado",_xlfn.XLOOKUP(P149,Resumen!$A$6:$A$22,Resumen!CE$6:CE$22,0),"")</f>
        <v>0</v>
      </c>
      <c r="R149" s="44">
        <f ca="1">IF($D149="Finalizado",_xlfn.XLOOKUP(P149,Resumen!$A$6:$A$22,Resumen!CF$6:CF$22,0),"")</f>
        <v>0</v>
      </c>
      <c r="S149" s="44" t="e" cm="1" vm="1">
        <f t="array" aca="1" ref="S149" ca="1">IF($D149="Finalizado",_xlfn.XLOOKUP(P149,Resumen!$A$6:$A$22,Resumen!CF$6:CG$22,0)+_xlfn.XLOOKUP(P149,Resumen!$A$6:$A$22,Resumen!CH$6:CH$22,0),"")</f>
        <v>#VALUE!</v>
      </c>
      <c r="T149" s="44" t="e">
        <f t="shared" ca="1" si="139"/>
        <v>#N/A</v>
      </c>
      <c r="U149" s="44" t="e">
        <f t="shared" ca="1" si="142"/>
        <v>#N/A</v>
      </c>
      <c r="V149" s="44" t="e">
        <f t="shared" ca="1" si="143"/>
        <v>#N/A</v>
      </c>
      <c r="W149" s="44">
        <f t="shared" ca="1" si="140"/>
        <v>1</v>
      </c>
      <c r="X149" s="45" t="e" vm="2">
        <f t="shared" ref="X149:X172" ca="1" si="163">IF(D149="Finalizado",SUM(R149*5,S149*10),"")</f>
        <v>#VALUE!</v>
      </c>
      <c r="Y149" s="198"/>
    </row>
    <row r="150" spans="1:38" ht="16.5" thickBot="1" x14ac:dyDescent="0.3">
      <c r="A150" s="211"/>
      <c r="B150" s="61">
        <f>IF(Fixture!C149,Fixture!C149,"")</f>
        <v>45837</v>
      </c>
      <c r="C150" s="59">
        <v>0.47916666666666669</v>
      </c>
      <c r="D150" s="82" t="str">
        <f t="shared" ca="1" si="115"/>
        <v>Finalizado</v>
      </c>
      <c r="E150" s="199"/>
      <c r="F150" s="90">
        <f>+Fixture!B149</f>
        <v>148</v>
      </c>
      <c r="G150" s="42"/>
      <c r="H150" s="48">
        <f ca="1">IF($D150="Finalizado",_xlfn.XLOOKUP(G150,Resumen!$A$6:$A$22,Resumen!BV$6:BV$22,0),"")</f>
        <v>0</v>
      </c>
      <c r="I150" s="48">
        <f ca="1">IF($D150="Finalizado",_xlfn.XLOOKUP(G150,Resumen!$A$6:$A$22,Resumen!BW$6:BW$22,0),"")</f>
        <v>0</v>
      </c>
      <c r="J150" s="48" cm="1">
        <f t="array" aca="1" ref="J150" ca="1">IF($D150="Finalizado",_xlfn.XLOOKUP(G150,Resumen!$A$6:$A$22,Resumen!BW$6:BX$22,0)+_xlfn.XLOOKUP(G150,Resumen!$A$6:$A$22,Resumen!BY$6:BY$22,0),"")</f>
        <v>0</v>
      </c>
      <c r="K150" s="48">
        <f t="shared" ca="1" si="156"/>
        <v>0</v>
      </c>
      <c r="L150" s="48">
        <f t="shared" ca="1" si="157"/>
        <v>1</v>
      </c>
      <c r="M150" s="48">
        <f t="shared" ca="1" si="158"/>
        <v>0</v>
      </c>
      <c r="N150" s="48">
        <f t="shared" ca="1" si="159"/>
        <v>1</v>
      </c>
      <c r="O150" s="49">
        <f t="shared" ca="1" si="160"/>
        <v>0</v>
      </c>
      <c r="P150" s="42"/>
      <c r="Q150" s="48">
        <f ca="1">IF($D150="Finalizado",_xlfn.XLOOKUP(P150,Resumen!$A$6:$A$22,Resumen!CE$6:CE$22,0),"")</f>
        <v>0</v>
      </c>
      <c r="R150" s="48">
        <f ca="1">IF($D150="Finalizado",_xlfn.XLOOKUP(P150,Resumen!$A$6:$A$22,Resumen!CF$6:CF$22,0),"")</f>
        <v>0</v>
      </c>
      <c r="S150" s="48" cm="1">
        <f t="array" aca="1" ref="S150" ca="1">IF($D150="Finalizado",_xlfn.XLOOKUP(P150,Resumen!$A$6:$A$22,Resumen!CF$6:CG$22,0)+_xlfn.XLOOKUP(P150,Resumen!$A$6:$A$22,Resumen!CH$6:CH$22,0),"")</f>
        <v>0</v>
      </c>
      <c r="T150" s="48">
        <f t="shared" ca="1" si="139"/>
        <v>0</v>
      </c>
      <c r="U150" s="48">
        <f t="shared" ca="1" si="142"/>
        <v>1</v>
      </c>
      <c r="V150" s="48">
        <f t="shared" ca="1" si="143"/>
        <v>0</v>
      </c>
      <c r="W150" s="48">
        <f t="shared" ca="1" si="140"/>
        <v>1</v>
      </c>
      <c r="X150" s="49">
        <f t="shared" ca="1" si="163"/>
        <v>0</v>
      </c>
      <c r="Y150" s="198"/>
    </row>
    <row r="151" spans="1:38" x14ac:dyDescent="0.25">
      <c r="A151" s="209" t="s">
        <v>84</v>
      </c>
      <c r="B151" s="60">
        <f>IF(Fixture!C150,Fixture!C150,"")</f>
        <v>45844</v>
      </c>
      <c r="C151" s="58">
        <v>0.53125</v>
      </c>
      <c r="D151" s="82" t="str">
        <f t="shared" ca="1" si="115"/>
        <v>Finalizado</v>
      </c>
      <c r="E151" s="197" t="s">
        <v>114</v>
      </c>
      <c r="F151" s="43">
        <f>+Fixture!B150</f>
        <v>149</v>
      </c>
      <c r="G151" s="42"/>
      <c r="H151" s="44">
        <f ca="1">IF($D151="Finalizado",_xlfn.XLOOKUP(G151,Resumen!$A$6:$A$22,Resumen!BZ$6:BZ$22,0),"")</f>
        <v>0</v>
      </c>
      <c r="I151" s="44">
        <f ca="1">IF($D151="Finalizado",_xlfn.XLOOKUP(G151,Resumen!$A$6:$A$22,Resumen!CA$6:CA$22,0),"")</f>
        <v>0</v>
      </c>
      <c r="J151" s="44">
        <f ca="1">IF($D151="Finalizado",_xlfn.XLOOKUP(G151,Resumen!$A$6:$A$22,Resumen!CB$6:CB$22,0)+_xlfn.XLOOKUP(G151,Resumen!$A$6:$A$22,Resumen!CC$6:CC$22,0),"")</f>
        <v>0</v>
      </c>
      <c r="K151" s="44">
        <f t="shared" ca="1" si="156"/>
        <v>0</v>
      </c>
      <c r="L151" s="44">
        <f t="shared" ca="1" si="157"/>
        <v>1</v>
      </c>
      <c r="M151" s="44">
        <f t="shared" ca="1" si="158"/>
        <v>0</v>
      </c>
      <c r="N151" s="44">
        <f t="shared" ca="1" si="159"/>
        <v>1</v>
      </c>
      <c r="O151" s="45">
        <f t="shared" ca="1" si="160"/>
        <v>0</v>
      </c>
      <c r="P151" s="42"/>
      <c r="Q151" s="44">
        <f ca="1">IF($D151="Finalizado",_xlfn.XLOOKUP(P151,Resumen!$A$6:$A$22,Resumen!CI$6:CI$22,0),"")</f>
        <v>0</v>
      </c>
      <c r="R151" s="44">
        <f ca="1">IF($D151="Finalizado",_xlfn.XLOOKUP(P151,Resumen!$A$6:$A$22,Resumen!CJ$6:CJ$22,0),"")</f>
        <v>0</v>
      </c>
      <c r="S151" s="44">
        <f ca="1">IF($D151="Finalizado",_xlfn.XLOOKUP(P151,Resumen!$A$6:$A$22,Resumen!CK$6:CK$22,0)+_xlfn.XLOOKUP(P151,Resumen!$A$6:$A$22,Resumen!CL$6:CL$22,0),"")</f>
        <v>0</v>
      </c>
      <c r="T151" s="44">
        <f t="shared" ca="1" si="139"/>
        <v>0</v>
      </c>
      <c r="U151" s="44">
        <f t="shared" ca="1" si="142"/>
        <v>1</v>
      </c>
      <c r="V151" s="44">
        <f t="shared" ca="1" si="143"/>
        <v>0</v>
      </c>
      <c r="W151" s="44">
        <f t="shared" ca="1" si="140"/>
        <v>1</v>
      </c>
      <c r="X151" s="45">
        <f t="shared" ca="1" si="163"/>
        <v>0</v>
      </c>
      <c r="Y151" s="197" t="str">
        <f t="shared" ref="Y151" si="164">+A151</f>
        <v>Fecha 20</v>
      </c>
    </row>
    <row r="152" spans="1:38" x14ac:dyDescent="0.25">
      <c r="A152" s="210"/>
      <c r="B152" s="61">
        <f>IF(Fixture!C151,Fixture!C151,"")</f>
        <v>45844</v>
      </c>
      <c r="C152" s="58">
        <v>0.58333333333333337</v>
      </c>
      <c r="D152" s="82" t="str">
        <f t="shared" ca="1" si="115"/>
        <v>Finalizado</v>
      </c>
      <c r="E152" s="198"/>
      <c r="F152" s="43">
        <f>+Fixture!B151</f>
        <v>150</v>
      </c>
      <c r="G152" s="42" t="e">
        <f>IF(VLOOKUP(F152,Fixture!$B$2:$F$137,3,FALSE)&lt;&gt;0,VLOOKUP(F152,Fixture!$B$2:$F$137,3,FALSE),"")</f>
        <v>#N/A</v>
      </c>
      <c r="H152" s="44" t="e">
        <f ca="1">IF($D152="Finalizado",_xlfn.XLOOKUP(G152,Resumen!$A$6:$A$22,Resumen!BZ$6:BZ$22,0),"")</f>
        <v>#N/A</v>
      </c>
      <c r="I152" s="44" t="e">
        <f ca="1">IF($D152="Finalizado",_xlfn.XLOOKUP(G152,Resumen!$A$6:$A$22,Resumen!CA$6:CA$22,0),"")</f>
        <v>#N/A</v>
      </c>
      <c r="J152" s="44" t="e">
        <f ca="1">IF($D152="Finalizado",_xlfn.XLOOKUP(G152,Resumen!$A$6:$A$22,Resumen!CB$6:CB$22,0)+_xlfn.XLOOKUP(G152,Resumen!$A$6:$A$22,Resumen!CC$6:CC$22,0),"")</f>
        <v>#N/A</v>
      </c>
      <c r="K152" s="44" t="e">
        <f t="shared" ca="1" si="156"/>
        <v>#N/A</v>
      </c>
      <c r="L152" s="44" t="e">
        <f t="shared" ca="1" si="157"/>
        <v>#N/A</v>
      </c>
      <c r="M152" s="44" t="e">
        <f t="shared" ca="1" si="158"/>
        <v>#N/A</v>
      </c>
      <c r="N152" s="44">
        <f t="shared" ca="1" si="159"/>
        <v>1</v>
      </c>
      <c r="O152" s="45" t="e">
        <f t="shared" ca="1" si="160"/>
        <v>#N/A</v>
      </c>
      <c r="P152" s="42" t="str">
        <f>IF(VLOOKUP(F152,Fixture!$B$2:$F$229,5,FALSE)&lt;&gt;0,VLOOKUP(F152,Fixture!$B$2:$F$229,5,FALSE),"")</f>
        <v>Atalanta</v>
      </c>
      <c r="Q152" s="44">
        <f ca="1">IF($D152="Finalizado",_xlfn.XLOOKUP(P152,Resumen!$A$6:$A$22,Resumen!CI$6:CI$22,0),"")</f>
        <v>1</v>
      </c>
      <c r="R152" s="44">
        <f ca="1">IF($D152="Finalizado",_xlfn.XLOOKUP(P152,Resumen!$A$6:$A$22,Resumen!CJ$6:CJ$22,0),"")</f>
        <v>0</v>
      </c>
      <c r="S152" s="44">
        <f ca="1">IF($D152="Finalizado",_xlfn.XLOOKUP(P152,Resumen!$A$6:$A$22,Resumen!CK$6:CK$22,0)+_xlfn.XLOOKUP(P152,Resumen!$A$6:$A$22,Resumen!CL$6:CL$22,0),"")</f>
        <v>0</v>
      </c>
      <c r="T152" s="44" t="e">
        <f t="shared" ca="1" si="139"/>
        <v>#N/A</v>
      </c>
      <c r="U152" s="44" t="e">
        <f t="shared" ca="1" si="142"/>
        <v>#N/A</v>
      </c>
      <c r="V152" s="44" t="e">
        <f t="shared" ca="1" si="143"/>
        <v>#N/A</v>
      </c>
      <c r="W152" s="44">
        <f t="shared" ca="1" si="140"/>
        <v>1</v>
      </c>
      <c r="X152" s="45">
        <f t="shared" ca="1" si="163"/>
        <v>0</v>
      </c>
      <c r="Y152" s="198"/>
    </row>
    <row r="153" spans="1:38" x14ac:dyDescent="0.25">
      <c r="A153" s="210"/>
      <c r="B153" s="61">
        <f>IF(Fixture!C152,Fixture!C152,"")</f>
        <v>45844</v>
      </c>
      <c r="C153" s="58">
        <v>0.63541666666666663</v>
      </c>
      <c r="D153" s="82" t="str">
        <f t="shared" ca="1" si="115"/>
        <v>Finalizado</v>
      </c>
      <c r="E153" s="198"/>
      <c r="F153" s="43">
        <f>+Fixture!B152</f>
        <v>151</v>
      </c>
      <c r="G153" s="42" t="e">
        <f>IF(VLOOKUP(F153,Fixture!$B$2:$F$137,3,FALSE)&lt;&gt;0,VLOOKUP(F153,Fixture!$B$2:$F$137,3,FALSE),"")</f>
        <v>#N/A</v>
      </c>
      <c r="H153" s="44" t="e">
        <f ca="1">IF($D153="Finalizado",_xlfn.XLOOKUP(G153,Resumen!$A$6:$A$22,Resumen!BZ$6:BZ$22,0),"")</f>
        <v>#N/A</v>
      </c>
      <c r="I153" s="44" t="e">
        <f ca="1">IF($D153="Finalizado",_xlfn.XLOOKUP(G153,Resumen!$A$6:$A$22,Resumen!CA$6:CA$22,0),"")</f>
        <v>#N/A</v>
      </c>
      <c r="J153" s="44" t="e">
        <f ca="1">IF($D153="Finalizado",_xlfn.XLOOKUP(G153,Resumen!$A$6:$A$22,Resumen!CB$6:CB$22,0)+_xlfn.XLOOKUP(G153,Resumen!$A$6:$A$22,Resumen!CC$6:CC$22,0),"")</f>
        <v>#N/A</v>
      </c>
      <c r="K153" s="44" t="e">
        <f t="shared" ca="1" si="156"/>
        <v>#N/A</v>
      </c>
      <c r="L153" s="44" t="e">
        <f t="shared" ca="1" si="157"/>
        <v>#N/A</v>
      </c>
      <c r="M153" s="44" t="e">
        <f t="shared" ca="1" si="158"/>
        <v>#N/A</v>
      </c>
      <c r="N153" s="44">
        <f t="shared" ca="1" si="159"/>
        <v>1</v>
      </c>
      <c r="O153" s="45" t="e">
        <f t="shared" ca="1" si="160"/>
        <v>#N/A</v>
      </c>
      <c r="P153" s="42" t="str">
        <f>IF(VLOOKUP(F153,Fixture!$B$2:$F$229,5,FALSE)&lt;&gt;0,VLOOKUP(F153,Fixture!$B$2:$F$229,5,FALSE),"")</f>
        <v>Konami</v>
      </c>
      <c r="Q153" s="44">
        <f ca="1">IF($D153="Finalizado",_xlfn.XLOOKUP(P153,Resumen!$A$6:$A$22,Resumen!CI$6:CI$22,0),"")</f>
        <v>0</v>
      </c>
      <c r="R153" s="44">
        <f ca="1">IF($D153="Finalizado",_xlfn.XLOOKUP(P153,Resumen!$A$6:$A$22,Resumen!CJ$6:CJ$22,0),"")</f>
        <v>0</v>
      </c>
      <c r="S153" s="44">
        <f ca="1">IF($D153="Finalizado",_xlfn.XLOOKUP(P153,Resumen!$A$6:$A$22,Resumen!CK$6:CK$22,0)+_xlfn.XLOOKUP(P153,Resumen!$A$6:$A$22,Resumen!CL$6:CL$22,0),"")</f>
        <v>5</v>
      </c>
      <c r="T153" s="44" t="e">
        <f t="shared" ca="1" si="139"/>
        <v>#N/A</v>
      </c>
      <c r="U153" s="44" t="e">
        <f t="shared" ca="1" si="142"/>
        <v>#N/A</v>
      </c>
      <c r="V153" s="44" t="e">
        <f t="shared" ca="1" si="143"/>
        <v>#N/A</v>
      </c>
      <c r="W153" s="44">
        <f t="shared" ca="1" si="140"/>
        <v>1</v>
      </c>
      <c r="X153" s="45">
        <f t="shared" ca="1" si="163"/>
        <v>50</v>
      </c>
      <c r="Y153" s="198"/>
    </row>
    <row r="154" spans="1:38" ht="16.5" thickBot="1" x14ac:dyDescent="0.3">
      <c r="A154" s="210"/>
      <c r="B154" s="61">
        <f>IF(Fixture!C153,Fixture!C153,"")</f>
        <v>45844</v>
      </c>
      <c r="C154" s="58">
        <v>0.67708333333333337</v>
      </c>
      <c r="D154" s="82" t="str">
        <f t="shared" ca="1" si="115"/>
        <v>Finalizado</v>
      </c>
      <c r="E154" s="198"/>
      <c r="F154" s="43">
        <f>+Fixture!B153</f>
        <v>152</v>
      </c>
      <c r="G154" s="42" t="e">
        <f>IF(VLOOKUP(F154,Fixture!$B$2:$F$137,3,FALSE)&lt;&gt;0,VLOOKUP(F154,Fixture!$B$2:$F$137,3,FALSE),"")</f>
        <v>#N/A</v>
      </c>
      <c r="H154" s="44" t="e">
        <f ca="1">IF($D154="Finalizado",_xlfn.XLOOKUP(G154,Resumen!$A$6:$A$22,Resumen!BZ$6:BZ$22,0),"")</f>
        <v>#N/A</v>
      </c>
      <c r="I154" s="44" t="e">
        <f ca="1">IF($D154="Finalizado",_xlfn.XLOOKUP(G154,Resumen!$A$6:$A$22,Resumen!CA$6:CA$22,0),"")</f>
        <v>#N/A</v>
      </c>
      <c r="J154" s="44" t="e">
        <f ca="1">IF($D154="Finalizado",_xlfn.XLOOKUP(G154,Resumen!$A$6:$A$22,Resumen!CB$6:CB$22,0)+_xlfn.XLOOKUP(G154,Resumen!$A$6:$A$22,Resumen!CC$6:CC$22,0),"")</f>
        <v>#N/A</v>
      </c>
      <c r="K154" s="44" t="e">
        <f t="shared" ca="1" si="156"/>
        <v>#N/A</v>
      </c>
      <c r="L154" s="44" t="e">
        <f t="shared" ca="1" si="157"/>
        <v>#N/A</v>
      </c>
      <c r="M154" s="44" t="e">
        <f t="shared" ca="1" si="158"/>
        <v>#N/A</v>
      </c>
      <c r="N154" s="44">
        <f t="shared" ca="1" si="159"/>
        <v>1</v>
      </c>
      <c r="O154" s="45" t="e">
        <f t="shared" ca="1" si="160"/>
        <v>#N/A</v>
      </c>
      <c r="P154" s="42" t="str">
        <f>IF(VLOOKUP(F154,Fixture!$B$2:$F$229,5,FALSE)&lt;&gt;0,VLOOKUP(F154,Fixture!$B$2:$F$229,5,FALSE),"")</f>
        <v>Ron Star</v>
      </c>
      <c r="Q154" s="44">
        <f ca="1">IF($D154="Finalizado",_xlfn.XLOOKUP(P154,Resumen!$A$6:$A$22,Resumen!CI$6:CI$22,0),"")</f>
        <v>1</v>
      </c>
      <c r="R154" s="44">
        <f ca="1">IF($D154="Finalizado",_xlfn.XLOOKUP(P154,Resumen!$A$6:$A$22,Resumen!CJ$6:CJ$22,0),"")</f>
        <v>0</v>
      </c>
      <c r="S154" s="44">
        <f ca="1">IF($D154="Finalizado",_xlfn.XLOOKUP(P154,Resumen!$A$6:$A$22,Resumen!CK$6:CK$22,0)+_xlfn.XLOOKUP(P154,Resumen!$A$6:$A$22,Resumen!CL$6:CL$22,0),"")</f>
        <v>3</v>
      </c>
      <c r="T154" s="44" t="e">
        <f t="shared" ca="1" si="139"/>
        <v>#N/A</v>
      </c>
      <c r="U154" s="44" t="e">
        <f t="shared" ca="1" si="142"/>
        <v>#N/A</v>
      </c>
      <c r="V154" s="44" t="e">
        <f t="shared" ca="1" si="143"/>
        <v>#N/A</v>
      </c>
      <c r="W154" s="48">
        <f t="shared" ca="1" si="140"/>
        <v>1</v>
      </c>
      <c r="X154" s="45">
        <f t="shared" ca="1" si="163"/>
        <v>30</v>
      </c>
      <c r="Y154" s="198"/>
    </row>
    <row r="155" spans="1:38" x14ac:dyDescent="0.25">
      <c r="A155" s="210"/>
      <c r="B155" s="61">
        <f>IF(Fixture!C154,Fixture!C154,"")</f>
        <v>45844</v>
      </c>
      <c r="C155" s="58">
        <v>0.375</v>
      </c>
      <c r="D155" s="82" t="str">
        <f t="shared" ca="1" si="115"/>
        <v>Finalizado</v>
      </c>
      <c r="E155" s="198"/>
      <c r="F155" s="43">
        <f>+Fixture!B154</f>
        <v>153</v>
      </c>
      <c r="G155" s="42" t="e">
        <f>IF(VLOOKUP(F155,Fixture!$B$2:$F$137,3,FALSE)&lt;&gt;0,VLOOKUP(F155,Fixture!$B$2:$F$137,3,FALSE),"")</f>
        <v>#N/A</v>
      </c>
      <c r="H155" s="44" t="e">
        <f ca="1">IF($D155="Finalizado",_xlfn.XLOOKUP(G155,Resumen!$A$6:$A$22,Resumen!BZ$6:BZ$22,0),"")</f>
        <v>#N/A</v>
      </c>
      <c r="I155" s="44" t="e">
        <f ca="1">IF($D155="Finalizado",_xlfn.XLOOKUP(G155,Resumen!$A$6:$A$22,Resumen!CA$6:CA$22,0),"")</f>
        <v>#N/A</v>
      </c>
      <c r="J155" s="44" t="e">
        <f ca="1">IF($D155="Finalizado",_xlfn.XLOOKUP(G155,Resumen!$A$6:$A$22,Resumen!CB$6:CB$22,0)+_xlfn.XLOOKUP(G155,Resumen!$A$6:$A$22,Resumen!CC$6:CC$22,0),"")</f>
        <v>#N/A</v>
      </c>
      <c r="K155" s="44" t="e">
        <f t="shared" ca="1" si="156"/>
        <v>#N/A</v>
      </c>
      <c r="L155" s="44" t="e">
        <f t="shared" ca="1" si="157"/>
        <v>#N/A</v>
      </c>
      <c r="M155" s="44" t="e">
        <f t="shared" ca="1" si="158"/>
        <v>#N/A</v>
      </c>
      <c r="N155" s="44">
        <f t="shared" ca="1" si="159"/>
        <v>1</v>
      </c>
      <c r="O155" s="45" t="e">
        <f t="shared" ca="1" si="160"/>
        <v>#N/A</v>
      </c>
      <c r="P155" s="42" t="str">
        <f>IF(VLOOKUP(F155,Fixture!$B$2:$F$229,5,FALSE)&lt;&gt;0,VLOOKUP(F155,Fixture!$B$2:$F$229,5,FALSE),"")</f>
        <v>Boca Juniors</v>
      </c>
      <c r="Q155" s="44">
        <f ca="1">IF($D155="Finalizado",_xlfn.XLOOKUP(P155,Resumen!$A$6:$A$22,Resumen!CI$6:CI$22,0),"")</f>
        <v>0</v>
      </c>
      <c r="R155" s="44">
        <f ca="1">IF($D155="Finalizado",_xlfn.XLOOKUP(P155,Resumen!$A$6:$A$22,Resumen!CJ$6:CJ$22,0),"")</f>
        <v>0</v>
      </c>
      <c r="S155" s="44">
        <f ca="1">IF($D155="Finalizado",_xlfn.XLOOKUP(P155,Resumen!$A$6:$A$22,Resumen!CK$6:CK$22,0)+_xlfn.XLOOKUP(P155,Resumen!$A$6:$A$22,Resumen!CL$6:CL$22,0),"")</f>
        <v>3</v>
      </c>
      <c r="T155" s="44" t="e">
        <f t="shared" ca="1" si="139"/>
        <v>#N/A</v>
      </c>
      <c r="U155" s="44" t="e">
        <f t="shared" ca="1" si="142"/>
        <v>#N/A</v>
      </c>
      <c r="V155" s="44" t="e">
        <f t="shared" ca="1" si="143"/>
        <v>#N/A</v>
      </c>
      <c r="W155" s="44">
        <f t="shared" ca="1" si="140"/>
        <v>1</v>
      </c>
      <c r="X155" s="45">
        <f t="shared" ca="1" si="163"/>
        <v>30</v>
      </c>
      <c r="Y155" s="198"/>
    </row>
    <row r="156" spans="1:38" ht="16.5" thickBot="1" x14ac:dyDescent="0.3">
      <c r="A156" s="211"/>
      <c r="B156" s="61">
        <f>IF(Fixture!C155,Fixture!C155,"")</f>
        <v>45844</v>
      </c>
      <c r="C156" s="59">
        <v>0.42708333333333331</v>
      </c>
      <c r="D156" s="82" t="str">
        <f t="shared" ca="1" si="115"/>
        <v>Finalizado</v>
      </c>
      <c r="E156" s="199"/>
      <c r="F156" s="90">
        <f>+Fixture!B155</f>
        <v>154</v>
      </c>
      <c r="G156" s="42" t="e">
        <f>IF(VLOOKUP(F156,Fixture!$B$2:$F$137,3,FALSE)&lt;&gt;0,VLOOKUP(F156,Fixture!$B$2:$F$137,3,FALSE),"")</f>
        <v>#N/A</v>
      </c>
      <c r="H156" s="48" t="e">
        <f ca="1">IF($D156="Finalizado",_xlfn.XLOOKUP(G156,Resumen!$A$6:$A$22,Resumen!BZ$6:BZ$22,0),"")</f>
        <v>#N/A</v>
      </c>
      <c r="I156" s="48" t="e">
        <f ca="1">IF($D156="Finalizado",_xlfn.XLOOKUP(G156,Resumen!$A$6:$A$22,Resumen!CA$6:CA$22,0),"")</f>
        <v>#N/A</v>
      </c>
      <c r="J156" s="48" t="e">
        <f ca="1">IF($D156="Finalizado",_xlfn.XLOOKUP(G156,Resumen!$A$6:$A$22,Resumen!CB$6:CB$22,0)+_xlfn.XLOOKUP(G156,Resumen!$A$6:$A$22,Resumen!CC$6:CC$22,0),"")</f>
        <v>#N/A</v>
      </c>
      <c r="K156" s="48" t="e">
        <f t="shared" ca="1" si="156"/>
        <v>#N/A</v>
      </c>
      <c r="L156" s="48" t="e">
        <f t="shared" ca="1" si="157"/>
        <v>#N/A</v>
      </c>
      <c r="M156" s="48" t="e">
        <f t="shared" ca="1" si="158"/>
        <v>#N/A</v>
      </c>
      <c r="N156" s="48">
        <f t="shared" ca="1" si="159"/>
        <v>1</v>
      </c>
      <c r="O156" s="49" t="e">
        <f t="shared" ca="1" si="160"/>
        <v>#N/A</v>
      </c>
      <c r="P156" s="42" t="str">
        <f>IF(VLOOKUP(F156,Fixture!$B$2:$F$229,5,FALSE)&lt;&gt;0,VLOOKUP(F156,Fixture!$B$2:$F$229,5,FALSE),"")</f>
        <v>La Unión FC</v>
      </c>
      <c r="Q156" s="48">
        <f ca="1">IF($D156="Finalizado",_xlfn.XLOOKUP(P156,Resumen!$A$6:$A$22,Resumen!CI$6:CI$22,0),"")</f>
        <v>2</v>
      </c>
      <c r="R156" s="48">
        <f ca="1">IF($D156="Finalizado",_xlfn.XLOOKUP(P156,Resumen!$A$6:$A$22,Resumen!CJ$6:CJ$22,0),"")</f>
        <v>0</v>
      </c>
      <c r="S156" s="48">
        <f ca="1">IF($D156="Finalizado",_xlfn.XLOOKUP(P156,Resumen!$A$6:$A$22,Resumen!CK$6:CK$22,0)+_xlfn.XLOOKUP(P156,Resumen!$A$6:$A$22,Resumen!CL$6:CL$22,0),"")</f>
        <v>3</v>
      </c>
      <c r="T156" s="48" t="e">
        <f t="shared" ca="1" si="139"/>
        <v>#N/A</v>
      </c>
      <c r="U156" s="48" t="e">
        <f t="shared" ca="1" si="142"/>
        <v>#N/A</v>
      </c>
      <c r="V156" s="48" t="e">
        <f t="shared" ca="1" si="143"/>
        <v>#N/A</v>
      </c>
      <c r="W156" s="48">
        <f t="shared" ca="1" si="140"/>
        <v>1</v>
      </c>
      <c r="X156" s="49">
        <f t="shared" ca="1" si="163"/>
        <v>30</v>
      </c>
      <c r="Y156" s="198"/>
    </row>
    <row r="157" spans="1:38" x14ac:dyDescent="0.25">
      <c r="A157" s="209" t="s">
        <v>85</v>
      </c>
      <c r="B157" s="60">
        <f>IF(Fixture!C156,Fixture!C156,"")</f>
        <v>45844</v>
      </c>
      <c r="C157" s="58">
        <v>0.375</v>
      </c>
      <c r="D157" s="82" t="str">
        <f t="shared" ca="1" si="115"/>
        <v>Finalizado</v>
      </c>
      <c r="E157" s="197" t="s">
        <v>114</v>
      </c>
      <c r="F157" s="43">
        <f>+Fixture!B156</f>
        <v>155</v>
      </c>
      <c r="G157" s="42" t="e">
        <f>IF(VLOOKUP(F157,Fixture!$B$2:$F$137,3,FALSE)&lt;&gt;0,VLOOKUP(F157,Fixture!$B$2:$F$137,3,FALSE),"")</f>
        <v>#N/A</v>
      </c>
      <c r="H157" s="44" t="e">
        <f ca="1">IF($D157="Finalizado",_xlfn.XLOOKUP(G157,Resumen!$A$6:$A$22,Resumen!CD$7:CD$22,0),"")</f>
        <v>#N/A</v>
      </c>
      <c r="I157" s="44" t="e">
        <f ca="1">IF($D157="Finalizado",_xlfn.XLOOKUP(G157,Resumen!$A$6:$A$22,Resumen!CE$7:CE$22,0),"")</f>
        <v>#N/A</v>
      </c>
      <c r="J157" s="44" t="e">
        <f ca="1">IF($D157="Finalizado",_xlfn.XLOOKUP(G157,Resumen!$A$6:$A$22,Resumen!CF$7:CF$22,0)+_xlfn.XLOOKUP(G157,Resumen!$A$6:$A$22,Resumen!CG$7:CG$22,0),"")</f>
        <v>#N/A</v>
      </c>
      <c r="K157" s="44" t="e">
        <f t="shared" ca="1" si="156"/>
        <v>#N/A</v>
      </c>
      <c r="L157" s="44" t="e">
        <f t="shared" ca="1" si="157"/>
        <v>#N/A</v>
      </c>
      <c r="M157" s="44" t="e">
        <f t="shared" ca="1" si="158"/>
        <v>#N/A</v>
      </c>
      <c r="N157" s="44">
        <f t="shared" ca="1" si="159"/>
        <v>1</v>
      </c>
      <c r="O157" s="45" t="e">
        <f t="shared" ca="1" si="160"/>
        <v>#N/A</v>
      </c>
      <c r="P157" s="42" t="str">
        <f>IF(VLOOKUP(F157,Fixture!$B$2:$F$229,5,FALSE)&lt;&gt;0,VLOOKUP(F157,Fixture!$B$2:$F$229,5,FALSE),"")</f>
        <v>La Nueva Era</v>
      </c>
      <c r="Q157" s="44" t="e">
        <f ca="1">IF($D157="Finalizado",_xlfn.XLOOKUP(P157,Resumen!$A$6:$A$22,Resumen!CD$7:CD$22,0),"")</f>
        <v>#VALUE!</v>
      </c>
      <c r="R157" s="44" t="e">
        <f ca="1">IF($D157="Finalizado",_xlfn.XLOOKUP(P157,Resumen!$A$6:$A$22,Resumen!CE$7:CE$22,0),"")</f>
        <v>#VALUE!</v>
      </c>
      <c r="S157" s="44" t="e">
        <f ca="1">IF($D157="Finalizado",_xlfn.XLOOKUP(P157,Resumen!$A$6:$A$22,Resumen!CF$7:CF$22,0)+_xlfn.XLOOKUP(P157,Resumen!$A$6:$A$22,Resumen!CG$7:CG$22,0),"")</f>
        <v>#VALUE!</v>
      </c>
      <c r="T157" s="44" t="e">
        <f t="shared" ca="1" si="139"/>
        <v>#VALUE!</v>
      </c>
      <c r="U157" s="44" t="e">
        <f t="shared" ca="1" si="142"/>
        <v>#VALUE!</v>
      </c>
      <c r="V157" s="44" t="e">
        <f t="shared" ca="1" si="143"/>
        <v>#VALUE!</v>
      </c>
      <c r="W157" s="44">
        <f t="shared" ca="1" si="140"/>
        <v>1</v>
      </c>
      <c r="X157" s="45" t="e">
        <f t="shared" ca="1" si="163"/>
        <v>#VALUE!</v>
      </c>
      <c r="Y157" s="197" t="str">
        <f t="shared" ref="Y157" si="165">+A157</f>
        <v>Fecha 21</v>
      </c>
    </row>
    <row r="158" spans="1:38" x14ac:dyDescent="0.25">
      <c r="A158" s="210"/>
      <c r="B158" s="61">
        <f>IF(Fixture!C157,Fixture!C157,"")</f>
        <v>45851</v>
      </c>
      <c r="C158" s="58">
        <v>0.42708333333333331</v>
      </c>
      <c r="D158" s="82" t="str">
        <f t="shared" ca="1" si="115"/>
        <v>Finalizado</v>
      </c>
      <c r="E158" s="198"/>
      <c r="F158" s="43">
        <f>+Fixture!B157</f>
        <v>156</v>
      </c>
      <c r="G158" s="42"/>
      <c r="H158" s="44" t="e">
        <f ca="1">IF($D158="Finalizado",_xlfn.XLOOKUP(G158,Resumen!$A$6:$A$22,Resumen!CD$7:CD$22,0),"")</f>
        <v>#VALUE!</v>
      </c>
      <c r="I158" s="44" t="e">
        <f ca="1">IF($D158="Finalizado",_xlfn.XLOOKUP(G158,Resumen!$A$6:$A$22,Resumen!CE$7:CE$22,0),"")</f>
        <v>#VALUE!</v>
      </c>
      <c r="J158" s="44" t="e">
        <f ca="1">IF($D158="Finalizado",_xlfn.XLOOKUP(G158,Resumen!$A$6:$A$22,Resumen!CF$7:CF$22,0)+_xlfn.XLOOKUP(G158,Resumen!$A$6:$A$22,Resumen!CG$7:CG$22,0),"")</f>
        <v>#VALUE!</v>
      </c>
      <c r="K158" s="44" t="e">
        <f t="shared" ca="1" si="156"/>
        <v>#VALUE!</v>
      </c>
      <c r="L158" s="44" t="e">
        <f t="shared" ca="1" si="157"/>
        <v>#VALUE!</v>
      </c>
      <c r="M158" s="44" t="e">
        <f t="shared" ca="1" si="158"/>
        <v>#VALUE!</v>
      </c>
      <c r="N158" s="44">
        <f t="shared" ca="1" si="159"/>
        <v>1</v>
      </c>
      <c r="O158" s="45" t="e">
        <f t="shared" ca="1" si="160"/>
        <v>#VALUE!</v>
      </c>
      <c r="P158" s="42" t="str">
        <f>IF(VLOOKUP(F158,Fixture!$B$2:$F$229,5,FALSE)&lt;&gt;0,VLOOKUP(F158,Fixture!$B$2:$F$229,5,FALSE),"")</f>
        <v>Los Aliados</v>
      </c>
      <c r="Q158" s="44" t="e">
        <f ca="1">IF($D158="Finalizado",_xlfn.XLOOKUP(P158,Resumen!$A$6:$A$22,Resumen!CD$7:CD$22,0),"")</f>
        <v>#VALUE!</v>
      </c>
      <c r="R158" s="44" t="e">
        <f ca="1">IF($D158="Finalizado",_xlfn.XLOOKUP(P158,Resumen!$A$6:$A$22,Resumen!CE$7:CE$22,0),"")</f>
        <v>#VALUE!</v>
      </c>
      <c r="S158" s="44" t="e">
        <f ca="1">IF($D158="Finalizado",_xlfn.XLOOKUP(P158,Resumen!$A$6:$A$22,Resumen!CF$7:CF$22,0)+_xlfn.XLOOKUP(P158,Resumen!$A$6:$A$22,Resumen!CG$7:CG$22,0),"")</f>
        <v>#VALUE!</v>
      </c>
      <c r="T158" s="44" t="e">
        <f t="shared" ca="1" si="139"/>
        <v>#VALUE!</v>
      </c>
      <c r="U158" s="44" t="e">
        <f t="shared" ca="1" si="142"/>
        <v>#VALUE!</v>
      </c>
      <c r="V158" s="44" t="e">
        <f t="shared" ca="1" si="143"/>
        <v>#VALUE!</v>
      </c>
      <c r="W158" s="44">
        <f t="shared" ca="1" si="140"/>
        <v>1</v>
      </c>
      <c r="X158" s="45" t="e">
        <f t="shared" ca="1" si="163"/>
        <v>#VALUE!</v>
      </c>
      <c r="Y158" s="198"/>
    </row>
    <row r="159" spans="1:38" x14ac:dyDescent="0.25">
      <c r="A159" s="210"/>
      <c r="B159" s="61">
        <f>IF(Fixture!C158,Fixture!C158,"")</f>
        <v>45851</v>
      </c>
      <c r="C159" s="58">
        <v>0.47916666666666669</v>
      </c>
      <c r="D159" s="82" t="str">
        <f t="shared" ca="1" si="115"/>
        <v>Finalizado</v>
      </c>
      <c r="E159" s="198"/>
      <c r="F159" s="43">
        <f>+Fixture!B158</f>
        <v>157</v>
      </c>
      <c r="G159" s="42"/>
      <c r="H159" s="44" t="e">
        <f ca="1">IF($D159="Finalizado",_xlfn.XLOOKUP(G159,Resumen!$A$6:$A$22,Resumen!CD$7:CD$22,0),"")</f>
        <v>#VALUE!</v>
      </c>
      <c r="I159" s="44" t="e">
        <f ca="1">IF($D159="Finalizado",_xlfn.XLOOKUP(G159,Resumen!$A$6:$A$22,Resumen!CE$7:CE$22,0),"")</f>
        <v>#VALUE!</v>
      </c>
      <c r="J159" s="44" t="e">
        <f ca="1">IF($D159="Finalizado",_xlfn.XLOOKUP(G159,Resumen!$A$6:$A$22,Resumen!CF$7:CF$22,0)+_xlfn.XLOOKUP(G159,Resumen!$A$6:$A$22,Resumen!CG$7:CG$22,0),"")</f>
        <v>#VALUE!</v>
      </c>
      <c r="K159" s="44" t="e">
        <f t="shared" ca="1" si="156"/>
        <v>#VALUE!</v>
      </c>
      <c r="L159" s="44" t="e">
        <f t="shared" ca="1" si="157"/>
        <v>#VALUE!</v>
      </c>
      <c r="M159" s="44" t="e">
        <f t="shared" ca="1" si="158"/>
        <v>#VALUE!</v>
      </c>
      <c r="N159" s="44">
        <f t="shared" ca="1" si="159"/>
        <v>1</v>
      </c>
      <c r="O159" s="45" t="e">
        <f t="shared" ca="1" si="160"/>
        <v>#VALUE!</v>
      </c>
      <c r="P159" s="42" t="str">
        <f>IF(VLOOKUP(F159,Fixture!$B$2:$F$229,5,FALSE)&lt;&gt;0,VLOOKUP(F159,Fixture!$B$2:$F$229,5,FALSE),"")</f>
        <v>La Nueva Era</v>
      </c>
      <c r="Q159" s="44" t="e">
        <f ca="1">IF($D159="Finalizado",_xlfn.XLOOKUP(P159,Resumen!$A$6:$A$22,Resumen!CD$7:CD$22,0),"")</f>
        <v>#VALUE!</v>
      </c>
      <c r="R159" s="44" t="e">
        <f ca="1">IF($D159="Finalizado",_xlfn.XLOOKUP(P159,Resumen!$A$6:$A$22,Resumen!CE$7:CE$22,0),"")</f>
        <v>#VALUE!</v>
      </c>
      <c r="S159" s="44" t="e">
        <f ca="1">IF($D159="Finalizado",_xlfn.XLOOKUP(P159,Resumen!$A$6:$A$22,Resumen!CF$7:CF$22,0)+_xlfn.XLOOKUP(P159,Resumen!$A$6:$A$22,Resumen!CG$7:CG$22,0),"")</f>
        <v>#VALUE!</v>
      </c>
      <c r="T159" s="44" t="e">
        <f t="shared" ca="1" si="139"/>
        <v>#VALUE!</v>
      </c>
      <c r="U159" s="44" t="e">
        <f t="shared" ca="1" si="142"/>
        <v>#VALUE!</v>
      </c>
      <c r="V159" s="44" t="e">
        <f t="shared" ca="1" si="143"/>
        <v>#VALUE!</v>
      </c>
      <c r="W159" s="44">
        <f t="shared" ca="1" si="140"/>
        <v>1</v>
      </c>
      <c r="X159" s="45" t="e">
        <f t="shared" ca="1" si="163"/>
        <v>#VALUE!</v>
      </c>
      <c r="Y159" s="198"/>
    </row>
    <row r="160" spans="1:38" x14ac:dyDescent="0.25">
      <c r="A160" s="210"/>
      <c r="B160" s="61">
        <f>IF(Fixture!C159,Fixture!C159,"")</f>
        <v>45851</v>
      </c>
      <c r="C160" s="58">
        <v>0.52083333333333304</v>
      </c>
      <c r="D160" s="82" t="str">
        <f t="shared" ca="1" si="115"/>
        <v>Finalizado</v>
      </c>
      <c r="E160" s="198"/>
      <c r="F160" s="43">
        <f>+Fixture!B159</f>
        <v>158</v>
      </c>
      <c r="G160" s="42"/>
      <c r="H160" s="44" t="e">
        <f ca="1">IF($D160="Finalizado",_xlfn.XLOOKUP(G160,Resumen!$A$6:$A$22,Resumen!CD$7:CD$22,0),"")</f>
        <v>#VALUE!</v>
      </c>
      <c r="I160" s="44" t="e">
        <f ca="1">IF($D160="Finalizado",_xlfn.XLOOKUP(G160,Resumen!$A$6:$A$22,Resumen!CE$7:CE$22,0),"")</f>
        <v>#VALUE!</v>
      </c>
      <c r="J160" s="44" t="e">
        <f ca="1">IF($D160="Finalizado",_xlfn.XLOOKUP(G160,Resumen!$A$6:$A$22,Resumen!CF$7:CF$22,0)+_xlfn.XLOOKUP(G160,Resumen!$A$6:$A$22,Resumen!CG$7:CG$22,0),"")</f>
        <v>#VALUE!</v>
      </c>
      <c r="K160" s="44" t="e">
        <f t="shared" ca="1" si="156"/>
        <v>#VALUE!</v>
      </c>
      <c r="L160" s="44" t="e">
        <f t="shared" ca="1" si="157"/>
        <v>#VALUE!</v>
      </c>
      <c r="M160" s="44" t="e">
        <f t="shared" ca="1" si="158"/>
        <v>#VALUE!</v>
      </c>
      <c r="N160" s="44">
        <f t="shared" ca="1" si="159"/>
        <v>1</v>
      </c>
      <c r="O160" s="45" t="e">
        <f t="shared" ca="1" si="160"/>
        <v>#VALUE!</v>
      </c>
      <c r="P160" s="42" t="str">
        <f>IF(VLOOKUP(F160,Fixture!$B$2:$F$229,5,FALSE)&lt;&gt;0,VLOOKUP(F160,Fixture!$B$2:$F$229,5,FALSE),"")</f>
        <v>La Amistad</v>
      </c>
      <c r="Q160" s="44" t="e">
        <f ca="1">IF($D160="Finalizado",_xlfn.XLOOKUP(P160,Resumen!$A$6:$A$22,Resumen!CD$7:CD$22,0),"")</f>
        <v>#VALUE!</v>
      </c>
      <c r="R160" s="44" t="e">
        <f ca="1">IF($D160="Finalizado",_xlfn.XLOOKUP(P160,Resumen!$A$6:$A$22,Resumen!CE$7:CE$22,0),"")</f>
        <v>#VALUE!</v>
      </c>
      <c r="S160" s="44" t="e">
        <f ca="1">IF($D160="Finalizado",_xlfn.XLOOKUP(P160,Resumen!$A$6:$A$22,Resumen!CF$7:CF$22,0)+_xlfn.XLOOKUP(P160,Resumen!$A$6:$A$22,Resumen!CG$7:CG$22,0),"")</f>
        <v>#VALUE!</v>
      </c>
      <c r="T160" s="44" t="e">
        <f t="shared" ca="1" si="139"/>
        <v>#VALUE!</v>
      </c>
      <c r="U160" s="44" t="e">
        <f t="shared" ca="1" si="142"/>
        <v>#VALUE!</v>
      </c>
      <c r="V160" s="44" t="e">
        <f t="shared" ca="1" si="143"/>
        <v>#VALUE!</v>
      </c>
      <c r="W160" s="44">
        <f t="shared" ca="1" si="140"/>
        <v>1</v>
      </c>
      <c r="X160" s="45" t="e">
        <f t="shared" ca="1" si="163"/>
        <v>#VALUE!</v>
      </c>
      <c r="Y160" s="198"/>
    </row>
    <row r="161" spans="1:25" x14ac:dyDescent="0.25">
      <c r="A161" s="210"/>
      <c r="B161" s="61">
        <f>IF(Fixture!C160,Fixture!C160,"")</f>
        <v>45851</v>
      </c>
      <c r="C161" s="58">
        <v>0.5625</v>
      </c>
      <c r="D161" s="82" t="str">
        <f t="shared" ca="1" si="115"/>
        <v>Finalizado</v>
      </c>
      <c r="E161" s="198"/>
      <c r="F161" s="43">
        <f>+Fixture!B160</f>
        <v>159</v>
      </c>
      <c r="G161" s="42"/>
      <c r="H161" s="44" t="e">
        <f ca="1">IF($D161="Finalizado",_xlfn.XLOOKUP(G161,Resumen!$A$6:$A$22,Resumen!CD$7:CD$22,0),"")</f>
        <v>#VALUE!</v>
      </c>
      <c r="I161" s="44" t="e">
        <f ca="1">IF($D161="Finalizado",_xlfn.XLOOKUP(G161,Resumen!$A$6:$A$22,Resumen!CE$7:CE$22,0),"")</f>
        <v>#VALUE!</v>
      </c>
      <c r="J161" s="44" t="e">
        <f ca="1">IF($D161="Finalizado",_xlfn.XLOOKUP(G161,Resumen!$A$6:$A$22,Resumen!CF$7:CF$22,0)+_xlfn.XLOOKUP(G161,Resumen!$A$6:$A$22,Resumen!CG$7:CG$22,0),"")</f>
        <v>#VALUE!</v>
      </c>
      <c r="K161" s="44" t="e">
        <f t="shared" ca="1" si="156"/>
        <v>#VALUE!</v>
      </c>
      <c r="L161" s="44" t="e">
        <f t="shared" ca="1" si="157"/>
        <v>#VALUE!</v>
      </c>
      <c r="M161" s="44" t="e">
        <f t="shared" ca="1" si="158"/>
        <v>#VALUE!</v>
      </c>
      <c r="N161" s="44">
        <f t="shared" ca="1" si="159"/>
        <v>1</v>
      </c>
      <c r="O161" s="45" t="e">
        <f t="shared" ca="1" si="160"/>
        <v>#VALUE!</v>
      </c>
      <c r="P161" s="42" t="str">
        <f>IF(VLOOKUP(F161,Fixture!$B$2:$F$229,5,FALSE)&lt;&gt;0,VLOOKUP(F161,Fixture!$B$2:$F$229,5,FALSE),"")</f>
        <v>Atalanta</v>
      </c>
      <c r="Q161" s="44" t="e">
        <f ca="1">IF($D161="Finalizado",_xlfn.XLOOKUP(P161,Resumen!$A$6:$A$22,Resumen!CD$7:CD$22,0),"")</f>
        <v>#VALUE!</v>
      </c>
      <c r="R161" s="44" t="e">
        <f ca="1">IF($D161="Finalizado",_xlfn.XLOOKUP(P161,Resumen!$A$6:$A$22,Resumen!CE$7:CE$22,0),"")</f>
        <v>#VALUE!</v>
      </c>
      <c r="S161" s="44" t="e">
        <f ca="1">IF($D161="Finalizado",_xlfn.XLOOKUP(P161,Resumen!$A$6:$A$22,Resumen!CF$7:CF$22,0)+_xlfn.XLOOKUP(P161,Resumen!$A$6:$A$22,Resumen!CG$7:CG$22,0),"")</f>
        <v>#VALUE!</v>
      </c>
      <c r="T161" s="44" t="e">
        <f t="shared" ca="1" si="139"/>
        <v>#VALUE!</v>
      </c>
      <c r="U161" s="44" t="e">
        <f t="shared" ca="1" si="142"/>
        <v>#VALUE!</v>
      </c>
      <c r="V161" s="44" t="e">
        <f t="shared" ca="1" si="143"/>
        <v>#VALUE!</v>
      </c>
      <c r="W161" s="44">
        <f t="shared" ca="1" si="140"/>
        <v>1</v>
      </c>
      <c r="X161" s="45" t="e">
        <f t="shared" ca="1" si="163"/>
        <v>#VALUE!</v>
      </c>
      <c r="Y161" s="198"/>
    </row>
    <row r="162" spans="1:25" ht="16.5" thickBot="1" x14ac:dyDescent="0.3">
      <c r="A162" s="211"/>
      <c r="B162" s="61">
        <f>IF(Fixture!C161,Fixture!C161,"")</f>
        <v>45851</v>
      </c>
      <c r="C162" s="59">
        <v>0.60416666666666696</v>
      </c>
      <c r="D162" s="82" t="str">
        <f t="shared" ca="1" si="115"/>
        <v>Finalizado</v>
      </c>
      <c r="E162" s="199"/>
      <c r="F162" s="90">
        <f>+Fixture!B161</f>
        <v>160</v>
      </c>
      <c r="G162" s="42"/>
      <c r="H162" s="48" t="e">
        <f ca="1">IF($D162="Finalizado",_xlfn.XLOOKUP(G162,Resumen!$A$6:$A$22,Resumen!CD$7:CD$22,0),"")</f>
        <v>#VALUE!</v>
      </c>
      <c r="I162" s="48" t="e">
        <f ca="1">IF($D162="Finalizado",_xlfn.XLOOKUP(G162,Resumen!$A$6:$A$22,Resumen!CE$7:CE$22,0),"")</f>
        <v>#VALUE!</v>
      </c>
      <c r="J162" s="48" t="e">
        <f ca="1">IF($D162="Finalizado",_xlfn.XLOOKUP(G162,Resumen!$A$6:$A$22,Resumen!CF$7:CF$22,0)+_xlfn.XLOOKUP(G162,Resumen!$A$6:$A$22,Resumen!CG$7:CG$22,0),"")</f>
        <v>#VALUE!</v>
      </c>
      <c r="K162" s="48" t="e">
        <f ca="1">IF(D162="Finalizado",IF(H162&gt;Q162,1,0),"")</f>
        <v>#VALUE!</v>
      </c>
      <c r="L162" s="48" t="e">
        <f t="shared" ca="1" si="157"/>
        <v>#VALUE!</v>
      </c>
      <c r="M162" s="48" t="e">
        <f t="shared" ca="1" si="158"/>
        <v>#VALUE!</v>
      </c>
      <c r="N162" s="48">
        <f t="shared" ca="1" si="159"/>
        <v>1</v>
      </c>
      <c r="O162" s="49" t="e">
        <f t="shared" ca="1" si="160"/>
        <v>#VALUE!</v>
      </c>
      <c r="P162" s="42" t="str">
        <f>IF(VLOOKUP(F162,Fixture!$B$2:$F$229,5,FALSE)&lt;&gt;0,VLOOKUP(F162,Fixture!$B$2:$F$229,5,FALSE),"")</f>
        <v>Ron Star</v>
      </c>
      <c r="Q162" s="48" t="e">
        <f ca="1">IF($D162="Finalizado",_xlfn.XLOOKUP(P162,Resumen!$A$6:$A$22,Resumen!CD$7:CD$22,0),"")</f>
        <v>#VALUE!</v>
      </c>
      <c r="R162" s="48" t="e">
        <f ca="1">IF($D162="Finalizado",_xlfn.XLOOKUP(P162,Resumen!$A$6:$A$22,Resumen!CE$7:CE$22,0),"")</f>
        <v>#VALUE!</v>
      </c>
      <c r="S162" s="48" t="e">
        <f ca="1">IF($D162="Finalizado",_xlfn.XLOOKUP(P162,Resumen!$A$6:$A$22,Resumen!CF$7:CF$22,0)+_xlfn.XLOOKUP(P162,Resumen!$A$6:$A$22,Resumen!CG$7:CG$22,0),"")</f>
        <v>#VALUE!</v>
      </c>
      <c r="T162" s="44" t="e">
        <f t="shared" ca="1" si="139"/>
        <v>#VALUE!</v>
      </c>
      <c r="U162" s="44" t="e">
        <f t="shared" ca="1" si="142"/>
        <v>#VALUE!</v>
      </c>
      <c r="V162" s="44" t="e">
        <f t="shared" ca="1" si="143"/>
        <v>#VALUE!</v>
      </c>
      <c r="W162" s="48">
        <f t="shared" ca="1" si="140"/>
        <v>1</v>
      </c>
      <c r="X162" s="49" t="e">
        <f t="shared" ca="1" si="163"/>
        <v>#VALUE!</v>
      </c>
      <c r="Y162" s="198"/>
    </row>
    <row r="163" spans="1:25" x14ac:dyDescent="0.25">
      <c r="A163" s="209" t="s">
        <v>93</v>
      </c>
      <c r="B163" s="60">
        <f>IF(Fixture!C162,Fixture!C162,"")</f>
        <v>45851</v>
      </c>
      <c r="C163" s="58">
        <v>0.42708333333333331</v>
      </c>
      <c r="D163" s="82" t="str">
        <f t="shared" ca="1" si="115"/>
        <v>Finalizado</v>
      </c>
      <c r="E163" s="197" t="s">
        <v>114</v>
      </c>
      <c r="F163" s="43">
        <f>+Fixture!B162</f>
        <v>161</v>
      </c>
      <c r="G163" s="42"/>
      <c r="H163" s="44" t="e">
        <f ca="1">IF($D163="Finalizado",_xlfn.XLOOKUP(G163,Resumen!$A$6:$A$22,Resumen!CH$7:CH$22,0),"")</f>
        <v>#VALUE!</v>
      </c>
      <c r="I163" s="44" t="e">
        <f ca="1">IF($D163="Finalizado",_xlfn.XLOOKUP(G163,Resumen!$A$6:$A$22,Resumen!CI$7:CI$22,0),"")</f>
        <v>#VALUE!</v>
      </c>
      <c r="J163" s="44" t="e">
        <f ca="1">IF($D163="Finalizado",_xlfn.XLOOKUP(G163,Resumen!$A$6:$A$22,Resumen!CJ$7:CJ$22,0)+_xlfn.XLOOKUP(G163,Resumen!$A$6:$A$22,Resumen!CK$7:CK$22,0),"")</f>
        <v>#VALUE!</v>
      </c>
      <c r="K163" s="44" t="e">
        <f t="shared" ref="K163:K172" ca="1" si="166">IF(D163="Finalizado",IF(H163&gt;Q163,1,0),"")</f>
        <v>#VALUE!</v>
      </c>
      <c r="L163" s="44" t="e">
        <f t="shared" ca="1" si="157"/>
        <v>#VALUE!</v>
      </c>
      <c r="M163" s="44" t="e">
        <f t="shared" ca="1" si="158"/>
        <v>#VALUE!</v>
      </c>
      <c r="N163" s="44">
        <f t="shared" ca="1" si="159"/>
        <v>1</v>
      </c>
      <c r="O163" s="45" t="e">
        <f t="shared" ca="1" si="160"/>
        <v>#VALUE!</v>
      </c>
      <c r="P163" s="42" t="str">
        <f>IF(VLOOKUP(F163,Fixture!$B$2:$F$229,5,FALSE)&lt;&gt;0,VLOOKUP(F163,Fixture!$B$2:$F$229,5,FALSE),"")</f>
        <v>La Unión FC</v>
      </c>
      <c r="Q163" s="44" t="e">
        <f ca="1">IF($D163="Finalizado",_xlfn.XLOOKUP(P163,Resumen!$A$6:$A$22,Resumen!CH$7:CH$22,0),"")</f>
        <v>#VALUE!</v>
      </c>
      <c r="R163" s="44" t="e">
        <f ca="1">IF($D163="Finalizado",_xlfn.XLOOKUP(P163,Resumen!$A$6:$A$22,Resumen!CI$7:CI$22,0),"")</f>
        <v>#VALUE!</v>
      </c>
      <c r="S163" s="44" t="e">
        <f ca="1">IF($D163="Finalizado",_xlfn.XLOOKUP(P163,Resumen!$A$6:$A$22,Resumen!CJ$7:CJ$22,0)+_xlfn.XLOOKUP(P163,Resumen!$A$6:$A$22,Resumen!CK$7:CK$22,0),"")</f>
        <v>#VALUE!</v>
      </c>
      <c r="T163" s="44" t="e">
        <f t="shared" ca="1" si="139"/>
        <v>#VALUE!</v>
      </c>
      <c r="U163" s="44" t="e">
        <f t="shared" ca="1" si="142"/>
        <v>#VALUE!</v>
      </c>
      <c r="V163" s="44" t="e">
        <f t="shared" ca="1" si="143"/>
        <v>#VALUE!</v>
      </c>
      <c r="W163" s="44">
        <f t="shared" ca="1" si="140"/>
        <v>1</v>
      </c>
      <c r="X163" s="45" t="e">
        <f t="shared" ca="1" si="163"/>
        <v>#VALUE!</v>
      </c>
      <c r="Y163" s="197" t="str">
        <f t="shared" ref="Y163" si="167">+A163</f>
        <v>Fecha 22</v>
      </c>
    </row>
    <row r="164" spans="1:25" x14ac:dyDescent="0.25">
      <c r="A164" s="210"/>
      <c r="B164" s="61">
        <f>IF(Fixture!C163,Fixture!C163,"")</f>
        <v>45851</v>
      </c>
      <c r="C164" s="58">
        <v>0.47916666666666669</v>
      </c>
      <c r="D164" s="82" t="str">
        <f t="shared" ca="1" si="115"/>
        <v>Finalizado</v>
      </c>
      <c r="E164" s="198"/>
      <c r="F164" s="43">
        <f>+Fixture!B163</f>
        <v>162</v>
      </c>
      <c r="G164" s="42"/>
      <c r="H164" s="44" t="e">
        <f ca="1">IF($D164="Finalizado",_xlfn.XLOOKUP(G164,Resumen!$A$6:$A$22,Resumen!CH$7:CH$22,0),"")</f>
        <v>#VALUE!</v>
      </c>
      <c r="I164" s="44" t="e">
        <f ca="1">IF($D164="Finalizado",_xlfn.XLOOKUP(G164,Resumen!$A$6:$A$22,Resumen!CI$7:CI$22,0),"")</f>
        <v>#VALUE!</v>
      </c>
      <c r="J164" s="44" t="e">
        <f ca="1">IF($D164="Finalizado",_xlfn.XLOOKUP(G164,Resumen!$A$6:$A$22,Resumen!CJ$7:CJ$22,0)+_xlfn.XLOOKUP(G164,Resumen!$A$6:$A$22,Resumen!CK$7:CK$22,0),"")</f>
        <v>#VALUE!</v>
      </c>
      <c r="K164" s="44" t="e">
        <f t="shared" ca="1" si="166"/>
        <v>#VALUE!</v>
      </c>
      <c r="L164" s="44" t="e">
        <f t="shared" ca="1" si="157"/>
        <v>#VALUE!</v>
      </c>
      <c r="M164" s="44" t="e">
        <f t="shared" ca="1" si="158"/>
        <v>#VALUE!</v>
      </c>
      <c r="N164" s="44">
        <f t="shared" ca="1" si="159"/>
        <v>1</v>
      </c>
      <c r="O164" s="45" t="e">
        <f t="shared" ca="1" si="160"/>
        <v>#VALUE!</v>
      </c>
      <c r="P164" s="42" t="str">
        <f>IF(VLOOKUP(F164,Fixture!$B$2:$F$229,5,FALSE)&lt;&gt;0,VLOOKUP(F164,Fixture!$B$2:$F$229,5,FALSE),"")</f>
        <v>Konami</v>
      </c>
      <c r="Q164" s="44" t="e">
        <f ca="1">IF($D164="Finalizado",_xlfn.XLOOKUP(P164,Resumen!$A$6:$A$22,Resumen!CH$7:CH$22,0),"")</f>
        <v>#VALUE!</v>
      </c>
      <c r="R164" s="44" t="e">
        <f ca="1">IF($D164="Finalizado",_xlfn.XLOOKUP(P164,Resumen!$A$6:$A$22,Resumen!CI$7:CI$22,0),"")</f>
        <v>#VALUE!</v>
      </c>
      <c r="S164" s="44" t="e">
        <f ca="1">IF($D164="Finalizado",_xlfn.XLOOKUP(P164,Resumen!$A$6:$A$22,Resumen!CJ$7:CJ$22,0)+_xlfn.XLOOKUP(P164,Resumen!$A$6:$A$22,Resumen!CK$7:CK$22,0),"")</f>
        <v>#VALUE!</v>
      </c>
      <c r="T164" s="44" t="e">
        <f t="shared" ca="1" si="139"/>
        <v>#VALUE!</v>
      </c>
      <c r="U164" s="44" t="e">
        <f t="shared" ca="1" si="142"/>
        <v>#VALUE!</v>
      </c>
      <c r="V164" s="44" t="e">
        <f t="shared" ca="1" si="143"/>
        <v>#VALUE!</v>
      </c>
      <c r="W164" s="44">
        <f t="shared" ca="1" si="140"/>
        <v>1</v>
      </c>
      <c r="X164" s="45" t="e">
        <f t="shared" ca="1" si="163"/>
        <v>#VALUE!</v>
      </c>
      <c r="Y164" s="198"/>
    </row>
    <row r="165" spans="1:25" x14ac:dyDescent="0.25">
      <c r="A165" s="210"/>
      <c r="B165" s="61">
        <f>IF(Fixture!C164,Fixture!C164,"")</f>
        <v>45858</v>
      </c>
      <c r="C165" s="58">
        <v>0.53125</v>
      </c>
      <c r="D165" s="82" t="str">
        <f t="shared" ca="1" si="115"/>
        <v>Finalizado</v>
      </c>
      <c r="E165" s="198"/>
      <c r="F165" s="43">
        <f>+Fixture!B164</f>
        <v>163</v>
      </c>
      <c r="G165" s="42"/>
      <c r="H165" s="44" t="e">
        <f ca="1">IF($D165="Finalizado",_xlfn.XLOOKUP(G165,Resumen!$A$6:$A$22,Resumen!CH$7:CH$22,0),"")</f>
        <v>#VALUE!</v>
      </c>
      <c r="I165" s="44" t="e">
        <f ca="1">IF($D165="Finalizado",_xlfn.XLOOKUP(G165,Resumen!$A$6:$A$22,Resumen!CI$7:CI$22,0),"")</f>
        <v>#VALUE!</v>
      </c>
      <c r="J165" s="44" t="e">
        <f ca="1">IF($D165="Finalizado",_xlfn.XLOOKUP(G165,Resumen!$A$6:$A$22,Resumen!CJ$7:CJ$22,0)+_xlfn.XLOOKUP(G165,Resumen!$A$6:$A$22,Resumen!CK$7:CK$22,0),"")</f>
        <v>#VALUE!</v>
      </c>
      <c r="K165" s="44" t="e">
        <f t="shared" ca="1" si="166"/>
        <v>#VALUE!</v>
      </c>
      <c r="L165" s="44" t="e">
        <f t="shared" ca="1" si="157"/>
        <v>#VALUE!</v>
      </c>
      <c r="M165" s="44" t="e">
        <f t="shared" ca="1" si="158"/>
        <v>#VALUE!</v>
      </c>
      <c r="N165" s="44">
        <f t="shared" ca="1" si="159"/>
        <v>1</v>
      </c>
      <c r="O165" s="45" t="e">
        <f t="shared" ca="1" si="160"/>
        <v>#VALUE!</v>
      </c>
      <c r="P165" s="42" t="str">
        <f>IF(VLOOKUP(F165,Fixture!$B$2:$F$229,5,FALSE)&lt;&gt;0,VLOOKUP(F165,Fixture!$B$2:$F$229,5,FALSE),"")</f>
        <v>Atalanta</v>
      </c>
      <c r="Q165" s="44" t="e">
        <f ca="1">IF($D165="Finalizado",_xlfn.XLOOKUP(P165,Resumen!$A$6:$A$22,Resumen!CH$7:CH$22,0),"")</f>
        <v>#VALUE!</v>
      </c>
      <c r="R165" s="44" t="e">
        <f ca="1">IF($D165="Finalizado",_xlfn.XLOOKUP(P165,Resumen!$A$6:$A$22,Resumen!CI$7:CI$22,0),"")</f>
        <v>#VALUE!</v>
      </c>
      <c r="S165" s="44" t="e">
        <f ca="1">IF($D165="Finalizado",_xlfn.XLOOKUP(P165,Resumen!$A$6:$A$22,Resumen!CJ$7:CJ$22,0)+_xlfn.XLOOKUP(P165,Resumen!$A$6:$A$22,Resumen!CK$7:CK$22,0),"")</f>
        <v>#VALUE!</v>
      </c>
      <c r="T165" s="44" t="e">
        <f t="shared" ca="1" si="139"/>
        <v>#VALUE!</v>
      </c>
      <c r="U165" s="44" t="e">
        <f t="shared" ca="1" si="142"/>
        <v>#VALUE!</v>
      </c>
      <c r="V165" s="44" t="e">
        <f t="shared" ca="1" si="143"/>
        <v>#VALUE!</v>
      </c>
      <c r="W165" s="44">
        <f t="shared" ca="1" si="140"/>
        <v>1</v>
      </c>
      <c r="X165" s="45" t="e">
        <f t="shared" ca="1" si="163"/>
        <v>#VALUE!</v>
      </c>
      <c r="Y165" s="198"/>
    </row>
    <row r="166" spans="1:25" x14ac:dyDescent="0.25">
      <c r="A166" s="210"/>
      <c r="B166" s="61">
        <f>IF(Fixture!C165,Fixture!C165,"")</f>
        <v>45858</v>
      </c>
      <c r="C166" s="58">
        <v>0.58333333333333337</v>
      </c>
      <c r="D166" s="82" t="str">
        <f t="shared" ca="1" si="115"/>
        <v>Finalizado</v>
      </c>
      <c r="E166" s="198"/>
      <c r="F166" s="43">
        <f>+Fixture!B165</f>
        <v>164</v>
      </c>
      <c r="G166" s="42"/>
      <c r="H166" s="44" t="e">
        <f ca="1">IF($D166="Finalizado",_xlfn.XLOOKUP(G166,Resumen!$A$6:$A$22,Resumen!CH$7:CH$22,0),"")</f>
        <v>#VALUE!</v>
      </c>
      <c r="I166" s="44" t="e">
        <f ca="1">IF($D166="Finalizado",_xlfn.XLOOKUP(G166,Resumen!$A$6:$A$22,Resumen!CI$7:CI$22,0),"")</f>
        <v>#VALUE!</v>
      </c>
      <c r="J166" s="44" t="e">
        <f ca="1">IF($D166="Finalizado",_xlfn.XLOOKUP(G166,Resumen!$A$6:$A$22,Resumen!CJ$7:CJ$22,0)+_xlfn.XLOOKUP(G166,Resumen!$A$6:$A$22,Resumen!CK$7:CK$22,0),"")</f>
        <v>#VALUE!</v>
      </c>
      <c r="K166" s="44" t="e">
        <f t="shared" ca="1" si="166"/>
        <v>#VALUE!</v>
      </c>
      <c r="L166" s="44" t="e">
        <f t="shared" ca="1" si="157"/>
        <v>#VALUE!</v>
      </c>
      <c r="M166" s="44" t="e">
        <f t="shared" ca="1" si="158"/>
        <v>#VALUE!</v>
      </c>
      <c r="N166" s="44">
        <f t="shared" ca="1" si="159"/>
        <v>1</v>
      </c>
      <c r="O166" s="45" t="e">
        <f t="shared" ca="1" si="160"/>
        <v>#VALUE!</v>
      </c>
      <c r="P166" s="42" t="str">
        <f>IF(VLOOKUP(F166,Fixture!$B$2:$F$229,5,FALSE)&lt;&gt;0,VLOOKUP(F166,Fixture!$B$2:$F$229,5,FALSE),"")</f>
        <v>La Unión FC</v>
      </c>
      <c r="Q166" s="44" t="e">
        <f ca="1">IF($D166="Finalizado",_xlfn.XLOOKUP(P166,Resumen!$A$6:$A$22,Resumen!CH$7:CH$22,0),"")</f>
        <v>#VALUE!</v>
      </c>
      <c r="R166" s="44" t="e">
        <f ca="1">IF($D166="Finalizado",_xlfn.XLOOKUP(P166,Resumen!$A$6:$A$22,Resumen!CI$7:CI$22,0),"")</f>
        <v>#VALUE!</v>
      </c>
      <c r="S166" s="44" t="e">
        <f ca="1">IF($D166="Finalizado",_xlfn.XLOOKUP(P166,Resumen!$A$6:$A$22,Resumen!CJ$7:CJ$22,0)+_xlfn.XLOOKUP(P166,Resumen!$A$6:$A$22,Resumen!CK$7:CK$22,0),"")</f>
        <v>#VALUE!</v>
      </c>
      <c r="T166" s="44" t="e">
        <f t="shared" ca="1" si="139"/>
        <v>#VALUE!</v>
      </c>
      <c r="U166" s="44" t="e">
        <f t="shared" ca="1" si="142"/>
        <v>#VALUE!</v>
      </c>
      <c r="V166" s="44" t="e">
        <f t="shared" ca="1" si="143"/>
        <v>#VALUE!</v>
      </c>
      <c r="W166" s="44">
        <f t="shared" ca="1" si="140"/>
        <v>1</v>
      </c>
      <c r="X166" s="45" t="e">
        <f t="shared" ca="1" si="163"/>
        <v>#VALUE!</v>
      </c>
      <c r="Y166" s="198"/>
    </row>
    <row r="167" spans="1:25" x14ac:dyDescent="0.25">
      <c r="A167" s="210"/>
      <c r="B167" s="61">
        <f>IF(Fixture!C166,Fixture!C166,"")</f>
        <v>45858</v>
      </c>
      <c r="C167" s="58">
        <v>0.63541666666666663</v>
      </c>
      <c r="D167" s="82" t="str">
        <f t="shared" ca="1" si="115"/>
        <v>Finalizado</v>
      </c>
      <c r="E167" s="198"/>
      <c r="F167" s="43">
        <f>+Fixture!B166</f>
        <v>165</v>
      </c>
      <c r="G167" s="42"/>
      <c r="H167" s="44" t="e">
        <f ca="1">IF($D167="Finalizado",_xlfn.XLOOKUP(G167,Resumen!$A$6:$A$22,Resumen!CH$7:CH$22,0),"")</f>
        <v>#VALUE!</v>
      </c>
      <c r="I167" s="44" t="e">
        <f ca="1">IF($D167="Finalizado",_xlfn.XLOOKUP(G167,Resumen!$A$6:$A$22,Resumen!CI$7:CI$22,0),"")</f>
        <v>#VALUE!</v>
      </c>
      <c r="J167" s="44" t="e">
        <f ca="1">IF($D167="Finalizado",_xlfn.XLOOKUP(G167,Resumen!$A$6:$A$22,Resumen!CJ$7:CJ$22,0)+_xlfn.XLOOKUP(G167,Resumen!$A$6:$A$22,Resumen!CK$7:CK$22,0),"")</f>
        <v>#VALUE!</v>
      </c>
      <c r="K167" s="44" t="e">
        <f t="shared" ca="1" si="166"/>
        <v>#VALUE!</v>
      </c>
      <c r="L167" s="44" t="e">
        <f t="shared" ca="1" si="157"/>
        <v>#VALUE!</v>
      </c>
      <c r="M167" s="44" t="e">
        <f t="shared" ca="1" si="158"/>
        <v>#VALUE!</v>
      </c>
      <c r="N167" s="44">
        <f t="shared" ca="1" si="159"/>
        <v>1</v>
      </c>
      <c r="O167" s="45" t="e">
        <f t="shared" ca="1" si="160"/>
        <v>#VALUE!</v>
      </c>
      <c r="P167" s="42" t="str">
        <f>IF(VLOOKUP(F167,Fixture!$B$2:$F$229,5,FALSE)&lt;&gt;0,VLOOKUP(F167,Fixture!$B$2:$F$229,5,FALSE),"")</f>
        <v>La Amistad</v>
      </c>
      <c r="Q167" s="44" t="e">
        <f ca="1">IF($D167="Finalizado",_xlfn.XLOOKUP(P167,Resumen!$A$6:$A$22,Resumen!CH$7:CH$22,0),"")</f>
        <v>#VALUE!</v>
      </c>
      <c r="R167" s="44" t="e">
        <f ca="1">IF($D167="Finalizado",_xlfn.XLOOKUP(P167,Resumen!$A$6:$A$22,Resumen!CI$7:CI$22,0),"")</f>
        <v>#VALUE!</v>
      </c>
      <c r="S167" s="44" t="e">
        <f ca="1">IF($D167="Finalizado",_xlfn.XLOOKUP(P167,Resumen!$A$6:$A$22,Resumen!CJ$7:CJ$22,0)+_xlfn.XLOOKUP(P167,Resumen!$A$6:$A$22,Resumen!CK$7:CK$22,0),"")</f>
        <v>#VALUE!</v>
      </c>
      <c r="T167" s="44" t="e">
        <f t="shared" ca="1" si="139"/>
        <v>#VALUE!</v>
      </c>
      <c r="U167" s="44" t="e">
        <f t="shared" ca="1" si="142"/>
        <v>#VALUE!</v>
      </c>
      <c r="V167" s="44" t="e">
        <f t="shared" ca="1" si="143"/>
        <v>#VALUE!</v>
      </c>
      <c r="W167" s="44">
        <f t="shared" ca="1" si="140"/>
        <v>1</v>
      </c>
      <c r="X167" s="45" t="e">
        <f t="shared" ca="1" si="163"/>
        <v>#VALUE!</v>
      </c>
      <c r="Y167" s="198"/>
    </row>
    <row r="168" spans="1:25" ht="16.5" thickBot="1" x14ac:dyDescent="0.3">
      <c r="A168" s="211"/>
      <c r="B168" s="61">
        <f>IF(Fixture!C167,Fixture!C167,"")</f>
        <v>45858</v>
      </c>
      <c r="C168" s="59">
        <v>0.67708333333333337</v>
      </c>
      <c r="D168" s="82" t="str">
        <f t="shared" ca="1" si="115"/>
        <v>Finalizado</v>
      </c>
      <c r="E168" s="199"/>
      <c r="F168" s="90">
        <f>+Fixture!B167</f>
        <v>166</v>
      </c>
      <c r="G168" s="42"/>
      <c r="H168" s="48" t="e">
        <f ca="1">IF($D168="Finalizado",_xlfn.XLOOKUP(G168,Resumen!$A$6:$A$22,Resumen!CH$7:CH$22,0),"")</f>
        <v>#VALUE!</v>
      </c>
      <c r="I168" s="48" t="e">
        <f ca="1">IF($D168="Finalizado",_xlfn.XLOOKUP(G168,Resumen!$A$6:$A$22,Resumen!CI$7:CI$22,0),"")</f>
        <v>#VALUE!</v>
      </c>
      <c r="J168" s="48" t="e">
        <f ca="1">IF($D168="Finalizado",_xlfn.XLOOKUP(G168,Resumen!$A$6:$A$22,Resumen!CJ$7:CJ$22,0)+_xlfn.XLOOKUP(G168,Resumen!$A$6:$A$22,Resumen!CK$7:CK$22,0),"")</f>
        <v>#VALUE!</v>
      </c>
      <c r="K168" s="48" t="e">
        <f t="shared" ca="1" si="166"/>
        <v>#VALUE!</v>
      </c>
      <c r="L168" s="48" t="e">
        <f t="shared" ca="1" si="157"/>
        <v>#VALUE!</v>
      </c>
      <c r="M168" s="48" t="e">
        <f t="shared" ca="1" si="158"/>
        <v>#VALUE!</v>
      </c>
      <c r="N168" s="48">
        <f t="shared" ca="1" si="159"/>
        <v>1</v>
      </c>
      <c r="O168" s="49" t="e">
        <f t="shared" ca="1" si="160"/>
        <v>#VALUE!</v>
      </c>
      <c r="P168" s="42" t="str">
        <f>IF(VLOOKUP(F168,Fixture!$B$2:$F$229,5,FALSE)&lt;&gt;0,VLOOKUP(F168,Fixture!$B$2:$F$229,5,FALSE),"")</f>
        <v>Los Amigos</v>
      </c>
      <c r="Q168" s="48" t="e">
        <f ca="1">IF($D168="Finalizado",_xlfn.XLOOKUP(P168,Resumen!$A$6:$A$22,Resumen!CH$7:CH$22,0),"")</f>
        <v>#VALUE!</v>
      </c>
      <c r="R168" s="48" t="e">
        <f ca="1">IF($D168="Finalizado",_xlfn.XLOOKUP(P168,Resumen!$A$6:$A$22,Resumen!CI$7:CI$22,0),"")</f>
        <v>#VALUE!</v>
      </c>
      <c r="S168" s="48" t="e">
        <f ca="1">IF($D168="Finalizado",_xlfn.XLOOKUP(P168,Resumen!$A$6:$A$22,Resumen!CJ$7:CJ$22,0)+_xlfn.XLOOKUP(P168,Resumen!$A$6:$A$22,Resumen!CK$7:CK$22,0),"")</f>
        <v>#VALUE!</v>
      </c>
      <c r="T168" s="44" t="e">
        <f t="shared" ca="1" si="139"/>
        <v>#VALUE!</v>
      </c>
      <c r="U168" s="44" t="e">
        <f t="shared" ca="1" si="142"/>
        <v>#VALUE!</v>
      </c>
      <c r="V168" s="44" t="e">
        <f t="shared" ca="1" si="143"/>
        <v>#VALUE!</v>
      </c>
      <c r="W168" s="44">
        <f t="shared" ca="1" si="140"/>
        <v>1</v>
      </c>
      <c r="X168" s="49" t="e">
        <f t="shared" ca="1" si="163"/>
        <v>#VALUE!</v>
      </c>
      <c r="Y168" s="198"/>
    </row>
    <row r="169" spans="1:25" x14ac:dyDescent="0.25">
      <c r="A169" s="209" t="s">
        <v>94</v>
      </c>
      <c r="B169" s="60">
        <f>IF(Fixture!C168,Fixture!C168,"")</f>
        <v>45858</v>
      </c>
      <c r="C169" s="58">
        <v>0.375</v>
      </c>
      <c r="D169" s="82" t="str">
        <f t="shared" ca="1" si="115"/>
        <v>Finalizado</v>
      </c>
      <c r="E169" s="197" t="s">
        <v>114</v>
      </c>
      <c r="F169" s="50">
        <v>148</v>
      </c>
      <c r="G169" s="42"/>
      <c r="H169" s="44" t="e">
        <f ca="1">IF($D169="Finalizado",_xlfn.XLOOKUP(G169,Resumen!$A$6:$A$22,Resumen!CL$7:CL$22,0),"")</f>
        <v>#VALUE!</v>
      </c>
      <c r="I169" s="44" t="e">
        <f ca="1">IF($D169="Finalizado",_xlfn.XLOOKUP(G169,Resumen!$A$6:$A$22,Resumen!CM$7:CM$22,0),"")</f>
        <v>#VALUE!</v>
      </c>
      <c r="J169" s="44" t="e">
        <f ca="1">IF($D169="Finalizado",_xlfn.XLOOKUP(G169,Resumen!$A$6:$A$22,Resumen!CN$7:CN$22,0)+_xlfn.XLOOKUP(G169,Resumen!$A$6:$A$22,Resumen!CO$7:CO$22,0),"")</f>
        <v>#VALUE!</v>
      </c>
      <c r="K169" s="44" t="e">
        <f t="shared" ca="1" si="166"/>
        <v>#VALUE!</v>
      </c>
      <c r="L169" s="44" t="e">
        <f t="shared" ca="1" si="157"/>
        <v>#VALUE!</v>
      </c>
      <c r="M169" s="44" t="e">
        <f t="shared" ca="1" si="158"/>
        <v>#VALUE!</v>
      </c>
      <c r="N169" s="44">
        <f t="shared" ca="1" si="159"/>
        <v>1</v>
      </c>
      <c r="O169" s="45" t="e">
        <f t="shared" ca="1" si="160"/>
        <v>#VALUE!</v>
      </c>
      <c r="P169" s="42"/>
      <c r="Q169" s="44" t="e">
        <f ca="1">IF($D169="Finalizado",_xlfn.XLOOKUP(P169,Resumen!$A$6:$A$22,Resumen!CL$7:CL$22,0),"")</f>
        <v>#VALUE!</v>
      </c>
      <c r="R169" s="44" t="e">
        <f ca="1">IF($D169="Finalizado",_xlfn.XLOOKUP(P169,Resumen!$A$6:$A$22,Resumen!CM$7:CM$22,0),"")</f>
        <v>#VALUE!</v>
      </c>
      <c r="S169" s="44" t="e">
        <f ca="1">IF($D169="Finalizado",_xlfn.XLOOKUP(P169,Resumen!$A$6:$A$22,Resumen!CN$7:CN$22,0)+_xlfn.XLOOKUP(P169,Resumen!$A$6:$A$22,Resumen!CO$7:CO$22,0),"")</f>
        <v>#VALUE!</v>
      </c>
      <c r="T169" s="44" t="e">
        <f t="shared" ca="1" si="139"/>
        <v>#VALUE!</v>
      </c>
      <c r="U169" s="44" t="e">
        <f t="shared" ca="1" si="142"/>
        <v>#VALUE!</v>
      </c>
      <c r="V169" s="44" t="e">
        <f t="shared" ca="1" si="143"/>
        <v>#VALUE!</v>
      </c>
      <c r="W169" s="44">
        <f t="shared" ca="1" si="140"/>
        <v>1</v>
      </c>
      <c r="X169" s="45" t="e">
        <f t="shared" ca="1" si="163"/>
        <v>#VALUE!</v>
      </c>
      <c r="Y169" s="197" t="str">
        <f>A169</f>
        <v>Fecha 23</v>
      </c>
    </row>
    <row r="170" spans="1:25" ht="15.6" customHeight="1" thickBot="1" x14ac:dyDescent="0.3">
      <c r="A170" s="201"/>
      <c r="B170" s="61">
        <f>IF(Fixture!C169,Fixture!C169,"")</f>
        <v>45858</v>
      </c>
      <c r="C170" s="58">
        <v>0.42708333333333331</v>
      </c>
      <c r="D170" s="82" t="str">
        <f t="shared" ca="1" si="115"/>
        <v>Finalizado</v>
      </c>
      <c r="E170" s="198"/>
      <c r="F170" s="47">
        <v>149</v>
      </c>
      <c r="G170" s="42"/>
      <c r="H170" s="48" t="e">
        <f ca="1">IF($D170="Finalizado",_xlfn.XLOOKUP(G170,Resumen!$A$6:$A$22,Resumen!CL$7:CL$22,0),"")</f>
        <v>#VALUE!</v>
      </c>
      <c r="I170" s="48" t="e">
        <f ca="1">IF($D170="Finalizado",_xlfn.XLOOKUP(G170,Resumen!$A$6:$A$22,Resumen!CM$7:CM$22,0),"")</f>
        <v>#VALUE!</v>
      </c>
      <c r="J170" s="48" t="e">
        <f ca="1">IF($D170="Finalizado",_xlfn.XLOOKUP(G170,Resumen!$A$6:$A$22,Resumen!CN$7:CN$22,0)+_xlfn.XLOOKUP(G170,Resumen!$A$6:$A$22,Resumen!CO$7:CO$22,0),"")</f>
        <v>#VALUE!</v>
      </c>
      <c r="K170" s="48" t="e">
        <f t="shared" ca="1" si="166"/>
        <v>#VALUE!</v>
      </c>
      <c r="L170" s="48" t="e">
        <f t="shared" ca="1" si="157"/>
        <v>#VALUE!</v>
      </c>
      <c r="M170" s="48" t="e">
        <f t="shared" ca="1" si="158"/>
        <v>#VALUE!</v>
      </c>
      <c r="N170" s="48">
        <f t="shared" ca="1" si="159"/>
        <v>1</v>
      </c>
      <c r="O170" s="49" t="e">
        <f t="shared" ca="1" si="160"/>
        <v>#VALUE!</v>
      </c>
      <c r="P170" s="42"/>
      <c r="Q170" s="48" t="e">
        <f ca="1">IF($D170="Finalizado",_xlfn.XLOOKUP(P170,Resumen!$A$6:$A$22,Resumen!CL$7:CL$22,0),"")</f>
        <v>#VALUE!</v>
      </c>
      <c r="R170" s="48" t="e">
        <f ca="1">IF($D170="Finalizado",_xlfn.XLOOKUP(P170,Resumen!$A$6:$A$22,Resumen!CM$7:CM$22,0),"")</f>
        <v>#VALUE!</v>
      </c>
      <c r="S170" s="48" t="e">
        <f ca="1">IF($D170="Finalizado",_xlfn.XLOOKUP(P170,Resumen!$A$6:$A$22,Resumen!CN$7:CN$22,0)+_xlfn.XLOOKUP(P170,Resumen!$A$6:$A$22,Resumen!CO$7:CO$22,0),"")</f>
        <v>#VALUE!</v>
      </c>
      <c r="T170" s="44" t="e">
        <f t="shared" ca="1" si="139"/>
        <v>#VALUE!</v>
      </c>
      <c r="U170" s="44" t="e">
        <f t="shared" ca="1" si="142"/>
        <v>#VALUE!</v>
      </c>
      <c r="V170" s="44" t="e">
        <f t="shared" ca="1" si="143"/>
        <v>#VALUE!</v>
      </c>
      <c r="W170" s="48">
        <f t="shared" ca="1" si="140"/>
        <v>1</v>
      </c>
      <c r="X170" s="49" t="e">
        <f t="shared" ca="1" si="163"/>
        <v>#VALUE!</v>
      </c>
      <c r="Y170" s="198"/>
    </row>
    <row r="171" spans="1:25" ht="15.6" customHeight="1" x14ac:dyDescent="0.25">
      <c r="A171" s="200" t="s">
        <v>95</v>
      </c>
      <c r="B171" s="60">
        <f>IF(Fixture!C170,Fixture!C170,"")</f>
        <v>45858</v>
      </c>
      <c r="C171" s="58">
        <v>0.47916666666666669</v>
      </c>
      <c r="D171" s="82" t="str">
        <f t="shared" ca="1" si="115"/>
        <v>Finalizado</v>
      </c>
      <c r="E171" s="197" t="s">
        <v>114</v>
      </c>
      <c r="F171" s="43">
        <v>150</v>
      </c>
      <c r="G171" s="42"/>
      <c r="H171" s="44" t="e">
        <f ca="1">IF($D171="Finalizado",_xlfn.XLOOKUP(G171,Resumen!$A$6:$A$22,Resumen!CP$7:CP$22,0),"")</f>
        <v>#VALUE!</v>
      </c>
      <c r="I171" s="44" t="e">
        <f ca="1">IF($D171="Finalizado",_xlfn.XLOOKUP(G171,Resumen!$A$6:$A$22,Resumen!CQ$7:CQ$22,0),"")</f>
        <v>#VALUE!</v>
      </c>
      <c r="J171" s="44" t="e">
        <f ca="1">IF($D171="Finalizado",_xlfn.XLOOKUP(G171,Resumen!$A$6:$A$22,Resumen!CR$7:CR$22,0)+_xlfn.XLOOKUP(G171,Resumen!$A$6:$A$22,Resumen!CS$7:CS$22,0),"")</f>
        <v>#VALUE!</v>
      </c>
      <c r="K171" s="44" t="e">
        <f t="shared" ca="1" si="166"/>
        <v>#VALUE!</v>
      </c>
      <c r="L171" s="44" t="e">
        <f t="shared" ca="1" si="157"/>
        <v>#VALUE!</v>
      </c>
      <c r="M171" s="44" t="e">
        <f t="shared" ca="1" si="158"/>
        <v>#VALUE!</v>
      </c>
      <c r="N171" s="44">
        <f t="shared" ca="1" si="159"/>
        <v>1</v>
      </c>
      <c r="O171" s="45" t="e">
        <f t="shared" ca="1" si="160"/>
        <v>#VALUE!</v>
      </c>
      <c r="P171" s="42"/>
      <c r="Q171" s="44" t="e">
        <f ca="1">IF($D171="Finalizado",_xlfn.XLOOKUP(P171,Resumen!$A$6:$A$22,Resumen!CP$7:CP$22,0),"")</f>
        <v>#VALUE!</v>
      </c>
      <c r="R171" s="44" t="e">
        <f ca="1">IF($D171="Finalizado",_xlfn.XLOOKUP(P171,Resumen!$A$6:$A$22,Resumen!CQ$7:CQ$22,0),"")</f>
        <v>#VALUE!</v>
      </c>
      <c r="S171" s="44" t="e">
        <f ca="1">IF($D171="Finalizado",_xlfn.XLOOKUP(P171,Resumen!$A$6:$A$22,Resumen!CR$7:CR$22,0)+_xlfn.XLOOKUP(P171,Resumen!$A$6:$A$22,Resumen!CS$7:CS$22,0),"")</f>
        <v>#VALUE!</v>
      </c>
      <c r="T171" s="44" t="e">
        <f t="shared" ca="1" si="139"/>
        <v>#VALUE!</v>
      </c>
      <c r="U171" s="44" t="e">
        <f t="shared" ca="1" si="142"/>
        <v>#VALUE!</v>
      </c>
      <c r="V171" s="44" t="e">
        <f t="shared" ca="1" si="143"/>
        <v>#VALUE!</v>
      </c>
      <c r="W171" s="44">
        <f t="shared" ca="1" si="140"/>
        <v>1</v>
      </c>
      <c r="X171" s="45" t="e">
        <f t="shared" ca="1" si="163"/>
        <v>#VALUE!</v>
      </c>
      <c r="Y171" s="197" t="str">
        <f t="shared" ref="Y171" si="168">A171</f>
        <v>Fecha 24</v>
      </c>
    </row>
    <row r="172" spans="1:25" ht="15.6" customHeight="1" thickBot="1" x14ac:dyDescent="0.3">
      <c r="A172" s="201"/>
      <c r="B172" s="61">
        <f>IF(Fixture!C171,Fixture!C171,"")</f>
        <v>45865</v>
      </c>
      <c r="C172" s="58">
        <v>0.53125</v>
      </c>
      <c r="D172" s="82" t="str">
        <f t="shared" ca="1" si="115"/>
        <v>Finalizado</v>
      </c>
      <c r="E172" s="198"/>
      <c r="F172" s="47">
        <v>151</v>
      </c>
      <c r="G172" s="42"/>
      <c r="H172" s="48" t="e">
        <f ca="1">IF($D172="Finalizado",_xlfn.XLOOKUP(G172,Resumen!$A$6:$A$22,Resumen!CP$7:CP$22,0),"")</f>
        <v>#VALUE!</v>
      </c>
      <c r="I172" s="48" t="e">
        <f ca="1">IF($D172="Finalizado",_xlfn.XLOOKUP(G172,Resumen!$A$6:$A$22,Resumen!CQ$7:CQ$22,0),"")</f>
        <v>#VALUE!</v>
      </c>
      <c r="J172" s="48" t="e">
        <f ca="1">IF($D172="Finalizado",_xlfn.XLOOKUP(G172,Resumen!$A$6:$A$22,Resumen!CR$7:CR$22,0)+_xlfn.XLOOKUP(G172,Resumen!$A$6:$A$22,Resumen!CS$7:CS$22,0),"")</f>
        <v>#VALUE!</v>
      </c>
      <c r="K172" s="48" t="e">
        <f t="shared" ca="1" si="166"/>
        <v>#VALUE!</v>
      </c>
      <c r="L172" s="48" t="e">
        <f t="shared" ca="1" si="157"/>
        <v>#VALUE!</v>
      </c>
      <c r="M172" s="48" t="e">
        <f t="shared" ca="1" si="158"/>
        <v>#VALUE!</v>
      </c>
      <c r="N172" s="48">
        <f t="shared" ca="1" si="159"/>
        <v>1</v>
      </c>
      <c r="O172" s="49" t="e">
        <f t="shared" ca="1" si="160"/>
        <v>#VALUE!</v>
      </c>
      <c r="P172" s="42"/>
      <c r="Q172" s="48" t="e">
        <f ca="1">IF($D172="Finalizado",_xlfn.XLOOKUP(P172,Resumen!$A$6:$A$22,Resumen!CP$7:CP$22,0),"")</f>
        <v>#VALUE!</v>
      </c>
      <c r="R172" s="48" t="e">
        <f ca="1">IF($D172="Finalizado",_xlfn.XLOOKUP(P172,Resumen!$A$6:$A$22,Resumen!CQ$7:CQ$22,0),"")</f>
        <v>#VALUE!</v>
      </c>
      <c r="S172" s="48" t="e">
        <f ca="1">IF($D172="Finalizado",_xlfn.XLOOKUP(P172,Resumen!$A$6:$A$22,Resumen!CR$7:CR$22,0)+_xlfn.XLOOKUP(P172,Resumen!$A$6:$A$22,Resumen!CS$7:CS$22,0),"")</f>
        <v>#VALUE!</v>
      </c>
      <c r="T172" s="44" t="e">
        <f t="shared" ca="1" si="139"/>
        <v>#VALUE!</v>
      </c>
      <c r="U172" s="44" t="e">
        <f t="shared" ca="1" si="142"/>
        <v>#VALUE!</v>
      </c>
      <c r="V172" s="44" t="e">
        <f t="shared" ca="1" si="143"/>
        <v>#VALUE!</v>
      </c>
      <c r="W172" s="44">
        <f t="shared" ca="1" si="140"/>
        <v>1</v>
      </c>
      <c r="X172" s="49" t="e">
        <f t="shared" ca="1" si="163"/>
        <v>#VALUE!</v>
      </c>
      <c r="Y172" s="198"/>
    </row>
    <row r="173" spans="1:25" ht="15.6" customHeight="1" thickBot="1" x14ac:dyDescent="0.3">
      <c r="A173" s="202"/>
      <c r="B173" s="60"/>
      <c r="C173" s="58"/>
      <c r="D173" s="82"/>
      <c r="E173" s="197"/>
      <c r="F173" s="43"/>
      <c r="G173" s="42"/>
      <c r="H173" s="48"/>
      <c r="I173" s="48"/>
      <c r="J173" s="48"/>
      <c r="K173" s="48"/>
      <c r="L173" s="48"/>
      <c r="M173" s="48"/>
      <c r="N173" s="48"/>
      <c r="O173" s="49"/>
      <c r="P173" s="42"/>
      <c r="Q173" s="48"/>
      <c r="R173" s="48"/>
      <c r="S173" s="48"/>
      <c r="T173" s="44"/>
      <c r="U173" s="44"/>
      <c r="V173" s="44"/>
      <c r="W173" s="44"/>
      <c r="X173" s="49"/>
      <c r="Y173" s="197"/>
    </row>
    <row r="174" spans="1:25" ht="16.149999999999999" customHeight="1" thickBot="1" x14ac:dyDescent="0.3">
      <c r="A174" s="203"/>
      <c r="B174" s="61"/>
      <c r="C174" s="58"/>
      <c r="D174" s="82"/>
      <c r="E174" s="198"/>
      <c r="F174" s="47"/>
      <c r="G174" s="42"/>
      <c r="H174" s="48"/>
      <c r="I174" s="48"/>
      <c r="J174" s="48"/>
      <c r="K174" s="48"/>
      <c r="L174" s="48"/>
      <c r="M174" s="48"/>
      <c r="N174" s="48"/>
      <c r="O174" s="49"/>
      <c r="P174" s="42"/>
      <c r="Q174" s="48"/>
      <c r="R174" s="48"/>
      <c r="S174" s="48"/>
      <c r="T174" s="44"/>
      <c r="U174" s="44"/>
      <c r="V174" s="44"/>
      <c r="W174" s="44"/>
      <c r="X174" s="49"/>
      <c r="Y174" s="198"/>
    </row>
    <row r="175" spans="1:25" ht="16.149999999999999" customHeight="1" thickBot="1" x14ac:dyDescent="0.3">
      <c r="A175" s="203"/>
      <c r="B175" s="61"/>
      <c r="C175" s="59"/>
      <c r="D175" s="82"/>
      <c r="E175" s="198"/>
      <c r="F175" s="51"/>
      <c r="G175" s="42"/>
      <c r="H175" s="48"/>
      <c r="I175" s="48"/>
      <c r="J175" s="48"/>
      <c r="K175" s="48"/>
      <c r="L175" s="48"/>
      <c r="M175" s="48"/>
      <c r="N175" s="48"/>
      <c r="O175" s="49"/>
      <c r="P175" s="42"/>
      <c r="Q175" s="48"/>
      <c r="R175" s="48"/>
      <c r="S175" s="48"/>
      <c r="T175" s="44"/>
      <c r="U175" s="44"/>
      <c r="V175" s="44"/>
      <c r="W175" s="44"/>
      <c r="X175" s="49"/>
      <c r="Y175" s="198"/>
    </row>
    <row r="176" spans="1:25" ht="16.149999999999999" customHeight="1" thickBot="1" x14ac:dyDescent="0.3">
      <c r="A176" s="203"/>
      <c r="B176" s="61"/>
      <c r="C176" s="58"/>
      <c r="D176" s="82"/>
      <c r="E176" s="198"/>
      <c r="F176" s="50"/>
      <c r="G176" s="42"/>
      <c r="H176" s="48"/>
      <c r="I176" s="48"/>
      <c r="J176" s="48"/>
      <c r="K176" s="48"/>
      <c r="L176" s="48"/>
      <c r="M176" s="48"/>
      <c r="N176" s="48"/>
      <c r="O176" s="49"/>
      <c r="P176" s="42"/>
      <c r="Q176" s="48"/>
      <c r="R176" s="48"/>
      <c r="S176" s="48"/>
      <c r="T176" s="44"/>
      <c r="U176" s="44"/>
      <c r="V176" s="44"/>
      <c r="W176" s="44"/>
      <c r="X176" s="49"/>
      <c r="Y176" s="198"/>
    </row>
    <row r="177" spans="1:25" ht="16.149999999999999" customHeight="1" thickBot="1" x14ac:dyDescent="0.3">
      <c r="A177" s="203"/>
      <c r="B177" s="61"/>
      <c r="C177" s="58"/>
      <c r="D177" s="82"/>
      <c r="E177" s="198"/>
      <c r="F177" s="47"/>
      <c r="G177" s="42"/>
      <c r="H177" s="48"/>
      <c r="I177" s="48"/>
      <c r="J177" s="48"/>
      <c r="K177" s="48"/>
      <c r="L177" s="48"/>
      <c r="M177" s="48"/>
      <c r="N177" s="48"/>
      <c r="O177" s="49"/>
      <c r="P177" s="42"/>
      <c r="Q177" s="48"/>
      <c r="R177" s="48"/>
      <c r="S177" s="48"/>
      <c r="T177" s="44"/>
      <c r="U177" s="44"/>
      <c r="V177" s="44"/>
      <c r="W177" s="44"/>
      <c r="X177" s="49"/>
      <c r="Y177" s="198"/>
    </row>
    <row r="178" spans="1:25" ht="15.6" customHeight="1" thickBot="1" x14ac:dyDescent="0.3">
      <c r="A178" s="203"/>
      <c r="B178" s="61"/>
      <c r="C178" s="58"/>
      <c r="D178" s="82"/>
      <c r="E178" s="198"/>
      <c r="F178" s="43"/>
      <c r="G178" s="42"/>
      <c r="H178" s="48"/>
      <c r="I178" s="48"/>
      <c r="J178" s="48"/>
      <c r="K178" s="48"/>
      <c r="L178" s="48"/>
      <c r="M178" s="48"/>
      <c r="N178" s="48"/>
      <c r="O178" s="49"/>
      <c r="P178" s="42"/>
      <c r="Q178" s="48"/>
      <c r="R178" s="48"/>
      <c r="S178" s="48"/>
      <c r="T178" s="44"/>
      <c r="U178" s="44"/>
      <c r="V178" s="44"/>
      <c r="W178" s="44"/>
      <c r="X178" s="49"/>
      <c r="Y178" s="198"/>
    </row>
    <row r="179" spans="1:25" ht="15.6" customHeight="1" thickBot="1" x14ac:dyDescent="0.3">
      <c r="A179" s="144"/>
      <c r="B179" s="61"/>
      <c r="C179" s="58"/>
      <c r="D179" s="82"/>
      <c r="E179" s="221"/>
      <c r="F179" s="47"/>
      <c r="G179" s="48"/>
      <c r="H179" s="48"/>
      <c r="I179" s="48"/>
      <c r="J179" s="48"/>
      <c r="K179" s="48"/>
      <c r="L179" s="48"/>
      <c r="M179" s="48"/>
      <c r="N179" s="48"/>
      <c r="O179" s="49"/>
      <c r="P179" s="42"/>
      <c r="Q179" s="48"/>
      <c r="R179" s="48"/>
      <c r="S179" s="48"/>
      <c r="T179" s="44"/>
      <c r="U179" s="44"/>
      <c r="V179" s="44"/>
      <c r="W179" s="44"/>
      <c r="X179" s="49"/>
      <c r="Y179" s="221"/>
    </row>
    <row r="180" spans="1:25" x14ac:dyDescent="0.25">
      <c r="A180" s="56"/>
    </row>
  </sheetData>
  <protectedRanges>
    <protectedRange sqref="AC145:AC148 AC123:AC131 AC134:AC142 AC78:AC94" name="PlayerNames" securityDescriptor="O:WDG:WDD:(A;;CC;;;WD)"/>
  </protectedRanges>
  <mergeCells count="80">
    <mergeCell ref="A173:A179"/>
    <mergeCell ref="E173:E179"/>
    <mergeCell ref="Y173:Y179"/>
    <mergeCell ref="A169:A170"/>
    <mergeCell ref="E169:E170"/>
    <mergeCell ref="Y169:Y170"/>
    <mergeCell ref="A171:A172"/>
    <mergeCell ref="E171:E172"/>
    <mergeCell ref="Y171:Y172"/>
    <mergeCell ref="A157:A162"/>
    <mergeCell ref="E157:E162"/>
    <mergeCell ref="Y157:Y162"/>
    <mergeCell ref="A163:A168"/>
    <mergeCell ref="E163:E168"/>
    <mergeCell ref="Y163:Y168"/>
    <mergeCell ref="A145:A150"/>
    <mergeCell ref="E145:E150"/>
    <mergeCell ref="Y145:Y150"/>
    <mergeCell ref="A151:A156"/>
    <mergeCell ref="E151:E156"/>
    <mergeCell ref="Y151:Y156"/>
    <mergeCell ref="A131:A138"/>
    <mergeCell ref="E131:E138"/>
    <mergeCell ref="Y131:Y138"/>
    <mergeCell ref="A139:A144"/>
    <mergeCell ref="E139:E144"/>
    <mergeCell ref="Y139:Y144"/>
    <mergeCell ref="A115:A122"/>
    <mergeCell ref="E115:E122"/>
    <mergeCell ref="Y115:Y122"/>
    <mergeCell ref="A123:A130"/>
    <mergeCell ref="E123:E130"/>
    <mergeCell ref="Y123:Y130"/>
    <mergeCell ref="A99:A106"/>
    <mergeCell ref="E99:E106"/>
    <mergeCell ref="Y99:Y106"/>
    <mergeCell ref="A107:A114"/>
    <mergeCell ref="E107:E114"/>
    <mergeCell ref="Y107:Y114"/>
    <mergeCell ref="A83:A90"/>
    <mergeCell ref="E83:E90"/>
    <mergeCell ref="Y83:Y90"/>
    <mergeCell ref="A91:A98"/>
    <mergeCell ref="E91:E98"/>
    <mergeCell ref="Y91:Y98"/>
    <mergeCell ref="A67:A74"/>
    <mergeCell ref="E67:E74"/>
    <mergeCell ref="Y67:Y74"/>
    <mergeCell ref="A75:A82"/>
    <mergeCell ref="E75:E82"/>
    <mergeCell ref="Y75:Y82"/>
    <mergeCell ref="A51:A58"/>
    <mergeCell ref="E51:E58"/>
    <mergeCell ref="Y51:Y58"/>
    <mergeCell ref="AA54:AL54"/>
    <mergeCell ref="A59:A66"/>
    <mergeCell ref="E59:E66"/>
    <mergeCell ref="Y59:Y66"/>
    <mergeCell ref="AA63:AL63"/>
    <mergeCell ref="AA34:AL34"/>
    <mergeCell ref="A35:A42"/>
    <mergeCell ref="E35:E42"/>
    <mergeCell ref="Y35:Y42"/>
    <mergeCell ref="A43:A50"/>
    <mergeCell ref="E43:E50"/>
    <mergeCell ref="Y43:Y50"/>
    <mergeCell ref="A19:A26"/>
    <mergeCell ref="E19:E26"/>
    <mergeCell ref="Y19:Y26"/>
    <mergeCell ref="A27:A34"/>
    <mergeCell ref="E27:E34"/>
    <mergeCell ref="Y27:Y34"/>
    <mergeCell ref="A11:A18"/>
    <mergeCell ref="E11:E18"/>
    <mergeCell ref="Y11:Y18"/>
    <mergeCell ref="Z1:Z2"/>
    <mergeCell ref="AA1:AL1"/>
    <mergeCell ref="A3:A10"/>
    <mergeCell ref="E3:E10"/>
    <mergeCell ref="Y3:Y10"/>
  </mergeCells>
  <conditionalFormatting sqref="D3:D179">
    <cfRule type="cellIs" dxfId="2" priority="1" operator="equal">
      <formula>"Proximamente.."</formula>
    </cfRule>
    <cfRule type="cellIs" dxfId="1" priority="2" operator="equal">
      <formula>"Proximamente..."</formula>
    </cfRule>
    <cfRule type="cellIs" dxfId="0" priority="3" operator="equal">
      <formula>"Finalizado"</formula>
    </cfRule>
  </conditionalFormatting>
  <hyperlinks>
    <hyperlink ref="Z1" location="Equipos!A1" display="Volver" xr:uid="{086080A8-304B-400B-9825-13129BD01DE3}"/>
  </hyperlinks>
  <pageMargins left="0.7" right="0.7" top="0.75" bottom="0.75" header="0.3" footer="0.3"/>
  <pageSetup orientation="portrait" horizontalDpi="4294967293" vertic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256"/>
  <sheetViews>
    <sheetView zoomScale="95" zoomScaleNormal="9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248" sqref="H248"/>
    </sheetView>
  </sheetViews>
  <sheetFormatPr baseColWidth="10" defaultColWidth="11.42578125" defaultRowHeight="15.75" x14ac:dyDescent="0.25"/>
  <cols>
    <col min="1" max="1" width="5.5703125" style="1" customWidth="1"/>
    <col min="2" max="2" width="19.5703125" style="10" customWidth="1"/>
    <col min="3" max="3" width="14.28515625" style="1" customWidth="1"/>
    <col min="4" max="4" width="13.7109375" style="1" bestFit="1" customWidth="1"/>
    <col min="5" max="5" width="11.140625" style="1" bestFit="1" customWidth="1"/>
    <col min="6" max="6" width="25.7109375" style="1" bestFit="1" customWidth="1"/>
    <col min="7" max="7" width="18.7109375" style="1" bestFit="1" customWidth="1"/>
    <col min="8" max="8" width="6.85546875" style="1" bestFit="1" customWidth="1"/>
    <col min="9" max="9" width="6.7109375" style="1" customWidth="1"/>
    <col min="10" max="10" width="9.42578125" style="1" customWidth="1"/>
    <col min="11" max="11" width="28.42578125" style="1" customWidth="1"/>
    <col min="12" max="12" width="15.42578125" style="1" customWidth="1"/>
    <col min="13" max="13" width="6.85546875" style="1" customWidth="1"/>
    <col min="14" max="14" width="6.5703125" style="1" customWidth="1"/>
    <col min="15" max="15" width="10.7109375" style="1" customWidth="1"/>
    <col min="16" max="16" width="20.140625" style="1" bestFit="1" customWidth="1"/>
    <col min="17" max="17" width="16.140625" style="1" customWidth="1"/>
    <col min="18" max="18" width="20.5703125" style="1" bestFit="1" customWidth="1"/>
    <col min="19" max="19" width="9.140625" style="1" customWidth="1"/>
    <col min="20" max="20" width="10.7109375" style="1" bestFit="1" customWidth="1"/>
    <col min="21" max="21" width="20.140625" style="1" bestFit="1" customWidth="1"/>
    <col min="22" max="22" width="11.42578125" style="1"/>
    <col min="23" max="23" width="16.140625" style="1" bestFit="1" customWidth="1"/>
    <col min="24" max="16384" width="11.42578125" style="1"/>
  </cols>
  <sheetData>
    <row r="1" spans="1:23" x14ac:dyDescent="0.25">
      <c r="A1" s="1" t="s">
        <v>26</v>
      </c>
      <c r="B1" s="10" t="s">
        <v>3</v>
      </c>
      <c r="C1" s="1" t="s">
        <v>2</v>
      </c>
      <c r="D1" s="1" t="s">
        <v>21</v>
      </c>
      <c r="E1" s="1" t="s">
        <v>29</v>
      </c>
      <c r="F1" s="1" t="s">
        <v>231</v>
      </c>
      <c r="G1" s="1" t="s">
        <v>2</v>
      </c>
      <c r="H1" s="1" t="s">
        <v>21</v>
      </c>
      <c r="I1" s="1" t="s">
        <v>27</v>
      </c>
      <c r="J1" s="1" t="s">
        <v>31</v>
      </c>
      <c r="K1" s="1" t="s">
        <v>34</v>
      </c>
      <c r="L1" s="1" t="s">
        <v>2</v>
      </c>
      <c r="M1" s="1" t="s">
        <v>35</v>
      </c>
      <c r="N1" s="1" t="s">
        <v>28</v>
      </c>
      <c r="O1" s="1" t="s">
        <v>33</v>
      </c>
      <c r="P1" s="1" t="s">
        <v>38</v>
      </c>
      <c r="Q1" s="1" t="s">
        <v>2</v>
      </c>
      <c r="R1" s="1" t="s">
        <v>35</v>
      </c>
      <c r="S1" s="1" t="s">
        <v>82</v>
      </c>
      <c r="T1" s="1" t="s">
        <v>32</v>
      </c>
      <c r="U1" s="1" t="s">
        <v>38</v>
      </c>
      <c r="V1" s="1" t="s">
        <v>2</v>
      </c>
      <c r="W1" s="1" t="s">
        <v>39</v>
      </c>
    </row>
    <row r="2" spans="1:23" x14ac:dyDescent="0.25">
      <c r="A2" s="17">
        <v>1</v>
      </c>
      <c r="B2" s="18" t="str">
        <f>Jugadores!A3</f>
        <v>Cristián Álzate</v>
      </c>
      <c r="C2" s="17" t="str">
        <f>+Jugadores!$A$2</f>
        <v>Los Amigos</v>
      </c>
      <c r="D2" s="11">
        <f>VLOOKUP(B2,'Los Amigos'!$B$4:$G$18,3,FALSE)</f>
        <v>8</v>
      </c>
      <c r="E2" s="11">
        <f>IF(D2&gt;0,RANK(D2,$D$2:$D$241)+COUNTIF($D$2:D2,D2)-1,"")</f>
        <v>32</v>
      </c>
      <c r="F2" s="11" t="str">
        <f>IFERROR(INDEX(B$2:B$240,MATCH($A2,$E$2:$E$240,0)),"")</f>
        <v>Alexander Salgado</v>
      </c>
      <c r="G2" s="11" t="str">
        <f>IFERROR(INDEX(C$2:C$240,MATCH($F2,$B$2:$B$240,0)),"")</f>
        <v>La Unión FC</v>
      </c>
      <c r="H2" s="36">
        <f>IFERROR(INDEX(D$2:D$240,MATCH($F2,$B$2:$B$240,0)),"")</f>
        <v>49</v>
      </c>
      <c r="I2" s="11">
        <f>VLOOKUP(B2,'Los Amigos'!$B$4:$G$18,4,FALSE)</f>
        <v>2</v>
      </c>
      <c r="J2" s="11">
        <f>IF(I2&gt;0,RANK(I2,$I$2:$I$240)+COUNTIF($I$2:I2,I2)-1,"")</f>
        <v>33</v>
      </c>
      <c r="K2" s="11" t="str">
        <f>IFERROR(INDEX(B$2:B$240,MATCH($A2,$J$2:$J$240,0)),"")</f>
        <v>Carlos Andrés Berrio</v>
      </c>
      <c r="L2" s="11" t="str">
        <f>IFERROR(INDEX(C$2:C$240,MATCH($K2,$B$2:$B$240,0)),"")</f>
        <v>Valentín FC</v>
      </c>
      <c r="M2" s="11">
        <f>IFERROR(INDEX(I$2:I$240,MATCH($K2,$B$2:$B$240,0)),"")</f>
        <v>9</v>
      </c>
      <c r="N2" s="11">
        <f>VLOOKUP(B2,'Los Amigos'!$B$4:$G$18,5,FALSE)</f>
        <v>5</v>
      </c>
      <c r="O2" s="11" t="e">
        <f>IF(N2&gt;0,RANK(N2,$N$2:$N$240)+COUNTIF($N$2:N2,N2)-1,"")</f>
        <v>#N/A</v>
      </c>
      <c r="P2" s="11" t="str">
        <f>IFERROR(INDEX(B$2:B$240,MATCH($A2,$O$2:$O$240,0)),"")</f>
        <v/>
      </c>
      <c r="Q2" s="11" t="str">
        <f>IFERROR(INDEX(C$2:C$240,MATCH($P2,$B$2:$B$240,0)),"")</f>
        <v/>
      </c>
      <c r="R2" s="11" t="str">
        <f>IFERROR(INDEX(N$2:N$240,MATCH($P2,$B$2:$B$240,0)),"")</f>
        <v/>
      </c>
      <c r="S2" s="11">
        <f>VLOOKUP(B2,'Los Amigos'!$B$4:$G$18,6,FALSE)</f>
        <v>0</v>
      </c>
      <c r="T2" s="11" t="str">
        <f>IF(S2&gt;0,RANK(S2,$S$2:$S$240)+COUNTIF($S$2:S2,S2)-1,"")</f>
        <v/>
      </c>
      <c r="U2" s="11" t="str">
        <f>IFERROR(INDEX(B$2:B$240,MATCH($A2,$T$2:$T$240,0)),"")</f>
        <v/>
      </c>
      <c r="V2" s="11" t="str">
        <f>IFERROR(INDEX(C$2:C$240,MATCH($U2,$B$2:$B$240,0)),"")</f>
        <v/>
      </c>
      <c r="W2" s="11" t="str">
        <f>IFERROR(INDEX(S$2:S$240,MATCH($U2,$B$2:$B$240,0)),"")</f>
        <v/>
      </c>
    </row>
    <row r="3" spans="1:23" x14ac:dyDescent="0.25">
      <c r="A3" s="17">
        <v>2</v>
      </c>
      <c r="B3" s="18" t="str">
        <f>Jugadores!A4</f>
        <v>Germán Arenas</v>
      </c>
      <c r="C3" s="17" t="str">
        <f>+Jugadores!$A$2</f>
        <v>Los Amigos</v>
      </c>
      <c r="D3" s="11">
        <f>VLOOKUP(B3,'Los Amigos'!$B$4:$G$18,3,FALSE)</f>
        <v>14</v>
      </c>
      <c r="E3" s="11">
        <f>IF(D3&gt;0,RANK(D3,$D$2:$D$241)+COUNTIF($D$2:D3,D3)-1,"")</f>
        <v>14</v>
      </c>
      <c r="F3" s="11" t="str">
        <f t="shared" ref="F3:F66" si="0">IFERROR(INDEX(B$2:B$240,MATCH($A3,$E$2:$E$240,0)),"")</f>
        <v>Eliecer Serpa</v>
      </c>
      <c r="G3" s="11" t="str">
        <f t="shared" ref="G3:G66" si="1">IFERROR(INDEX(C$2:C$240,MATCH($F3,$B$2:$B$240,0)),"")</f>
        <v>Ron Star</v>
      </c>
      <c r="H3" s="36">
        <f t="shared" ref="H3:H66" si="2">IFERROR(INDEX(D$2:D$240,MATCH($F3,$B$2:$B$240,0)),"")</f>
        <v>41</v>
      </c>
      <c r="I3" s="11">
        <f>VLOOKUP(B3,'Los Amigos'!$B$4:$G$18,4,FALSE)</f>
        <v>0</v>
      </c>
      <c r="J3" s="11" t="str">
        <f>IF(I3&gt;0,RANK(I3,$I$2:$I$240)+COUNTIF($I$2:I3,I3)-1,"")</f>
        <v/>
      </c>
      <c r="K3" s="11" t="str">
        <f t="shared" ref="K3:K66" si="3">IFERROR(INDEX(B$2:B$240,MATCH($A3,$J$2:$J$240,0)),"")</f>
        <v>Julián Esteban Gil</v>
      </c>
      <c r="L3" s="11" t="str">
        <f t="shared" ref="L3:L66" si="4">IFERROR(INDEX(C$2:C$240,MATCH($K3,$B$2:$B$240,0)),"")</f>
        <v>Hojas Anchas</v>
      </c>
      <c r="M3" s="11">
        <f t="shared" ref="M3:M66" si="5">IFERROR(INDEX(I$2:I$240,MATCH($K3,$B$2:$B$240,0)),"")</f>
        <v>7</v>
      </c>
      <c r="N3" s="11">
        <f>VLOOKUP(B3,'Los Amigos'!$B$4:$G$18,5,FALSE)</f>
        <v>4</v>
      </c>
      <c r="O3" s="11" t="e">
        <f>IF(N3&gt;0,RANK(N3,$N$2:$N$240)+COUNTIF($N$2:N3,N3)-1,"")</f>
        <v>#N/A</v>
      </c>
      <c r="P3" s="11" t="str">
        <f t="shared" ref="P3:P66" si="6">IFERROR(INDEX(B$2:B$240,MATCH($A3,$O$2:$O$240,0)),"")</f>
        <v/>
      </c>
      <c r="Q3" s="11" t="str">
        <f t="shared" ref="Q3:Q66" si="7">IFERROR(INDEX(C$2:C$240,MATCH($P3,$B$2:$B$240,0)),"")</f>
        <v/>
      </c>
      <c r="R3" s="11" t="str">
        <f t="shared" ref="R3:R66" si="8">IFERROR(INDEX(N$2:N$240,MATCH($P3,$B$2:$B$240,0)),"")</f>
        <v/>
      </c>
      <c r="S3" s="11">
        <f>VLOOKUP(B3,'Los Amigos'!$B$4:$G$18,6,FALSE)</f>
        <v>0</v>
      </c>
      <c r="T3" s="11" t="str">
        <f>IF(S3&gt;0,RANK(S3,$S$2:$S$240)+COUNTIF($S$2:S3,S3)-1,"")</f>
        <v/>
      </c>
      <c r="U3" s="11" t="str">
        <f t="shared" ref="U3:U66" si="9">IFERROR(INDEX(B$2:B$240,MATCH($A3,$T$2:$T$240,0)),"")</f>
        <v/>
      </c>
      <c r="V3" s="11" t="str">
        <f t="shared" ref="V3:V66" si="10">IFERROR(INDEX(C$2:C$240,MATCH($U3,$B$2:$B$240,0)),"")</f>
        <v/>
      </c>
      <c r="W3" s="11" t="str">
        <f t="shared" ref="W3:W66" si="11">IFERROR(INDEX(S$2:S$226,MATCH($U3,$B$2:$B$226,0)),"")</f>
        <v/>
      </c>
    </row>
    <row r="4" spans="1:23" x14ac:dyDescent="0.25">
      <c r="A4" s="17">
        <v>3</v>
      </c>
      <c r="B4" s="18" t="str">
        <f>Jugadores!A5</f>
        <v>Juan Felipe Rincón</v>
      </c>
      <c r="C4" s="17" t="str">
        <f>+Jugadores!$A$2</f>
        <v>Los Amigos</v>
      </c>
      <c r="D4" s="11">
        <f>VLOOKUP(B4,'Los Amigos'!$B$4:$G$18,3,FALSE)</f>
        <v>4</v>
      </c>
      <c r="E4" s="11">
        <f>IF(D4&gt;0,RANK(D4,$D$2:$D$241)+COUNTIF($D$2:D4,D4)-1,"")</f>
        <v>70</v>
      </c>
      <c r="F4" s="11" t="str">
        <f t="shared" si="0"/>
        <v>Hernán Sánchez</v>
      </c>
      <c r="G4" s="11" t="str">
        <f t="shared" si="1"/>
        <v>Los Amigos</v>
      </c>
      <c r="H4" s="36">
        <f t="shared" si="2"/>
        <v>30</v>
      </c>
      <c r="I4" s="11">
        <f>VLOOKUP(B4,'Los Amigos'!$B$4:$G$18,4,FALSE)</f>
        <v>1</v>
      </c>
      <c r="J4" s="11">
        <f>IF(I4&gt;0,RANK(I4,$I$2:$I$240)+COUNTIF($I$2:I4,I4)-1,"")</f>
        <v>73</v>
      </c>
      <c r="K4" s="11" t="str">
        <f t="shared" si="3"/>
        <v>Argemiro Medina</v>
      </c>
      <c r="L4" s="11" t="str">
        <f t="shared" si="4"/>
        <v>Ron Star</v>
      </c>
      <c r="M4" s="11">
        <f t="shared" si="5"/>
        <v>5</v>
      </c>
      <c r="N4" s="11">
        <f>VLOOKUP(B4,'Los Amigos'!$B$4:$G$18,5,FALSE)</f>
        <v>1</v>
      </c>
      <c r="O4" s="11" t="e">
        <f>IF(N4&gt;0,RANK(N4,$N$2:$N$240)+COUNTIF($N$2:N4,N4)-1,"")</f>
        <v>#N/A</v>
      </c>
      <c r="P4" s="11" t="str">
        <f t="shared" si="6"/>
        <v/>
      </c>
      <c r="Q4" s="11" t="str">
        <f t="shared" si="7"/>
        <v/>
      </c>
      <c r="R4" s="11" t="str">
        <f t="shared" si="8"/>
        <v/>
      </c>
      <c r="S4" s="11">
        <f>VLOOKUP(B4,'Los Amigos'!$B$4:$G$18,6,FALSE)</f>
        <v>0</v>
      </c>
      <c r="T4" s="11" t="str">
        <f>IF(S4&gt;0,RANK(S4,$S$2:$S$240)+COUNTIF($S$2:S4,S4)-1,"")</f>
        <v/>
      </c>
      <c r="U4" s="11" t="str">
        <f t="shared" si="9"/>
        <v/>
      </c>
      <c r="V4" s="11" t="str">
        <f t="shared" si="10"/>
        <v/>
      </c>
      <c r="W4" s="11" t="str">
        <f t="shared" si="11"/>
        <v/>
      </c>
    </row>
    <row r="5" spans="1:23" x14ac:dyDescent="0.25">
      <c r="A5" s="17">
        <v>4</v>
      </c>
      <c r="B5" s="18" t="str">
        <f>Jugadores!A6</f>
        <v>Santiago Cardona</v>
      </c>
      <c r="C5" s="17" t="str">
        <f>+Jugadores!$A$2</f>
        <v>Los Amigos</v>
      </c>
      <c r="D5" s="11">
        <f>VLOOKUP(B5,'Los Amigos'!$B$4:$G$18,3,FALSE)</f>
        <v>3</v>
      </c>
      <c r="E5" s="11">
        <f>IF(D5&gt;0,RANK(D5,$D$2:$D$241)+COUNTIF($D$2:D5,D5)-1,"")</f>
        <v>90</v>
      </c>
      <c r="F5" s="11" t="str">
        <f t="shared" si="0"/>
        <v>Jaider Carvajal Ríos</v>
      </c>
      <c r="G5" s="11" t="str">
        <f t="shared" si="1"/>
        <v>Valentín FC</v>
      </c>
      <c r="H5" s="36">
        <f t="shared" si="2"/>
        <v>27</v>
      </c>
      <c r="I5" s="11">
        <f>VLOOKUP(B5,'Los Amigos'!$B$4:$G$18,4,FALSE)</f>
        <v>2</v>
      </c>
      <c r="J5" s="11">
        <f>IF(I5&gt;0,RANK(I5,$I$2:$I$240)+COUNTIF($I$2:I5,I5)-1,"")</f>
        <v>34</v>
      </c>
      <c r="K5" s="11" t="str">
        <f t="shared" si="3"/>
        <v>Jaider Carvajal Ríos</v>
      </c>
      <c r="L5" s="11" t="str">
        <f t="shared" si="4"/>
        <v>Valentín FC</v>
      </c>
      <c r="M5" s="11">
        <f t="shared" si="5"/>
        <v>5</v>
      </c>
      <c r="N5" s="11">
        <f>VLOOKUP(B5,'Los Amigos'!$B$4:$G$18,5,FALSE)</f>
        <v>2</v>
      </c>
      <c r="O5" s="11" t="e">
        <f>IF(N5&gt;0,RANK(N5,$N$2:$N$240)+COUNTIF($N$2:N5,N5)-1,"")</f>
        <v>#N/A</v>
      </c>
      <c r="P5" s="11" t="str">
        <f t="shared" si="6"/>
        <v/>
      </c>
      <c r="Q5" s="11" t="str">
        <f t="shared" si="7"/>
        <v/>
      </c>
      <c r="R5" s="11" t="str">
        <f t="shared" si="8"/>
        <v/>
      </c>
      <c r="S5" s="11">
        <f>VLOOKUP(B5,'Los Amigos'!$B$4:$G$18,6,FALSE)</f>
        <v>0</v>
      </c>
      <c r="T5" s="11" t="str">
        <f>IF(S5&gt;0,RANK(S5,$S$2:$S$240)+COUNTIF($S$2:S5,S5)-1,"")</f>
        <v/>
      </c>
      <c r="U5" s="11" t="str">
        <f t="shared" si="9"/>
        <v/>
      </c>
      <c r="V5" s="11" t="str">
        <f t="shared" si="10"/>
        <v/>
      </c>
      <c r="W5" s="11" t="str">
        <f t="shared" si="11"/>
        <v/>
      </c>
    </row>
    <row r="6" spans="1:23" x14ac:dyDescent="0.25">
      <c r="A6" s="17">
        <v>5</v>
      </c>
      <c r="B6" s="18" t="str">
        <f>Jugadores!A7</f>
        <v xml:space="preserve">Héctor Iván Castrillón Hernández </v>
      </c>
      <c r="C6" s="17" t="str">
        <f>+Jugadores!$A$2</f>
        <v>Los Amigos</v>
      </c>
      <c r="D6" s="11">
        <f>VLOOKUP(B6,'Los Amigos'!$B$4:$G$18,3,FALSE)</f>
        <v>3</v>
      </c>
      <c r="E6" s="11">
        <f>IF(D6&gt;0,RANK(D6,$D$2:$D$241)+COUNTIF($D$2:D6,D6)-1,"")</f>
        <v>91</v>
      </c>
      <c r="F6" s="11" t="str">
        <f t="shared" si="0"/>
        <v>Santiago Lopera</v>
      </c>
      <c r="G6" s="11" t="str">
        <f t="shared" si="1"/>
        <v>Konami</v>
      </c>
      <c r="H6" s="36">
        <f t="shared" si="2"/>
        <v>25</v>
      </c>
      <c r="I6" s="11">
        <f>VLOOKUP(B6,'Los Amigos'!$B$4:$G$18,4,FALSE)</f>
        <v>0</v>
      </c>
      <c r="J6" s="11" t="str">
        <f>IF(I6&gt;0,RANK(I6,$I$2:$I$240)+COUNTIF($I$2:I6,I6)-1,"")</f>
        <v/>
      </c>
      <c r="K6" s="11" t="str">
        <f t="shared" si="3"/>
        <v>Luis Fernando Madera</v>
      </c>
      <c r="L6" s="11" t="str">
        <f t="shared" si="4"/>
        <v>La Unión FC</v>
      </c>
      <c r="M6" s="11">
        <f t="shared" si="5"/>
        <v>5</v>
      </c>
      <c r="N6" s="11">
        <f>VLOOKUP(B6,'Los Amigos'!$B$4:$G$18,5,FALSE)</f>
        <v>1</v>
      </c>
      <c r="O6" s="11" t="e">
        <f>IF(N6&gt;0,RANK(N6,$N$2:$N$240)+COUNTIF($N$2:N6,N6)-1,"")</f>
        <v>#N/A</v>
      </c>
      <c r="P6" s="11" t="str">
        <f t="shared" si="6"/>
        <v/>
      </c>
      <c r="Q6" s="11" t="str">
        <f t="shared" si="7"/>
        <v/>
      </c>
      <c r="R6" s="11" t="str">
        <f t="shared" si="8"/>
        <v/>
      </c>
      <c r="S6" s="11">
        <f>VLOOKUP(B6,'Los Amigos'!$B$4:$G$18,6,FALSE)</f>
        <v>0</v>
      </c>
      <c r="T6" s="11" t="str">
        <f>IF(S6&gt;0,RANK(S6,$S$2:$S$240)+COUNTIF($S$2:S6,S6)-1,"")</f>
        <v/>
      </c>
      <c r="U6" s="11" t="str">
        <f t="shared" si="9"/>
        <v/>
      </c>
      <c r="V6" s="11" t="str">
        <f t="shared" si="10"/>
        <v/>
      </c>
      <c r="W6" s="11" t="str">
        <f t="shared" si="11"/>
        <v/>
      </c>
    </row>
    <row r="7" spans="1:23" x14ac:dyDescent="0.25">
      <c r="A7" s="17">
        <v>6</v>
      </c>
      <c r="B7" s="18" t="str">
        <f>Jugadores!A8</f>
        <v>Sebastián Sepulveda</v>
      </c>
      <c r="C7" s="17" t="str">
        <f>+Jugadores!$A$2</f>
        <v>Los Amigos</v>
      </c>
      <c r="D7" s="11">
        <f>VLOOKUP(B7,'Los Amigos'!$B$4:$G$18,3,FALSE)</f>
        <v>10</v>
      </c>
      <c r="E7" s="11">
        <f>IF(D7&gt;0,RANK(D7,$D$2:$D$241)+COUNTIF($D$2:D7,D7)-1,"")</f>
        <v>24</v>
      </c>
      <c r="F7" s="11" t="str">
        <f t="shared" si="0"/>
        <v>Alexander Silva</v>
      </c>
      <c r="G7" s="11" t="str">
        <f t="shared" si="1"/>
        <v>Villanueva</v>
      </c>
      <c r="H7" s="36">
        <f t="shared" si="2"/>
        <v>24</v>
      </c>
      <c r="I7" s="11">
        <f>VLOOKUP(B7,'Los Amigos'!$B$4:$G$18,4,FALSE)</f>
        <v>1</v>
      </c>
      <c r="J7" s="11">
        <f>IF(I7&gt;0,RANK(I7,$I$2:$I$240)+COUNTIF($I$2:I7,I7)-1,"")</f>
        <v>74</v>
      </c>
      <c r="K7" s="11" t="str">
        <f t="shared" si="3"/>
        <v>Daniel Ossa</v>
      </c>
      <c r="L7" s="11" t="str">
        <f t="shared" si="4"/>
        <v>Los Amigos</v>
      </c>
      <c r="M7" s="11">
        <f t="shared" si="5"/>
        <v>4</v>
      </c>
      <c r="N7" s="11">
        <f>VLOOKUP(B7,'Los Amigos'!$B$4:$G$18,5,FALSE)</f>
        <v>1</v>
      </c>
      <c r="O7" s="11" t="e">
        <f>IF(N7&gt;0,RANK(N7,$N$2:$N$240)+COUNTIF($N$2:N7,N7)-1,"")</f>
        <v>#N/A</v>
      </c>
      <c r="P7" s="11" t="str">
        <f t="shared" si="6"/>
        <v/>
      </c>
      <c r="Q7" s="11" t="str">
        <f t="shared" si="7"/>
        <v/>
      </c>
      <c r="R7" s="11" t="str">
        <f t="shared" si="8"/>
        <v/>
      </c>
      <c r="S7" s="11">
        <f>VLOOKUP(B7,'Los Amigos'!$B$4:$G$18,6,FALSE)</f>
        <v>1</v>
      </c>
      <c r="T7" s="11" t="e">
        <f>IF(S7&gt;0,RANK(S7,$S$2:$S$240)+COUNTIF($S$2:S7,S7)-1,"")</f>
        <v>#N/A</v>
      </c>
      <c r="U7" s="11" t="str">
        <f t="shared" si="9"/>
        <v/>
      </c>
      <c r="V7" s="11" t="str">
        <f t="shared" si="10"/>
        <v/>
      </c>
      <c r="W7" s="11" t="str">
        <f t="shared" si="11"/>
        <v/>
      </c>
    </row>
    <row r="8" spans="1:23" x14ac:dyDescent="0.25">
      <c r="A8" s="17">
        <v>7</v>
      </c>
      <c r="B8" s="18" t="str">
        <f>Jugadores!A9</f>
        <v>Daniel Ossa</v>
      </c>
      <c r="C8" s="17" t="str">
        <f>+Jugadores!$A$2</f>
        <v>Los Amigos</v>
      </c>
      <c r="D8" s="11">
        <f>VLOOKUP(B8,'Los Amigos'!$B$4:$G$18,3,FALSE)</f>
        <v>10</v>
      </c>
      <c r="E8" s="11">
        <f>IF(D8&gt;0,RANK(D8,$D$2:$D$241)+COUNTIF($D$2:D8,D8)-1,"")</f>
        <v>25</v>
      </c>
      <c r="F8" s="11" t="str">
        <f t="shared" si="0"/>
        <v>Brayan Salazar Gómez</v>
      </c>
      <c r="G8" s="11" t="str">
        <f t="shared" si="1"/>
        <v>La Amistad</v>
      </c>
      <c r="H8" s="36">
        <f t="shared" si="2"/>
        <v>23</v>
      </c>
      <c r="I8" s="11">
        <f>VLOOKUP(B8,'Los Amigos'!$B$4:$G$18,4,FALSE)</f>
        <v>4</v>
      </c>
      <c r="J8" s="11">
        <f>IF(I8&gt;0,RANK(I8,$I$2:$I$240)+COUNTIF($I$2:I8,I8)-1,"")</f>
        <v>6</v>
      </c>
      <c r="K8" s="11" t="str">
        <f t="shared" si="3"/>
        <v>Ángel Mora</v>
      </c>
      <c r="L8" s="11" t="str">
        <f t="shared" si="4"/>
        <v>Villanueva</v>
      </c>
      <c r="M8" s="11">
        <f t="shared" si="5"/>
        <v>4</v>
      </c>
      <c r="N8" s="11">
        <f>VLOOKUP(B8,'Los Amigos'!$B$4:$G$18,5,FALSE)</f>
        <v>5</v>
      </c>
      <c r="O8" s="11" t="e">
        <f>IF(N8&gt;0,RANK(N8,$N$2:$N$240)+COUNTIF($N$2:N8,N8)-1,"")</f>
        <v>#N/A</v>
      </c>
      <c r="P8" s="11" t="str">
        <f t="shared" si="6"/>
        <v/>
      </c>
      <c r="Q8" s="11" t="str">
        <f t="shared" si="7"/>
        <v/>
      </c>
      <c r="R8" s="11" t="str">
        <f t="shared" si="8"/>
        <v/>
      </c>
      <c r="S8" s="11">
        <f>VLOOKUP(B8,'Los Amigos'!$B$4:$G$18,6,FALSE)</f>
        <v>0</v>
      </c>
      <c r="T8" s="11" t="str">
        <f>IF(S8&gt;0,RANK(S8,$S$2:$S$240)+COUNTIF($S$2:S8,S8)-1,"")</f>
        <v/>
      </c>
      <c r="U8" s="11" t="str">
        <f t="shared" si="9"/>
        <v/>
      </c>
      <c r="V8" s="11" t="str">
        <f t="shared" si="10"/>
        <v/>
      </c>
      <c r="W8" s="11" t="str">
        <f t="shared" si="11"/>
        <v/>
      </c>
    </row>
    <row r="9" spans="1:23" x14ac:dyDescent="0.25">
      <c r="A9" s="17">
        <v>8</v>
      </c>
      <c r="B9" s="18" t="str">
        <f>Jugadores!A10</f>
        <v>Diego Castrillón</v>
      </c>
      <c r="C9" s="17" t="str">
        <f>+Jugadores!$A$2</f>
        <v>Los Amigos</v>
      </c>
      <c r="D9" s="11">
        <f>VLOOKUP(B9,'Los Amigos'!$B$4:$G$18,3,FALSE)</f>
        <v>3</v>
      </c>
      <c r="E9" s="11">
        <f>IF(D9&gt;0,RANK(D9,$D$2:$D$241)+COUNTIF($D$2:D9,D9)-1,"")</f>
        <v>92</v>
      </c>
      <c r="F9" s="11" t="str">
        <f t="shared" si="0"/>
        <v>Yehis Pacheco</v>
      </c>
      <c r="G9" s="11" t="str">
        <f t="shared" si="1"/>
        <v>Boca Juniors</v>
      </c>
      <c r="H9" s="36">
        <f t="shared" si="2"/>
        <v>20</v>
      </c>
      <c r="I9" s="11">
        <f>VLOOKUP(B9,'Los Amigos'!$B$4:$G$18,4,FALSE)</f>
        <v>2</v>
      </c>
      <c r="J9" s="11">
        <f>IF(I9&gt;0,RANK(I9,$I$2:$I$240)+COUNTIF($I$2:I9,I9)-1,"")</f>
        <v>35</v>
      </c>
      <c r="K9" s="11" t="str">
        <f t="shared" si="3"/>
        <v>Julián Hincapie</v>
      </c>
      <c r="L9" s="11" t="str">
        <f t="shared" si="4"/>
        <v>Ron Star</v>
      </c>
      <c r="M9" s="11">
        <f t="shared" si="5"/>
        <v>4</v>
      </c>
      <c r="N9" s="11">
        <f>VLOOKUP(B9,'Los Amigos'!$B$4:$G$18,5,FALSE)</f>
        <v>0</v>
      </c>
      <c r="O9" s="11" t="str">
        <f>IF(N9&gt;0,RANK(N9,$N$2:$N$240)+COUNTIF($N$2:N9,N9)-1,"")</f>
        <v/>
      </c>
      <c r="P9" s="11" t="str">
        <f t="shared" si="6"/>
        <v/>
      </c>
      <c r="Q9" s="11" t="str">
        <f t="shared" si="7"/>
        <v/>
      </c>
      <c r="R9" s="11" t="str">
        <f t="shared" si="8"/>
        <v/>
      </c>
      <c r="S9" s="11">
        <f>VLOOKUP(B9,'Los Amigos'!$B$4:$G$18,6,FALSE)</f>
        <v>1</v>
      </c>
      <c r="T9" s="11" t="e">
        <f>IF(S9&gt;0,RANK(S9,$S$2:$S$240)+COUNTIF($S$2:S9,S9)-1,"")</f>
        <v>#N/A</v>
      </c>
      <c r="U9" s="11" t="str">
        <f t="shared" si="9"/>
        <v/>
      </c>
      <c r="V9" s="11" t="str">
        <f t="shared" si="10"/>
        <v/>
      </c>
      <c r="W9" s="11" t="str">
        <f t="shared" si="11"/>
        <v/>
      </c>
    </row>
    <row r="10" spans="1:23" x14ac:dyDescent="0.25">
      <c r="A10" s="17">
        <v>9</v>
      </c>
      <c r="B10" s="18" t="str">
        <f>Jugadores!A11</f>
        <v>Hernán Sánchez</v>
      </c>
      <c r="C10" s="17" t="str">
        <f>+Jugadores!$A$2</f>
        <v>Los Amigos</v>
      </c>
      <c r="D10" s="11">
        <f>VLOOKUP(B10,'Los Amigos'!$B$4:$G$18,3,FALSE)</f>
        <v>30</v>
      </c>
      <c r="E10" s="11">
        <f>IF(D10&gt;0,RANK(D10,$D$2:$D$241)+COUNTIF($D$2:D10,D10)-1,"")</f>
        <v>3</v>
      </c>
      <c r="F10" s="11" t="str">
        <f t="shared" si="0"/>
        <v>Juan Manuel Marulanda</v>
      </c>
      <c r="G10" s="11" t="str">
        <f t="shared" si="1"/>
        <v>La Amistad</v>
      </c>
      <c r="H10" s="36">
        <f t="shared" si="2"/>
        <v>19</v>
      </c>
      <c r="I10" s="11">
        <f>VLOOKUP(B10,'Los Amigos'!$B$4:$G$18,4,FALSE)</f>
        <v>2</v>
      </c>
      <c r="J10" s="11">
        <f>IF(I10&gt;0,RANK(I10,$I$2:$I$240)+COUNTIF($I$2:I10,I10)-1,"")</f>
        <v>36</v>
      </c>
      <c r="K10" s="11" t="str">
        <f t="shared" si="3"/>
        <v>Martín Angulo</v>
      </c>
      <c r="L10" s="11" t="str">
        <f t="shared" si="4"/>
        <v>Amenadim</v>
      </c>
      <c r="M10" s="11">
        <f t="shared" si="5"/>
        <v>4</v>
      </c>
      <c r="N10" s="11">
        <f>VLOOKUP(B10,'Los Amigos'!$B$4:$G$18,5,FALSE)</f>
        <v>5</v>
      </c>
      <c r="O10" s="11" t="e">
        <f>IF(N10&gt;0,RANK(N10,$N$2:$N$240)+COUNTIF($N$2:N10,N10)-1,"")</f>
        <v>#N/A</v>
      </c>
      <c r="P10" s="11" t="str">
        <f t="shared" si="6"/>
        <v/>
      </c>
      <c r="Q10" s="11" t="str">
        <f t="shared" si="7"/>
        <v/>
      </c>
      <c r="R10" s="11" t="str">
        <f t="shared" si="8"/>
        <v/>
      </c>
      <c r="S10" s="11">
        <f>VLOOKUP(B10,'Los Amigos'!$B$4:$G$18,6,FALSE)</f>
        <v>0</v>
      </c>
      <c r="T10" s="11" t="str">
        <f>IF(S10&gt;0,RANK(S10,$S$2:$S$240)+COUNTIF($S$2:S10,S10)-1,"")</f>
        <v/>
      </c>
      <c r="U10" s="11" t="str">
        <f t="shared" si="9"/>
        <v/>
      </c>
      <c r="V10" s="11" t="str">
        <f t="shared" si="10"/>
        <v/>
      </c>
      <c r="W10" s="11" t="str">
        <f t="shared" si="11"/>
        <v/>
      </c>
    </row>
    <row r="11" spans="1:23" x14ac:dyDescent="0.25">
      <c r="A11" s="17">
        <v>10</v>
      </c>
      <c r="B11" s="18" t="str">
        <f>Jugadores!A12</f>
        <v>Juan Felipe Castro</v>
      </c>
      <c r="C11" s="17" t="str">
        <f>+Jugadores!$A$2</f>
        <v>Los Amigos</v>
      </c>
      <c r="D11" s="11">
        <f>VLOOKUP(B11,'Los Amigos'!$B$4:$G$18,3,FALSE)</f>
        <v>0</v>
      </c>
      <c r="E11" s="11" t="str">
        <f>IF(D11&gt;0,RANK(D11,$D$2:$D$241)+COUNTIF($D$2:D11,D11)-1,"")</f>
        <v/>
      </c>
      <c r="F11" s="11" t="str">
        <f t="shared" si="0"/>
        <v>Denilson Cadena</v>
      </c>
      <c r="G11" s="11" t="str">
        <f t="shared" si="1"/>
        <v>Villanueva</v>
      </c>
      <c r="H11" s="36">
        <f t="shared" si="2"/>
        <v>19</v>
      </c>
      <c r="I11" s="11">
        <f>VLOOKUP(B11,'Los Amigos'!$B$4:$G$18,4,FALSE)</f>
        <v>0</v>
      </c>
      <c r="J11" s="11" t="str">
        <f>IF(I11&gt;0,RANK(I11,$I$2:$I$240)+COUNTIF($I$2:I11,I11)-1,"")</f>
        <v/>
      </c>
      <c r="K11" s="11" t="str">
        <f t="shared" si="3"/>
        <v>Matias Montoya</v>
      </c>
      <c r="L11" s="11" t="str">
        <f t="shared" si="4"/>
        <v>Valentín FC</v>
      </c>
      <c r="M11" s="11">
        <f t="shared" si="5"/>
        <v>4</v>
      </c>
      <c r="N11" s="11">
        <f>VLOOKUP(B11,'Los Amigos'!$B$4:$G$18,5,FALSE)</f>
        <v>0</v>
      </c>
      <c r="O11" s="11" t="str">
        <f>IF(N11&gt;0,RANK(N11,$N$2:$N$240)+COUNTIF($N$2:N11,N11)-1,"")</f>
        <v/>
      </c>
      <c r="P11" s="11" t="str">
        <f t="shared" si="6"/>
        <v/>
      </c>
      <c r="Q11" s="11" t="str">
        <f t="shared" si="7"/>
        <v/>
      </c>
      <c r="R11" s="11" t="str">
        <f t="shared" si="8"/>
        <v/>
      </c>
      <c r="S11" s="11">
        <f>VLOOKUP(B11,'Los Amigos'!$B$4:$G$18,6,FALSE)</f>
        <v>1</v>
      </c>
      <c r="T11" s="11" t="e">
        <f>IF(S11&gt;0,RANK(S11,$S$2:$S$240)+COUNTIF($S$2:S11,S11)-1,"")</f>
        <v>#N/A</v>
      </c>
      <c r="U11" s="11" t="str">
        <f t="shared" si="9"/>
        <v/>
      </c>
      <c r="V11" s="11" t="str">
        <f t="shared" si="10"/>
        <v/>
      </c>
      <c r="W11" s="11" t="str">
        <f t="shared" si="11"/>
        <v/>
      </c>
    </row>
    <row r="12" spans="1:23" x14ac:dyDescent="0.25">
      <c r="A12" s="17">
        <v>11</v>
      </c>
      <c r="B12" s="18" t="str">
        <f>Jugadores!A13</f>
        <v>Jhon Restrepo</v>
      </c>
      <c r="C12" s="17" t="str">
        <f>+Jugadores!$A$2</f>
        <v>Los Amigos</v>
      </c>
      <c r="D12" s="11">
        <f>VLOOKUP(B12,'Los Amigos'!$B$4:$G$18,3,FALSE)</f>
        <v>6</v>
      </c>
      <c r="E12" s="11">
        <f>IF(D12&gt;0,RANK(D12,$D$2:$D$241)+COUNTIF($D$2:D12,D12)-1,"")</f>
        <v>49</v>
      </c>
      <c r="F12" s="11" t="str">
        <f t="shared" si="0"/>
        <v>Aldrin Calderín Ruiz</v>
      </c>
      <c r="G12" s="11" t="str">
        <f t="shared" si="1"/>
        <v>CD El Corozo</v>
      </c>
      <c r="H12" s="36">
        <f t="shared" si="2"/>
        <v>19</v>
      </c>
      <c r="I12" s="11">
        <f>VLOOKUP(B12,'Los Amigos'!$B$4:$G$18,4,FALSE)</f>
        <v>3</v>
      </c>
      <c r="J12" s="11">
        <f>IF(I12&gt;0,RANK(I12,$I$2:$I$240)+COUNTIF($I$2:I12,I12)-1,"")</f>
        <v>18</v>
      </c>
      <c r="K12" s="11" t="str">
        <f t="shared" si="3"/>
        <v>Cristián Duque</v>
      </c>
      <c r="L12" s="11" t="str">
        <f t="shared" si="4"/>
        <v>Valentín FC</v>
      </c>
      <c r="M12" s="11">
        <f t="shared" si="5"/>
        <v>4</v>
      </c>
      <c r="N12" s="11">
        <f>VLOOKUP(B12,'Los Amigos'!$B$4:$G$18,5,FALSE)</f>
        <v>4</v>
      </c>
      <c r="O12" s="11" t="e">
        <f>IF(N12&gt;0,RANK(N12,$N$2:$N$240)+COUNTIF($N$2:N12,N12)-1,"")</f>
        <v>#N/A</v>
      </c>
      <c r="P12" s="11" t="str">
        <f t="shared" si="6"/>
        <v/>
      </c>
      <c r="Q12" s="11" t="str">
        <f t="shared" si="7"/>
        <v/>
      </c>
      <c r="R12" s="11" t="str">
        <f t="shared" si="8"/>
        <v/>
      </c>
      <c r="S12" s="11">
        <f>VLOOKUP(B12,'Los Amigos'!$B$4:$G$18,6,FALSE)</f>
        <v>0</v>
      </c>
      <c r="T12" s="11" t="str">
        <f>IF(S12&gt;0,RANK(S12,$S$2:$S$240)+COUNTIF($S$2:S12,S12)-1,"")</f>
        <v/>
      </c>
      <c r="U12" s="11" t="str">
        <f t="shared" si="9"/>
        <v/>
      </c>
      <c r="V12" s="11" t="str">
        <f t="shared" si="10"/>
        <v/>
      </c>
      <c r="W12" s="11" t="str">
        <f t="shared" si="11"/>
        <v/>
      </c>
    </row>
    <row r="13" spans="1:23" x14ac:dyDescent="0.25">
      <c r="A13" s="17">
        <v>12</v>
      </c>
      <c r="B13" s="18" t="str">
        <f>Jugadores!A14</f>
        <v>Juan Felipe Hincapié</v>
      </c>
      <c r="C13" s="17" t="str">
        <f>+Jugadores!$A$2</f>
        <v>Los Amigos</v>
      </c>
      <c r="D13" s="11">
        <f>VLOOKUP(B13,'Los Amigos'!$B$4:$G$18,3,FALSE)</f>
        <v>2</v>
      </c>
      <c r="E13" s="11">
        <f>IF(D13&gt;0,RANK(D13,$D$2:$D$241)+COUNTIF($D$2:D13,D13)-1,"")</f>
        <v>113</v>
      </c>
      <c r="F13" s="11" t="str">
        <f t="shared" si="0"/>
        <v>Dany Gaviria</v>
      </c>
      <c r="G13" s="11" t="str">
        <f t="shared" si="1"/>
        <v>Ron Star</v>
      </c>
      <c r="H13" s="36">
        <f t="shared" si="2"/>
        <v>18</v>
      </c>
      <c r="I13" s="11">
        <f>VLOOKUP(B13,'Los Amigos'!$B$4:$G$18,4,FALSE)</f>
        <v>0</v>
      </c>
      <c r="J13" s="11" t="str">
        <f>IF(I13&gt;0,RANK(I13,$I$2:$I$240)+COUNTIF($I$2:I13,I13)-1,"")</f>
        <v/>
      </c>
      <c r="K13" s="11" t="str">
        <f t="shared" si="3"/>
        <v>Daniel Garcia</v>
      </c>
      <c r="L13" s="11" t="str">
        <f t="shared" si="4"/>
        <v>Boca Juniors</v>
      </c>
      <c r="M13" s="11">
        <f t="shared" si="5"/>
        <v>4</v>
      </c>
      <c r="N13" s="11">
        <f>VLOOKUP(B13,'Los Amigos'!$B$4:$G$18,5,FALSE)</f>
        <v>2</v>
      </c>
      <c r="O13" s="11" t="e">
        <f>IF(N13&gt;0,RANK(N13,$N$2:$N$240)+COUNTIF($N$2:N13,N13)-1,"")</f>
        <v>#N/A</v>
      </c>
      <c r="P13" s="11" t="str">
        <f t="shared" si="6"/>
        <v/>
      </c>
      <c r="Q13" s="11" t="str">
        <f t="shared" si="7"/>
        <v/>
      </c>
      <c r="R13" s="11" t="str">
        <f t="shared" si="8"/>
        <v/>
      </c>
      <c r="S13" s="11">
        <f>VLOOKUP(B13,'Los Amigos'!$B$4:$G$18,6,FALSE)</f>
        <v>0</v>
      </c>
      <c r="T13" s="11" t="str">
        <f>IF(S13&gt;0,RANK(S13,$S$2:$S$240)+COUNTIF($S$2:S13,S13)-1,"")</f>
        <v/>
      </c>
      <c r="U13" s="11" t="str">
        <f t="shared" si="9"/>
        <v/>
      </c>
      <c r="V13" s="11" t="str">
        <f t="shared" si="10"/>
        <v/>
      </c>
      <c r="W13" s="11" t="str">
        <f t="shared" si="11"/>
        <v/>
      </c>
    </row>
    <row r="14" spans="1:23" x14ac:dyDescent="0.25">
      <c r="A14" s="17">
        <v>13</v>
      </c>
      <c r="B14" s="18" t="str">
        <f>Jugadores!A15</f>
        <v>Juan Felipe Ayala</v>
      </c>
      <c r="C14" s="17" t="str">
        <f>+Jugadores!$A$2</f>
        <v>Los Amigos</v>
      </c>
      <c r="D14" s="11">
        <f>VLOOKUP(B14,'Los Amigos'!$B$4:$G$18,3,FALSE)</f>
        <v>2</v>
      </c>
      <c r="E14" s="11">
        <f>IF(D14&gt;0,RANK(D14,$D$2:$D$241)+COUNTIF($D$2:D14,D14)-1,"")</f>
        <v>114</v>
      </c>
      <c r="F14" s="11" t="str">
        <f t="shared" si="0"/>
        <v xml:space="preserve">Yeremi Sebastián Muñoz </v>
      </c>
      <c r="G14" s="11" t="str">
        <f t="shared" si="1"/>
        <v>La Amistad</v>
      </c>
      <c r="H14" s="36">
        <f t="shared" si="2"/>
        <v>17</v>
      </c>
      <c r="I14" s="11">
        <f>VLOOKUP(B14,'Los Amigos'!$B$4:$G$18,4,FALSE)</f>
        <v>0</v>
      </c>
      <c r="J14" s="11" t="str">
        <f>IF(I14&gt;0,RANK(I14,$I$2:$I$240)+COUNTIF($I$2:I14,I14)-1,"")</f>
        <v/>
      </c>
      <c r="K14" s="11" t="str">
        <f t="shared" si="3"/>
        <v>Arbenis Montoya</v>
      </c>
      <c r="L14" s="11" t="str">
        <f t="shared" si="4"/>
        <v>Boca Juniors</v>
      </c>
      <c r="M14" s="11">
        <f t="shared" si="5"/>
        <v>4</v>
      </c>
      <c r="N14" s="11">
        <f>VLOOKUP(B14,'Los Amigos'!$B$4:$G$18,5,FALSE)</f>
        <v>1</v>
      </c>
      <c r="O14" s="11" t="e">
        <f>IF(N14&gt;0,RANK(N14,$N$2:$N$240)+COUNTIF($N$2:N14,N14)-1,"")</f>
        <v>#N/A</v>
      </c>
      <c r="P14" s="11" t="str">
        <f t="shared" si="6"/>
        <v/>
      </c>
      <c r="Q14" s="11" t="str">
        <f t="shared" si="7"/>
        <v/>
      </c>
      <c r="R14" s="11" t="str">
        <f t="shared" si="8"/>
        <v/>
      </c>
      <c r="S14" s="11">
        <f>VLOOKUP(B14,'Los Amigos'!$B$4:$G$18,6,FALSE)</f>
        <v>0</v>
      </c>
      <c r="T14" s="11" t="str">
        <f>IF(S14&gt;0,RANK(S14,$S$2:$S$240)+COUNTIF($S$2:S14,S14)-1,"")</f>
        <v/>
      </c>
      <c r="U14" s="11" t="str">
        <f t="shared" si="9"/>
        <v/>
      </c>
      <c r="V14" s="11" t="str">
        <f t="shared" si="10"/>
        <v/>
      </c>
      <c r="W14" s="11" t="str">
        <f t="shared" si="11"/>
        <v/>
      </c>
    </row>
    <row r="15" spans="1:23" s="25" customFormat="1" x14ac:dyDescent="0.25">
      <c r="A15" s="17">
        <v>14</v>
      </c>
      <c r="B15" s="18" t="str">
        <f>Jugadores!A16</f>
        <v>Santiago Quiroz</v>
      </c>
      <c r="C15" s="17" t="str">
        <f>+Jugadores!$A$2</f>
        <v>Los Amigos</v>
      </c>
      <c r="D15" s="11">
        <f>VLOOKUP(B15,'Los Amigos'!$B$4:$G$18,3,FALSE)</f>
        <v>7</v>
      </c>
      <c r="E15" s="11">
        <f>IF(D15&gt;0,RANK(D15,$D$2:$D$241)+COUNTIF($D$2:D15,D15)-1,"")</f>
        <v>40</v>
      </c>
      <c r="F15" s="11" t="str">
        <f t="shared" si="0"/>
        <v>Germán Arenas</v>
      </c>
      <c r="G15" s="11" t="str">
        <f t="shared" si="1"/>
        <v>Los Amigos</v>
      </c>
      <c r="H15" s="36">
        <f t="shared" si="2"/>
        <v>14</v>
      </c>
      <c r="I15" s="11">
        <f>VLOOKUP(B15,'Los Amigos'!$B$4:$G$18,4,FALSE)</f>
        <v>1</v>
      </c>
      <c r="J15" s="11">
        <f>IF(I15&gt;0,RANK(I15,$I$2:$I$240)+COUNTIF($I$2:I15,I15)-1,"")</f>
        <v>75</v>
      </c>
      <c r="K15" s="11" t="str">
        <f t="shared" si="3"/>
        <v>Oscar Torín</v>
      </c>
      <c r="L15" s="11" t="str">
        <f t="shared" si="4"/>
        <v>Boca Juniors</v>
      </c>
      <c r="M15" s="11">
        <f t="shared" si="5"/>
        <v>4</v>
      </c>
      <c r="N15" s="11">
        <f>VLOOKUP(B15,'Los Amigos'!$B$4:$G$18,5,FALSE)</f>
        <v>4</v>
      </c>
      <c r="O15" s="11" t="e">
        <f>IF(N15&gt;0,RANK(N15,$N$2:$N$240)+COUNTIF($N$2:N15,N15)-1,"")</f>
        <v>#N/A</v>
      </c>
      <c r="P15" s="11" t="str">
        <f t="shared" si="6"/>
        <v/>
      </c>
      <c r="Q15" s="11" t="str">
        <f t="shared" si="7"/>
        <v/>
      </c>
      <c r="R15" s="11" t="str">
        <f t="shared" si="8"/>
        <v/>
      </c>
      <c r="S15" s="11">
        <f>VLOOKUP(B15,'Los Amigos'!$B$4:$G$18,6,FALSE)</f>
        <v>0</v>
      </c>
      <c r="T15" s="11" t="str">
        <f>IF(S15&gt;0,RANK(S15,$S$2:$S$240)+COUNTIF($S$2:S15,S15)-1,"")</f>
        <v/>
      </c>
      <c r="U15" s="11" t="str">
        <f t="shared" si="9"/>
        <v/>
      </c>
      <c r="V15" s="11" t="str">
        <f t="shared" si="10"/>
        <v/>
      </c>
      <c r="W15" s="11" t="str">
        <f t="shared" si="11"/>
        <v/>
      </c>
    </row>
    <row r="16" spans="1:23" x14ac:dyDescent="0.25">
      <c r="A16" s="17">
        <v>15</v>
      </c>
      <c r="B16" s="18" t="str">
        <f>Jugadores!A17</f>
        <v>John Walter Restrepo</v>
      </c>
      <c r="C16" s="17" t="str">
        <f>+Jugadores!$A$2</f>
        <v>Los Amigos</v>
      </c>
      <c r="D16" s="11">
        <f>VLOOKUP(B16,'Los Amigos'!$B$4:$G$18,3,FALSE)</f>
        <v>0</v>
      </c>
      <c r="E16" s="11" t="str">
        <f>IF(D16&gt;0,RANK(D16,$D$2:$D$241)+COUNTIF($D$2:D16,D16)-1,"")</f>
        <v/>
      </c>
      <c r="F16" s="11" t="str">
        <f t="shared" si="0"/>
        <v>Martín Angulo</v>
      </c>
      <c r="G16" s="11" t="str">
        <f t="shared" si="1"/>
        <v>Amenadim</v>
      </c>
      <c r="H16" s="36">
        <f t="shared" si="2"/>
        <v>14</v>
      </c>
      <c r="I16" s="11">
        <f>VLOOKUP(B16,'Los Amigos'!$B$4:$G$18,4,FALSE)</f>
        <v>1</v>
      </c>
      <c r="J16" s="11">
        <f>IF(I16&gt;0,RANK(I16,$I$2:$I$240)+COUNTIF($I$2:I16,I16)-1,"")</f>
        <v>76</v>
      </c>
      <c r="K16" s="11" t="str">
        <f t="shared" si="3"/>
        <v xml:space="preserve">José Mendoza </v>
      </c>
      <c r="L16" s="11" t="str">
        <f t="shared" si="4"/>
        <v>Deportivo Fénix</v>
      </c>
      <c r="M16" s="11">
        <f t="shared" si="5"/>
        <v>4</v>
      </c>
      <c r="N16" s="11">
        <f>VLOOKUP(B16,'Los Amigos'!$B$4:$G$18,5,FALSE)</f>
        <v>0</v>
      </c>
      <c r="O16" s="11" t="str">
        <f>IF(N16&gt;0,RANK(N16,$N$2:$N$240)+COUNTIF($N$2:N16,N16)-1,"")</f>
        <v/>
      </c>
      <c r="P16" s="11" t="str">
        <f t="shared" si="6"/>
        <v/>
      </c>
      <c r="Q16" s="11" t="str">
        <f t="shared" si="7"/>
        <v/>
      </c>
      <c r="R16" s="11" t="str">
        <f t="shared" si="8"/>
        <v/>
      </c>
      <c r="S16" s="11">
        <f>VLOOKUP(B16,'Los Amigos'!$B$4:$G$18,6,FALSE)</f>
        <v>0</v>
      </c>
      <c r="T16" s="11" t="str">
        <f>IF(S16&gt;0,RANK(S16,$S$2:$S$240)+COUNTIF($S$2:S16,S16)-1,"")</f>
        <v/>
      </c>
      <c r="U16" s="11" t="str">
        <f t="shared" si="9"/>
        <v/>
      </c>
      <c r="V16" s="11" t="str">
        <f t="shared" si="10"/>
        <v/>
      </c>
      <c r="W16" s="11" t="str">
        <f t="shared" si="11"/>
        <v/>
      </c>
    </row>
    <row r="17" spans="1:23" x14ac:dyDescent="0.25">
      <c r="A17" s="17">
        <v>16</v>
      </c>
      <c r="B17" s="18" t="str">
        <f>Jugadores!B3</f>
        <v>Jaidiver Montoya</v>
      </c>
      <c r="C17" s="17" t="str">
        <f>+Jugadores!$B$2</f>
        <v>La Nueva Era</v>
      </c>
      <c r="D17" s="11">
        <f>VLOOKUP(B17,'La Nueva Era'!$B$4:$G$18,3,FALSE)</f>
        <v>7</v>
      </c>
      <c r="E17" s="11">
        <f>IF(D17&gt;0,RANK(D17,$D$2:$D$241)+COUNTIF($D$2:D17,D17)-1,"")</f>
        <v>41</v>
      </c>
      <c r="F17" s="11" t="str">
        <f t="shared" si="0"/>
        <v>Manuel Carrascal Espitía</v>
      </c>
      <c r="G17" s="11" t="str">
        <f t="shared" si="1"/>
        <v>CD El Corozo</v>
      </c>
      <c r="H17" s="36">
        <f t="shared" si="2"/>
        <v>14</v>
      </c>
      <c r="I17" s="11">
        <f>VLOOKUP(B17,'La Nueva Era'!$B$4:$G$18,4,FALSE)</f>
        <v>1</v>
      </c>
      <c r="J17" s="11">
        <f>IF(I17&gt;0,RANK(I17,$I$2:$I$240)+COUNTIF($I$2:I17,I17)-1,"")</f>
        <v>77</v>
      </c>
      <c r="K17" s="11" t="str">
        <f t="shared" si="3"/>
        <v>Alexander Salgado</v>
      </c>
      <c r="L17" s="11" t="str">
        <f t="shared" si="4"/>
        <v>La Unión FC</v>
      </c>
      <c r="M17" s="11">
        <f t="shared" si="5"/>
        <v>4</v>
      </c>
      <c r="N17" s="11">
        <f>VLOOKUP(B17,'La Nueva Era'!$B$4:$G$18,5,FALSE)</f>
        <v>0</v>
      </c>
      <c r="O17" s="11" t="str">
        <f>IF(N17&gt;0,RANK(N17,$N$2:$N$240)+COUNTIF($N$2:N17,N17)-1,"")</f>
        <v/>
      </c>
      <c r="P17" s="11" t="str">
        <f t="shared" si="6"/>
        <v/>
      </c>
      <c r="Q17" s="11" t="str">
        <f t="shared" si="7"/>
        <v/>
      </c>
      <c r="R17" s="11" t="str">
        <f t="shared" si="8"/>
        <v/>
      </c>
      <c r="S17" s="11">
        <f>VLOOKUP(B17,'La Nueva Era'!$B$4:$G$18,6,FALSE)</f>
        <v>0</v>
      </c>
      <c r="T17" s="11" t="str">
        <f>IF(S17&gt;0,RANK(S17,$S$2:$S$240)+COUNTIF($S$2:S17,S17)-1,"")</f>
        <v/>
      </c>
      <c r="U17" s="11" t="str">
        <f t="shared" si="9"/>
        <v/>
      </c>
      <c r="V17" s="11" t="str">
        <f t="shared" si="10"/>
        <v/>
      </c>
      <c r="W17" s="11" t="str">
        <f t="shared" si="11"/>
        <v/>
      </c>
    </row>
    <row r="18" spans="1:23" x14ac:dyDescent="0.25">
      <c r="A18" s="17">
        <v>17</v>
      </c>
      <c r="B18" s="18" t="str">
        <f>Jugadores!B4</f>
        <v xml:space="preserve">Nafer Narváez </v>
      </c>
      <c r="C18" s="17" t="str">
        <f>+Jugadores!$B$2</f>
        <v>La Nueva Era</v>
      </c>
      <c r="D18" s="11">
        <f>VLOOKUP(B18,'La Nueva Era'!$B$4:$G$18,3,FALSE)</f>
        <v>0</v>
      </c>
      <c r="E18" s="11" t="str">
        <f>IF(D18&gt;0,RANK(D18,$D$2:$D$241)+COUNTIF($D$2:D18,D18)-1,"")</f>
        <v/>
      </c>
      <c r="F18" s="11" t="str">
        <f t="shared" si="0"/>
        <v>Lucas Zuluaga</v>
      </c>
      <c r="G18" s="11" t="str">
        <f t="shared" si="1"/>
        <v>Hojas Anchas</v>
      </c>
      <c r="H18" s="36">
        <f t="shared" si="2"/>
        <v>13</v>
      </c>
      <c r="I18" s="11">
        <f>VLOOKUP(B18,'La Nueva Era'!$B$4:$G$18,4,FALSE)</f>
        <v>0</v>
      </c>
      <c r="J18" s="11" t="str">
        <f>IF(I18&gt;0,RANK(I18,$I$2:$I$240)+COUNTIF($I$2:I18,I18)-1,"")</f>
        <v/>
      </c>
      <c r="K18" s="11" t="str">
        <f t="shared" si="3"/>
        <v>Deiner Santana</v>
      </c>
      <c r="L18" s="11" t="str">
        <f t="shared" si="4"/>
        <v>La Unión FC</v>
      </c>
      <c r="M18" s="11">
        <f t="shared" si="5"/>
        <v>4</v>
      </c>
      <c r="N18" s="11">
        <f>VLOOKUP(B18,'La Nueva Era'!$B$4:$G$18,5,FALSE)</f>
        <v>0</v>
      </c>
      <c r="O18" s="11" t="str">
        <f>IF(N18&gt;0,RANK(N18,$N$2:$N$240)+COUNTIF($N$2:N18,N18)-1,"")</f>
        <v/>
      </c>
      <c r="P18" s="11" t="str">
        <f t="shared" si="6"/>
        <v/>
      </c>
      <c r="Q18" s="11" t="str">
        <f t="shared" si="7"/>
        <v/>
      </c>
      <c r="R18" s="11" t="str">
        <f t="shared" si="8"/>
        <v/>
      </c>
      <c r="S18" s="11">
        <f>VLOOKUP(B18,'La Nueva Era'!$B$4:$G$18,6,FALSE)</f>
        <v>0</v>
      </c>
      <c r="T18" s="11" t="str">
        <f>IF(S18&gt;0,RANK(S18,$S$2:$S$240)+COUNTIF($S$2:S18,S18)-1,"")</f>
        <v/>
      </c>
      <c r="U18" s="11" t="str">
        <f t="shared" si="9"/>
        <v/>
      </c>
      <c r="V18" s="11" t="str">
        <f t="shared" si="10"/>
        <v/>
      </c>
      <c r="W18" s="11" t="str">
        <f t="shared" si="11"/>
        <v/>
      </c>
    </row>
    <row r="19" spans="1:23" x14ac:dyDescent="0.25">
      <c r="A19" s="17">
        <v>18</v>
      </c>
      <c r="B19" s="18" t="str">
        <f>Jugadores!B5</f>
        <v xml:space="preserve">Jhonatan Carvajal </v>
      </c>
      <c r="C19" s="17" t="str">
        <f>+Jugadores!$B$2</f>
        <v>La Nueva Era</v>
      </c>
      <c r="D19" s="11">
        <f>VLOOKUP(B19,'La Nueva Era'!$B$4:$G$18,3,FALSE)</f>
        <v>6</v>
      </c>
      <c r="E19" s="11">
        <f>IF(D19&gt;0,RANK(D19,$D$2:$D$241)+COUNTIF($D$2:D19,D19)-1,"")</f>
        <v>50</v>
      </c>
      <c r="F19" s="11" t="str">
        <f t="shared" si="0"/>
        <v>Jhonatan Zuleta</v>
      </c>
      <c r="G19" s="11" t="str">
        <f t="shared" si="1"/>
        <v>Deportivo Fénix</v>
      </c>
      <c r="H19" s="36">
        <f t="shared" si="2"/>
        <v>13</v>
      </c>
      <c r="I19" s="11">
        <f>VLOOKUP(B19,'La Nueva Era'!$B$4:$G$18,4,FALSE)</f>
        <v>0</v>
      </c>
      <c r="J19" s="11" t="str">
        <f>IF(I19&gt;0,RANK(I19,$I$2:$I$240)+COUNTIF($I$2:I19,I19)-1,"")</f>
        <v/>
      </c>
      <c r="K19" s="11" t="str">
        <f t="shared" si="3"/>
        <v>Jhon Restrepo</v>
      </c>
      <c r="L19" s="11" t="str">
        <f t="shared" si="4"/>
        <v>Los Amigos</v>
      </c>
      <c r="M19" s="11">
        <f t="shared" si="5"/>
        <v>3</v>
      </c>
      <c r="N19" s="11">
        <f>VLOOKUP(B19,'La Nueva Era'!$B$4:$G$18,5,FALSE)</f>
        <v>0</v>
      </c>
      <c r="O19" s="11" t="str">
        <f>IF(N19&gt;0,RANK(N19,$N$2:$N$240)+COUNTIF($N$2:N19,N19)-1,"")</f>
        <v/>
      </c>
      <c r="P19" s="11" t="str">
        <f t="shared" si="6"/>
        <v/>
      </c>
      <c r="Q19" s="11" t="str">
        <f t="shared" si="7"/>
        <v/>
      </c>
      <c r="R19" s="11" t="str">
        <f t="shared" si="8"/>
        <v/>
      </c>
      <c r="S19" s="11">
        <f>VLOOKUP(B19,'La Nueva Era'!$B$4:$G$18,6,FALSE)</f>
        <v>0</v>
      </c>
      <c r="T19" s="11" t="str">
        <f>IF(S19&gt;0,RANK(S19,$S$2:$S$240)+COUNTIF($S$2:S19,S19)-1,"")</f>
        <v/>
      </c>
      <c r="U19" s="11" t="str">
        <f t="shared" si="9"/>
        <v/>
      </c>
      <c r="V19" s="11" t="str">
        <f t="shared" si="10"/>
        <v/>
      </c>
      <c r="W19" s="11" t="str">
        <f t="shared" si="11"/>
        <v/>
      </c>
    </row>
    <row r="20" spans="1:23" x14ac:dyDescent="0.25">
      <c r="A20" s="17">
        <v>19</v>
      </c>
      <c r="B20" s="18" t="str">
        <f>Jugadores!B6</f>
        <v>Gonzalo Carvajal</v>
      </c>
      <c r="C20" s="17" t="str">
        <f>+Jugadores!$B$2</f>
        <v>La Nueva Era</v>
      </c>
      <c r="D20" s="11">
        <f>VLOOKUP(B20,'La Nueva Era'!$B$4:$G$18,3,FALSE)</f>
        <v>6</v>
      </c>
      <c r="E20" s="11">
        <f>IF(D20&gt;0,RANK(D20,$D$2:$D$241)+COUNTIF($D$2:D20,D20)-1,"")</f>
        <v>51</v>
      </c>
      <c r="F20" s="11" t="str">
        <f t="shared" si="0"/>
        <v>Ricardo Peralta</v>
      </c>
      <c r="G20" s="11" t="str">
        <f t="shared" si="1"/>
        <v>La Unión FC</v>
      </c>
      <c r="H20" s="36">
        <f t="shared" si="2"/>
        <v>13</v>
      </c>
      <c r="I20" s="11">
        <f>VLOOKUP(B20,'La Nueva Era'!$B$4:$G$18,4,FALSE)</f>
        <v>2</v>
      </c>
      <c r="J20" s="11">
        <f>IF(I20&gt;0,RANK(I20,$I$2:$I$240)+COUNTIF($I$2:I20,I20)-1,"")</f>
        <v>37</v>
      </c>
      <c r="K20" s="11" t="str">
        <f t="shared" si="3"/>
        <v>Julián Botero Carvajal</v>
      </c>
      <c r="L20" s="11" t="str">
        <f t="shared" si="4"/>
        <v>La Nueva Era</v>
      </c>
      <c r="M20" s="11">
        <f t="shared" si="5"/>
        <v>3</v>
      </c>
      <c r="N20" s="11">
        <f>VLOOKUP(B20,'La Nueva Era'!$B$4:$G$18,5,FALSE)</f>
        <v>0</v>
      </c>
      <c r="O20" s="11" t="str">
        <f>IF(N20&gt;0,RANK(N20,$N$2:$N$240)+COUNTIF($N$2:N20,N20)-1,"")</f>
        <v/>
      </c>
      <c r="P20" s="11" t="str">
        <f t="shared" si="6"/>
        <v/>
      </c>
      <c r="Q20" s="11" t="str">
        <f t="shared" si="7"/>
        <v/>
      </c>
      <c r="R20" s="11" t="str">
        <f t="shared" si="8"/>
        <v/>
      </c>
      <c r="S20" s="11">
        <f>VLOOKUP(B20,'La Nueva Era'!$B$4:$G$18,6,FALSE)</f>
        <v>0</v>
      </c>
      <c r="T20" s="11" t="str">
        <f>IF(S20&gt;0,RANK(S20,$S$2:$S$240)+COUNTIF($S$2:S20,S20)-1,"")</f>
        <v/>
      </c>
      <c r="U20" s="11" t="str">
        <f t="shared" si="9"/>
        <v/>
      </c>
      <c r="V20" s="11" t="str">
        <f t="shared" si="10"/>
        <v/>
      </c>
      <c r="W20" s="11" t="str">
        <f t="shared" si="11"/>
        <v/>
      </c>
    </row>
    <row r="21" spans="1:23" x14ac:dyDescent="0.25">
      <c r="A21" s="17">
        <v>20</v>
      </c>
      <c r="B21" s="18" t="str">
        <f>Jugadores!B7</f>
        <v xml:space="preserve">Alejandro Ospina </v>
      </c>
      <c r="C21" s="17" t="str">
        <f>+Jugadores!$B$2</f>
        <v>La Nueva Era</v>
      </c>
      <c r="D21" s="11">
        <f>VLOOKUP(B21,'La Nueva Era'!$B$4:$G$18,3,FALSE)</f>
        <v>1</v>
      </c>
      <c r="E21" s="11">
        <f>IF(D21&gt;0,RANK(D21,$D$2:$D$241)+COUNTIF($D$2:D21,D21)-1,"")</f>
        <v>136</v>
      </c>
      <c r="F21" s="11" t="str">
        <f t="shared" si="0"/>
        <v>José Gregorio Hernández</v>
      </c>
      <c r="G21" s="11" t="str">
        <f t="shared" si="1"/>
        <v>La Unión FC</v>
      </c>
      <c r="H21" s="36">
        <f t="shared" si="2"/>
        <v>13</v>
      </c>
      <c r="I21" s="11">
        <f>VLOOKUP(B21,'La Nueva Era'!$B$4:$G$18,4,FALSE)</f>
        <v>0</v>
      </c>
      <c r="J21" s="11" t="str">
        <f>IF(I21&gt;0,RANK(I21,$I$2:$I$240)+COUNTIF($I$2:I21,I21)-1,"")</f>
        <v/>
      </c>
      <c r="K21" s="11" t="str">
        <f t="shared" si="3"/>
        <v xml:space="preserve">Deivid Jaramillo </v>
      </c>
      <c r="L21" s="11" t="str">
        <f t="shared" si="4"/>
        <v>La Amistad</v>
      </c>
      <c r="M21" s="11">
        <f t="shared" si="5"/>
        <v>3</v>
      </c>
      <c r="N21" s="11">
        <f>VLOOKUP(B21,'La Nueva Era'!$B$4:$G$18,5,FALSE)</f>
        <v>0</v>
      </c>
      <c r="O21" s="11" t="str">
        <f>IF(N21&gt;0,RANK(N21,$N$2:$N$240)+COUNTIF($N$2:N21,N21)-1,"")</f>
        <v/>
      </c>
      <c r="P21" s="11" t="str">
        <f t="shared" si="6"/>
        <v/>
      </c>
      <c r="Q21" s="11" t="str">
        <f t="shared" si="7"/>
        <v/>
      </c>
      <c r="R21" s="11" t="str">
        <f t="shared" si="8"/>
        <v/>
      </c>
      <c r="S21" s="11">
        <f>VLOOKUP(B21,'La Nueva Era'!$B$4:$G$18,6,FALSE)</f>
        <v>0</v>
      </c>
      <c r="T21" s="11" t="str">
        <f>IF(S21&gt;0,RANK(S21,$S$2:$S$240)+COUNTIF($S$2:S21,S21)-1,"")</f>
        <v/>
      </c>
      <c r="U21" s="11" t="str">
        <f t="shared" si="9"/>
        <v/>
      </c>
      <c r="V21" s="11" t="str">
        <f t="shared" si="10"/>
        <v/>
      </c>
      <c r="W21" s="11" t="str">
        <f t="shared" si="11"/>
        <v/>
      </c>
    </row>
    <row r="22" spans="1:23" x14ac:dyDescent="0.25">
      <c r="A22" s="17">
        <v>21</v>
      </c>
      <c r="B22" s="18" t="str">
        <f>Jugadores!B8</f>
        <v xml:space="preserve">Wiliam López </v>
      </c>
      <c r="C22" s="17" t="str">
        <f>+Jugadores!$B$2</f>
        <v>La Nueva Era</v>
      </c>
      <c r="D22" s="11">
        <f>VLOOKUP(B22,'La Nueva Era'!$B$4:$G$18,3,FALSE)</f>
        <v>0</v>
      </c>
      <c r="E22" s="11" t="str">
        <f>IF(D22&gt;0,RANK(D22,$D$2:$D$241)+COUNTIF($D$2:D22,D22)-1,"")</f>
        <v/>
      </c>
      <c r="F22" s="11" t="str">
        <f t="shared" si="0"/>
        <v>Julián Hincapie</v>
      </c>
      <c r="G22" s="11" t="str">
        <f t="shared" si="1"/>
        <v>Ron Star</v>
      </c>
      <c r="H22" s="36">
        <f t="shared" si="2"/>
        <v>12</v>
      </c>
      <c r="I22" s="11">
        <f>VLOOKUP(B22,'La Nueva Era'!$B$4:$G$18,4,FALSE)</f>
        <v>0</v>
      </c>
      <c r="J22" s="11" t="str">
        <f>IF(I22&gt;0,RANK(I22,$I$2:$I$240)+COUNTIF($I$2:I22,I22)-1,"")</f>
        <v/>
      </c>
      <c r="K22" s="11" t="str">
        <f t="shared" si="3"/>
        <v>Humberto Ochoa</v>
      </c>
      <c r="L22" s="11" t="str">
        <f t="shared" si="4"/>
        <v>Amenadim</v>
      </c>
      <c r="M22" s="11">
        <f t="shared" si="5"/>
        <v>3</v>
      </c>
      <c r="N22" s="11">
        <f>VLOOKUP(B22,'La Nueva Era'!$B$4:$G$18,5,FALSE)</f>
        <v>0</v>
      </c>
      <c r="O22" s="11" t="str">
        <f>IF(N22&gt;0,RANK(N22,$N$2:$N$240)+COUNTIF($N$2:N22,N22)-1,"")</f>
        <v/>
      </c>
      <c r="P22" s="11" t="str">
        <f t="shared" si="6"/>
        <v/>
      </c>
      <c r="Q22" s="11" t="str">
        <f t="shared" si="7"/>
        <v/>
      </c>
      <c r="R22" s="11" t="str">
        <f t="shared" si="8"/>
        <v/>
      </c>
      <c r="S22" s="11">
        <f>VLOOKUP(B22,'La Nueva Era'!$B$4:$G$18,6,FALSE)</f>
        <v>0</v>
      </c>
      <c r="T22" s="11" t="str">
        <f>IF(S22&gt;0,RANK(S22,$S$2:$S$240)+COUNTIF($S$2:S22,S22)-1,"")</f>
        <v/>
      </c>
      <c r="U22" s="11" t="str">
        <f t="shared" si="9"/>
        <v/>
      </c>
      <c r="V22" s="11" t="str">
        <f t="shared" si="10"/>
        <v/>
      </c>
      <c r="W22" s="11" t="str">
        <f t="shared" si="11"/>
        <v/>
      </c>
    </row>
    <row r="23" spans="1:23" x14ac:dyDescent="0.25">
      <c r="A23" s="17">
        <v>22</v>
      </c>
      <c r="B23" s="18" t="str">
        <f>Jugadores!B9</f>
        <v xml:space="preserve">Luis Lima </v>
      </c>
      <c r="C23" s="17" t="str">
        <f>+Jugadores!$B$2</f>
        <v>La Nueva Era</v>
      </c>
      <c r="D23" s="11">
        <f>VLOOKUP(B23,'La Nueva Era'!$B$4:$G$18,3,FALSE)</f>
        <v>1</v>
      </c>
      <c r="E23" s="11">
        <f>IF(D23&gt;0,RANK(D23,$D$2:$D$241)+COUNTIF($D$2:D23,D23)-1,"")</f>
        <v>137</v>
      </c>
      <c r="F23" s="11" t="str">
        <f t="shared" si="0"/>
        <v>Juan de Dios Duque</v>
      </c>
      <c r="G23" s="11" t="str">
        <f t="shared" si="1"/>
        <v>Hojas Anchas</v>
      </c>
      <c r="H23" s="36">
        <f t="shared" si="2"/>
        <v>12</v>
      </c>
      <c r="I23" s="11">
        <f>VLOOKUP(B23,'La Nueva Era'!$B$4:$G$18,4,FALSE)</f>
        <v>0</v>
      </c>
      <c r="J23" s="11" t="str">
        <f>IF(I23&gt;0,RANK(I23,$I$2:$I$240)+COUNTIF($I$2:I23,I23)-1,"")</f>
        <v/>
      </c>
      <c r="K23" s="11" t="str">
        <f t="shared" si="3"/>
        <v>Edwar Jaramillo</v>
      </c>
      <c r="L23" s="11" t="str">
        <f t="shared" si="4"/>
        <v>Hojas Anchas</v>
      </c>
      <c r="M23" s="11">
        <f t="shared" si="5"/>
        <v>3</v>
      </c>
      <c r="N23" s="11">
        <f>VLOOKUP(B23,'La Nueva Era'!$B$4:$G$18,5,FALSE)</f>
        <v>0</v>
      </c>
      <c r="O23" s="11" t="str">
        <f>IF(N23&gt;0,RANK(N23,$N$2:$N$240)+COUNTIF($N$2:N23,N23)-1,"")</f>
        <v/>
      </c>
      <c r="P23" s="11" t="str">
        <f t="shared" si="6"/>
        <v/>
      </c>
      <c r="Q23" s="11" t="str">
        <f t="shared" si="7"/>
        <v/>
      </c>
      <c r="R23" s="11" t="str">
        <f t="shared" si="8"/>
        <v/>
      </c>
      <c r="S23" s="11">
        <f>VLOOKUP(B23,'La Nueva Era'!$B$4:$G$18,6,FALSE)</f>
        <v>0</v>
      </c>
      <c r="T23" s="11" t="str">
        <f>IF(S23&gt;0,RANK(S23,$S$2:$S$240)+COUNTIF($S$2:S23,S23)-1,"")</f>
        <v/>
      </c>
      <c r="U23" s="11" t="str">
        <f t="shared" si="9"/>
        <v/>
      </c>
      <c r="V23" s="11" t="str">
        <f t="shared" si="10"/>
        <v/>
      </c>
      <c r="W23" s="11" t="str">
        <f t="shared" si="11"/>
        <v/>
      </c>
    </row>
    <row r="24" spans="1:23" x14ac:dyDescent="0.25">
      <c r="A24" s="17">
        <v>23</v>
      </c>
      <c r="B24" s="18" t="str">
        <f>Jugadores!B10</f>
        <v>Juan José Jaramillo</v>
      </c>
      <c r="C24" s="17" t="str">
        <f>+Jugadores!$B$2</f>
        <v>La Nueva Era</v>
      </c>
      <c r="D24" s="11">
        <f>VLOOKUP(B24,'La Nueva Era'!$B$4:$G$18,3,FALSE)</f>
        <v>4</v>
      </c>
      <c r="E24" s="11">
        <f>IF(D24&gt;0,RANK(D24,$D$2:$D$241)+COUNTIF($D$2:D24,D24)-1,"")</f>
        <v>71</v>
      </c>
      <c r="F24" s="11" t="str">
        <f t="shared" si="0"/>
        <v>Juan David García</v>
      </c>
      <c r="G24" s="11" t="str">
        <f t="shared" si="1"/>
        <v>Amenadim</v>
      </c>
      <c r="H24" s="36">
        <f t="shared" si="2"/>
        <v>11</v>
      </c>
      <c r="I24" s="11">
        <f>VLOOKUP(B24,'La Nueva Era'!$B$4:$G$18,4,FALSE)</f>
        <v>1</v>
      </c>
      <c r="J24" s="11">
        <f>IF(I24&gt;0,RANK(I24,$I$2:$I$240)+COUNTIF($I$2:I24,I24)-1,"")</f>
        <v>78</v>
      </c>
      <c r="K24" s="11" t="str">
        <f t="shared" si="3"/>
        <v>Jaider Londoño</v>
      </c>
      <c r="L24" s="11" t="str">
        <f t="shared" si="4"/>
        <v>Hojas Anchas</v>
      </c>
      <c r="M24" s="11">
        <f t="shared" si="5"/>
        <v>3</v>
      </c>
      <c r="N24" s="11">
        <f>VLOOKUP(B24,'La Nueva Era'!$B$4:$G$18,5,FALSE)</f>
        <v>0</v>
      </c>
      <c r="O24" s="11" t="str">
        <f>IF(N24&gt;0,RANK(N24,$N$2:$N$240)+COUNTIF($N$2:N24,N24)-1,"")</f>
        <v/>
      </c>
      <c r="P24" s="11" t="str">
        <f t="shared" si="6"/>
        <v/>
      </c>
      <c r="Q24" s="11" t="str">
        <f t="shared" si="7"/>
        <v/>
      </c>
      <c r="R24" s="11" t="str">
        <f t="shared" si="8"/>
        <v/>
      </c>
      <c r="S24" s="11">
        <f>VLOOKUP(B24,'La Nueva Era'!$B$4:$G$18,6,FALSE)</f>
        <v>0</v>
      </c>
      <c r="T24" s="11" t="str">
        <f>IF(S24&gt;0,RANK(S24,$S$2:$S$240)+COUNTIF($S$2:S24,S24)-1,"")</f>
        <v/>
      </c>
      <c r="U24" s="11" t="str">
        <f t="shared" si="9"/>
        <v/>
      </c>
      <c r="V24" s="11" t="str">
        <f t="shared" si="10"/>
        <v/>
      </c>
      <c r="W24" s="11" t="str">
        <f t="shared" si="11"/>
        <v/>
      </c>
    </row>
    <row r="25" spans="1:23" x14ac:dyDescent="0.25">
      <c r="A25" s="17">
        <v>24</v>
      </c>
      <c r="B25" s="18" t="str">
        <f>Jugadores!B11</f>
        <v xml:space="preserve">Yeiner Muñeton </v>
      </c>
      <c r="C25" s="17" t="str">
        <f>+Jugadores!$B$2</f>
        <v>La Nueva Era</v>
      </c>
      <c r="D25" s="11">
        <f>VLOOKUP(B25,'La Nueva Era'!$B$4:$G$18,3,FALSE)</f>
        <v>1</v>
      </c>
      <c r="E25" s="11">
        <f>IF(D25&gt;0,RANK(D25,$D$2:$D$241)+COUNTIF($D$2:D25,D25)-1,"")</f>
        <v>138</v>
      </c>
      <c r="F25" s="11" t="str">
        <f t="shared" si="0"/>
        <v>Sebastián Sepulveda</v>
      </c>
      <c r="G25" s="11" t="str">
        <f t="shared" si="1"/>
        <v>Los Amigos</v>
      </c>
      <c r="H25" s="36">
        <f t="shared" si="2"/>
        <v>10</v>
      </c>
      <c r="I25" s="11">
        <f>VLOOKUP(B25,'La Nueva Era'!$B$4:$G$18,4,FALSE)</f>
        <v>0</v>
      </c>
      <c r="J25" s="11" t="str">
        <f>IF(I25&gt;0,RANK(I25,$I$2:$I$240)+COUNTIF($I$2:I25,I25)-1,"")</f>
        <v/>
      </c>
      <c r="K25" s="11" t="str">
        <f t="shared" si="3"/>
        <v>José Ángel Londoño</v>
      </c>
      <c r="L25" s="11" t="str">
        <f t="shared" si="4"/>
        <v>Hojas Anchas</v>
      </c>
      <c r="M25" s="11">
        <f t="shared" si="5"/>
        <v>3</v>
      </c>
      <c r="N25" s="11">
        <f>VLOOKUP(B25,'La Nueva Era'!$B$4:$G$18,5,FALSE)</f>
        <v>0</v>
      </c>
      <c r="O25" s="11" t="str">
        <f>IF(N25&gt;0,RANK(N25,$N$2:$N$240)+COUNTIF($N$2:N25,N25)-1,"")</f>
        <v/>
      </c>
      <c r="P25" s="11" t="str">
        <f t="shared" si="6"/>
        <v/>
      </c>
      <c r="Q25" s="11" t="str">
        <f t="shared" si="7"/>
        <v/>
      </c>
      <c r="R25" s="11" t="str">
        <f t="shared" si="8"/>
        <v/>
      </c>
      <c r="S25" s="11">
        <f>VLOOKUP(B25,'La Nueva Era'!$B$4:$G$18,6,FALSE)</f>
        <v>0</v>
      </c>
      <c r="T25" s="11" t="str">
        <f>IF(S25&gt;0,RANK(S25,$S$2:$S$240)+COUNTIF($S$2:S25,S25)-1,"")</f>
        <v/>
      </c>
      <c r="U25" s="11" t="str">
        <f t="shared" si="9"/>
        <v/>
      </c>
      <c r="V25" s="11" t="str">
        <f t="shared" si="10"/>
        <v/>
      </c>
      <c r="W25" s="11" t="str">
        <f t="shared" si="11"/>
        <v/>
      </c>
    </row>
    <row r="26" spans="1:23" x14ac:dyDescent="0.25">
      <c r="A26" s="17">
        <v>25</v>
      </c>
      <c r="B26" s="18" t="str">
        <f>Jugadores!B12</f>
        <v>Stiven Ríos</v>
      </c>
      <c r="C26" s="17" t="str">
        <f>+Jugadores!$B$2</f>
        <v>La Nueva Era</v>
      </c>
      <c r="D26" s="11">
        <f>VLOOKUP(B26,'La Nueva Era'!$B$4:$G$18,3,FALSE)</f>
        <v>0</v>
      </c>
      <c r="E26" s="11" t="str">
        <f>IF(D26&gt;0,RANK(D26,$D$2:$D$241)+COUNTIF($D$2:D26,D26)-1,"")</f>
        <v/>
      </c>
      <c r="F26" s="11" t="str">
        <f t="shared" si="0"/>
        <v>Daniel Ossa</v>
      </c>
      <c r="G26" s="11" t="str">
        <f t="shared" si="1"/>
        <v>Los Amigos</v>
      </c>
      <c r="H26" s="36">
        <f t="shared" si="2"/>
        <v>10</v>
      </c>
      <c r="I26" s="11">
        <f>VLOOKUP(B26,'La Nueva Era'!$B$4:$G$18,4,FALSE)</f>
        <v>0</v>
      </c>
      <c r="J26" s="11" t="str">
        <f>IF(I26&gt;0,RANK(I26,$I$2:$I$240)+COUNTIF($I$2:I26,I26)-1,"")</f>
        <v/>
      </c>
      <c r="K26" s="11" t="str">
        <f t="shared" si="3"/>
        <v>Jeferson Álvarez</v>
      </c>
      <c r="L26" s="11" t="str">
        <f t="shared" si="4"/>
        <v>Hojas Anchas</v>
      </c>
      <c r="M26" s="11">
        <f t="shared" si="5"/>
        <v>3</v>
      </c>
      <c r="N26" s="11">
        <f>VLOOKUP(B26,'La Nueva Era'!$B$4:$G$18,5,FALSE)</f>
        <v>0</v>
      </c>
      <c r="O26" s="11" t="str">
        <f>IF(N26&gt;0,RANK(N26,$N$2:$N$240)+COUNTIF($N$2:N26,N26)-1,"")</f>
        <v/>
      </c>
      <c r="P26" s="11" t="str">
        <f t="shared" si="6"/>
        <v/>
      </c>
      <c r="Q26" s="11" t="str">
        <f t="shared" si="7"/>
        <v/>
      </c>
      <c r="R26" s="11" t="str">
        <f t="shared" si="8"/>
        <v/>
      </c>
      <c r="S26" s="11">
        <f>VLOOKUP(B26,'La Nueva Era'!$B$4:$G$18,6,FALSE)</f>
        <v>0</v>
      </c>
      <c r="T26" s="11" t="str">
        <f>IF(S26&gt;0,RANK(S26,$S$2:$S$240)+COUNTIF($S$2:S26,S26)-1,"")</f>
        <v/>
      </c>
      <c r="U26" s="11" t="str">
        <f t="shared" si="9"/>
        <v/>
      </c>
      <c r="V26" s="11" t="str">
        <f t="shared" si="10"/>
        <v/>
      </c>
      <c r="W26" s="11" t="str">
        <f t="shared" si="11"/>
        <v/>
      </c>
    </row>
    <row r="27" spans="1:23" x14ac:dyDescent="0.25">
      <c r="A27" s="17">
        <v>26</v>
      </c>
      <c r="B27" s="18" t="str">
        <f>Jugadores!B13</f>
        <v>Isaac Amarís</v>
      </c>
      <c r="C27" s="17" t="str">
        <f>+Jugadores!$B$2</f>
        <v>La Nueva Era</v>
      </c>
      <c r="D27" s="11">
        <f>VLOOKUP(B27,'La Nueva Era'!$B$4:$G$18,3,FALSE)</f>
        <v>0</v>
      </c>
      <c r="E27" s="11" t="str">
        <f>IF(D27&gt;0,RANK(D27,$D$2:$D$241)+COUNTIF($D$2:D27,D27)-1,"")</f>
        <v/>
      </c>
      <c r="F27" s="11" t="str">
        <f t="shared" si="0"/>
        <v>Cristian Carvajal Ríos</v>
      </c>
      <c r="G27" s="11" t="str">
        <f t="shared" si="1"/>
        <v>Valentín FC</v>
      </c>
      <c r="H27" s="36">
        <f t="shared" si="2"/>
        <v>10</v>
      </c>
      <c r="I27" s="11">
        <f>VLOOKUP(B27,'La Nueva Era'!$B$4:$G$18,4,FALSE)</f>
        <v>0</v>
      </c>
      <c r="J27" s="11" t="str">
        <f>IF(I27&gt;0,RANK(I27,$I$2:$I$240)+COUNTIF($I$2:I27,I27)-1,"")</f>
        <v/>
      </c>
      <c r="K27" s="11" t="str">
        <f t="shared" si="3"/>
        <v>Alejandro Acevedo</v>
      </c>
      <c r="L27" s="11" t="str">
        <f t="shared" si="4"/>
        <v>Valentín FC</v>
      </c>
      <c r="M27" s="11">
        <f t="shared" si="5"/>
        <v>3</v>
      </c>
      <c r="N27" s="11">
        <f>VLOOKUP(B27,'La Nueva Era'!$B$4:$G$18,5,FALSE)</f>
        <v>0</v>
      </c>
      <c r="O27" s="11" t="str">
        <f>IF(N27&gt;0,RANK(N27,$N$2:$N$240)+COUNTIF($N$2:N27,N27)-1,"")</f>
        <v/>
      </c>
      <c r="P27" s="11" t="str">
        <f t="shared" si="6"/>
        <v/>
      </c>
      <c r="Q27" s="11" t="str">
        <f t="shared" si="7"/>
        <v/>
      </c>
      <c r="R27" s="11" t="str">
        <f t="shared" si="8"/>
        <v/>
      </c>
      <c r="S27" s="11">
        <f>VLOOKUP(B27,'La Nueva Era'!$B$4:$G$18,6,FALSE)</f>
        <v>0</v>
      </c>
      <c r="T27" s="11" t="str">
        <f>IF(S27&gt;0,RANK(S27,$S$2:$S$240)+COUNTIF($S$2:S27,S27)-1,"")</f>
        <v/>
      </c>
      <c r="U27" s="11" t="str">
        <f t="shared" si="9"/>
        <v/>
      </c>
      <c r="V27" s="11" t="str">
        <f t="shared" si="10"/>
        <v/>
      </c>
      <c r="W27" s="11" t="str">
        <f t="shared" si="11"/>
        <v/>
      </c>
    </row>
    <row r="28" spans="1:23" x14ac:dyDescent="0.25">
      <c r="A28" s="17">
        <v>27</v>
      </c>
      <c r="B28" s="18" t="str">
        <f>Jugadores!B14</f>
        <v>Juan José Gaviría</v>
      </c>
      <c r="C28" s="17" t="str">
        <f>+Jugadores!$B$2</f>
        <v>La Nueva Era</v>
      </c>
      <c r="D28" s="11">
        <f>VLOOKUP(B28,'La Nueva Era'!$B$4:$G$18,3,FALSE)</f>
        <v>2</v>
      </c>
      <c r="E28" s="11">
        <f>IF(D28&gt;0,RANK(D28,$D$2:$D$241)+COUNTIF($D$2:D28,D28)-1,"")</f>
        <v>115</v>
      </c>
      <c r="F28" s="11" t="str">
        <f t="shared" si="0"/>
        <v>José Barrios</v>
      </c>
      <c r="G28" s="11" t="str">
        <f t="shared" si="1"/>
        <v>Amenadim</v>
      </c>
      <c r="H28" s="36">
        <f t="shared" si="2"/>
        <v>9</v>
      </c>
      <c r="I28" s="11">
        <f>VLOOKUP(B28,'La Nueva Era'!$B$4:$G$18,4,FALSE)</f>
        <v>1</v>
      </c>
      <c r="J28" s="11">
        <f>IF(I28&gt;0,RANK(I28,$I$2:$I$240)+COUNTIF($I$2:I28,I28)-1,"")</f>
        <v>79</v>
      </c>
      <c r="K28" s="11" t="str">
        <f t="shared" si="3"/>
        <v>Victor Sierra</v>
      </c>
      <c r="L28" s="11" t="str">
        <f t="shared" si="4"/>
        <v>Valentín FC</v>
      </c>
      <c r="M28" s="11">
        <f t="shared" si="5"/>
        <v>3</v>
      </c>
      <c r="N28" s="11">
        <f>VLOOKUP(B28,'La Nueva Era'!$B$4:$G$18,5,FALSE)</f>
        <v>0</v>
      </c>
      <c r="O28" s="11" t="str">
        <f>IF(N28&gt;0,RANK(N28,$N$2:$N$240)+COUNTIF($N$2:N28,N28)-1,"")</f>
        <v/>
      </c>
      <c r="P28" s="11" t="str">
        <f t="shared" si="6"/>
        <v/>
      </c>
      <c r="Q28" s="11" t="str">
        <f t="shared" si="7"/>
        <v/>
      </c>
      <c r="R28" s="11" t="str">
        <f t="shared" si="8"/>
        <v/>
      </c>
      <c r="S28" s="11">
        <f>VLOOKUP(B28,'La Nueva Era'!$B$4:$G$18,6,FALSE)</f>
        <v>0</v>
      </c>
      <c r="T28" s="11" t="str">
        <f>IF(S28&gt;0,RANK(S28,$S$2:$S$240)+COUNTIF($S$2:S28,S28)-1,"")</f>
        <v/>
      </c>
      <c r="U28" s="11" t="str">
        <f t="shared" si="9"/>
        <v/>
      </c>
      <c r="V28" s="11" t="str">
        <f t="shared" si="10"/>
        <v/>
      </c>
      <c r="W28" s="11" t="str">
        <f t="shared" si="11"/>
        <v/>
      </c>
    </row>
    <row r="29" spans="1:23" x14ac:dyDescent="0.25">
      <c r="A29" s="17">
        <v>28</v>
      </c>
      <c r="B29" s="18" t="str">
        <f>Jugadores!B15</f>
        <v>José Santoya</v>
      </c>
      <c r="C29" s="17" t="str">
        <f>+Jugadores!$B$2</f>
        <v>La Nueva Era</v>
      </c>
      <c r="D29" s="11">
        <f>VLOOKUP(B29,'La Nueva Era'!$B$4:$G$18,3,FALSE)</f>
        <v>1</v>
      </c>
      <c r="E29" s="11">
        <f>IF(D29&gt;0,RANK(D29,$D$2:$D$241)+COUNTIF($D$2:D29,D29)-1,"")</f>
        <v>139</v>
      </c>
      <c r="F29" s="11" t="str">
        <f t="shared" si="0"/>
        <v>Jimy Manrique</v>
      </c>
      <c r="G29" s="11" t="str">
        <f t="shared" si="1"/>
        <v>Hojas Anchas</v>
      </c>
      <c r="H29" s="36">
        <f t="shared" si="2"/>
        <v>9</v>
      </c>
      <c r="I29" s="11">
        <f>VLOOKUP(B29,'La Nueva Era'!$B$4:$G$18,4,FALSE)</f>
        <v>1</v>
      </c>
      <c r="J29" s="11">
        <f>IF(I29&gt;0,RANK(I29,$I$2:$I$240)+COUNTIF($I$2:I29,I29)-1,"")</f>
        <v>80</v>
      </c>
      <c r="K29" s="11" t="str">
        <f t="shared" si="3"/>
        <v>Orlando Montiel</v>
      </c>
      <c r="L29" s="11" t="str">
        <f t="shared" si="4"/>
        <v>Boca Juniors</v>
      </c>
      <c r="M29" s="11">
        <f t="shared" si="5"/>
        <v>3</v>
      </c>
      <c r="N29" s="11">
        <f>VLOOKUP(B29,'La Nueva Era'!$B$4:$G$18,5,FALSE)</f>
        <v>0</v>
      </c>
      <c r="O29" s="11" t="str">
        <f>IF(N29&gt;0,RANK(N29,$N$2:$N$240)+COUNTIF($N$2:N29,N29)-1,"")</f>
        <v/>
      </c>
      <c r="P29" s="11" t="str">
        <f t="shared" si="6"/>
        <v/>
      </c>
      <c r="Q29" s="11" t="str">
        <f t="shared" si="7"/>
        <v/>
      </c>
      <c r="R29" s="11" t="str">
        <f t="shared" si="8"/>
        <v/>
      </c>
      <c r="S29" s="11">
        <f>VLOOKUP(B29,'La Nueva Era'!$B$4:$G$18,6,FALSE)</f>
        <v>0</v>
      </c>
      <c r="T29" s="11" t="str">
        <f>IF(S29&gt;0,RANK(S29,$S$2:$S$240)+COUNTIF($S$2:S29,S29)-1,"")</f>
        <v/>
      </c>
      <c r="U29" s="11" t="str">
        <f t="shared" si="9"/>
        <v/>
      </c>
      <c r="V29" s="11" t="str">
        <f t="shared" si="10"/>
        <v/>
      </c>
      <c r="W29" s="11" t="str">
        <f t="shared" si="11"/>
        <v/>
      </c>
    </row>
    <row r="30" spans="1:23" s="25" customFormat="1" x14ac:dyDescent="0.25">
      <c r="A30" s="17">
        <v>29</v>
      </c>
      <c r="B30" s="18" t="str">
        <f>Jugadores!B16</f>
        <v>Jorge Cassiani</v>
      </c>
      <c r="C30" s="17" t="str">
        <f>+Jugadores!$B$2</f>
        <v>La Nueva Era</v>
      </c>
      <c r="D30" s="11">
        <f>VLOOKUP(B30,'La Nueva Era'!$B$4:$G$18,3,FALSE)</f>
        <v>0</v>
      </c>
      <c r="E30" s="11" t="str">
        <f>IF(D30&gt;0,RANK(D30,$D$2:$D$241)+COUNTIF($D$2:D30,D30)-1,"")</f>
        <v/>
      </c>
      <c r="F30" s="11" t="str">
        <f t="shared" si="0"/>
        <v>Orlando Montiel</v>
      </c>
      <c r="G30" s="11" t="str">
        <f t="shared" si="1"/>
        <v>Boca Juniors</v>
      </c>
      <c r="H30" s="36">
        <f t="shared" si="2"/>
        <v>9</v>
      </c>
      <c r="I30" s="11">
        <f>VLOOKUP(B30,'La Nueva Era'!$B$4:$G$18,4,FALSE)</f>
        <v>1</v>
      </c>
      <c r="J30" s="11">
        <f>IF(I30&gt;0,RANK(I30,$I$2:$I$240)+COUNTIF($I$2:I30,I30)-1,"")</f>
        <v>81</v>
      </c>
      <c r="K30" s="11" t="str">
        <f t="shared" si="3"/>
        <v>Andry Jhoan Rivera</v>
      </c>
      <c r="L30" s="11" t="str">
        <f t="shared" si="4"/>
        <v>Boca Juniors</v>
      </c>
      <c r="M30" s="11">
        <f t="shared" si="5"/>
        <v>3</v>
      </c>
      <c r="N30" s="11">
        <f>VLOOKUP(B30,'La Nueva Era'!$B$4:$G$18,5,FALSE)</f>
        <v>0</v>
      </c>
      <c r="O30" s="11" t="str">
        <f>IF(N30&gt;0,RANK(N30,$N$2:$N$240)+COUNTIF($N$2:N30,N30)-1,"")</f>
        <v/>
      </c>
      <c r="P30" s="11" t="str">
        <f t="shared" si="6"/>
        <v/>
      </c>
      <c r="Q30" s="11" t="str">
        <f t="shared" si="7"/>
        <v/>
      </c>
      <c r="R30" s="11" t="str">
        <f t="shared" si="8"/>
        <v/>
      </c>
      <c r="S30" s="11">
        <f>VLOOKUP(B30,'La Nueva Era'!$B$4:$G$18,6,FALSE)</f>
        <v>0</v>
      </c>
      <c r="T30" s="11" t="str">
        <f>IF(S30&gt;0,RANK(S30,$S$2:$S$240)+COUNTIF($S$2:S30,S30)-1,"")</f>
        <v/>
      </c>
      <c r="U30" s="11" t="str">
        <f t="shared" si="9"/>
        <v/>
      </c>
      <c r="V30" s="11" t="str">
        <f t="shared" si="10"/>
        <v/>
      </c>
      <c r="W30" s="11" t="str">
        <f t="shared" si="11"/>
        <v/>
      </c>
    </row>
    <row r="31" spans="1:23" x14ac:dyDescent="0.25">
      <c r="A31" s="17">
        <v>30</v>
      </c>
      <c r="B31" s="18" t="str">
        <f>Jugadores!B17</f>
        <v>Julián Botero Carvajal</v>
      </c>
      <c r="C31" s="17" t="str">
        <f>+Jugadores!$B$2</f>
        <v>La Nueva Era</v>
      </c>
      <c r="D31" s="11">
        <f>VLOOKUP(B31,'La Nueva Era'!$B$4:$G$18,3,FALSE)</f>
        <v>1</v>
      </c>
      <c r="E31" s="11">
        <f>IF(D31&gt;0,RANK(D31,$D$2:$D$241)+COUNTIF($D$2:D31,D31)-1,"")</f>
        <v>140</v>
      </c>
      <c r="F31" s="11" t="str">
        <f t="shared" si="0"/>
        <v>Marcos Muñoz</v>
      </c>
      <c r="G31" s="11" t="str">
        <f t="shared" si="1"/>
        <v>Los Aliados</v>
      </c>
      <c r="H31" s="36">
        <f t="shared" si="2"/>
        <v>9</v>
      </c>
      <c r="I31" s="11">
        <f>VLOOKUP(B31,'La Nueva Era'!$B$4:$G$18,4,FALSE)</f>
        <v>3</v>
      </c>
      <c r="J31" s="11">
        <f>IF(I31&gt;0,RANK(I31,$I$2:$I$240)+COUNTIF($I$2:I31,I31)-1,"")</f>
        <v>19</v>
      </c>
      <c r="K31" s="11" t="str">
        <f t="shared" si="3"/>
        <v>Aldo Rangel</v>
      </c>
      <c r="L31" s="11" t="str">
        <f t="shared" si="4"/>
        <v>Deportivo Fénix</v>
      </c>
      <c r="M31" s="11">
        <f t="shared" si="5"/>
        <v>3</v>
      </c>
      <c r="N31" s="11">
        <f>VLOOKUP(B31,'La Nueva Era'!$B$4:$G$18,5,FALSE)</f>
        <v>0</v>
      </c>
      <c r="O31" s="11" t="str">
        <f>IF(N31&gt;0,RANK(N31,$N$2:$N$240)+COUNTIF($N$2:N31,N31)-1,"")</f>
        <v/>
      </c>
      <c r="P31" s="11" t="str">
        <f t="shared" si="6"/>
        <v/>
      </c>
      <c r="Q31" s="11" t="str">
        <f t="shared" si="7"/>
        <v/>
      </c>
      <c r="R31" s="11" t="str">
        <f t="shared" si="8"/>
        <v/>
      </c>
      <c r="S31" s="11">
        <f>VLOOKUP(B31,'La Nueva Era'!$B$4:$G$18,6,FALSE)</f>
        <v>0</v>
      </c>
      <c r="T31" s="11" t="str">
        <f>IF(S31&gt;0,RANK(S31,$S$2:$S$240)+COUNTIF($S$2:S31,S31)-1,"")</f>
        <v/>
      </c>
      <c r="U31" s="11" t="str">
        <f t="shared" si="9"/>
        <v/>
      </c>
      <c r="V31" s="11" t="str">
        <f t="shared" si="10"/>
        <v/>
      </c>
      <c r="W31" s="11" t="str">
        <f t="shared" si="11"/>
        <v/>
      </c>
    </row>
    <row r="32" spans="1:23" x14ac:dyDescent="0.25">
      <c r="A32" s="17">
        <v>31</v>
      </c>
      <c r="B32" s="18" t="str">
        <f>Jugadores!C3</f>
        <v xml:space="preserve">Yeremi Sebastián Muñoz </v>
      </c>
      <c r="C32" s="17" t="str">
        <f>+Jugadores!$C$2</f>
        <v>La Amistad</v>
      </c>
      <c r="D32" s="11">
        <f>VLOOKUP(B32,'La Amistad'!$B$4:$G$18,3,FALSE)</f>
        <v>17</v>
      </c>
      <c r="E32" s="11">
        <f>IF(D32&gt;0,RANK(D32,$D$2:$D$241)+COUNTIF($D$2:D32,D32)-1,"")</f>
        <v>13</v>
      </c>
      <c r="F32" s="11" t="str">
        <f t="shared" si="0"/>
        <v>Carlos Suárez Martínez</v>
      </c>
      <c r="G32" s="11" t="str">
        <f t="shared" si="1"/>
        <v>CD El Corozo</v>
      </c>
      <c r="H32" s="36">
        <f t="shared" si="2"/>
        <v>9</v>
      </c>
      <c r="I32" s="11">
        <f>VLOOKUP(B32,'La Amistad'!$B$4:$G$18,4,FALSE)</f>
        <v>1</v>
      </c>
      <c r="J32" s="11">
        <f>IF(I32&gt;0,RANK(I32,$I$2:$I$240)+COUNTIF($I$2:I32,I32)-1,"")</f>
        <v>82</v>
      </c>
      <c r="K32" s="11" t="str">
        <f t="shared" si="3"/>
        <v>Jhoan Sebastián Ossa</v>
      </c>
      <c r="L32" s="11" t="str">
        <f t="shared" si="4"/>
        <v>Los Aliados</v>
      </c>
      <c r="M32" s="11">
        <f t="shared" si="5"/>
        <v>3</v>
      </c>
      <c r="N32" s="11">
        <f>VLOOKUP(B32,'La Amistad'!$B$4:$G$18,5,FALSE)</f>
        <v>8</v>
      </c>
      <c r="O32" s="11" t="e">
        <f>IF(N32&gt;0,RANK(N32,$N$2:$N$240)+COUNTIF($N$2:N32,N32)-1,"")</f>
        <v>#N/A</v>
      </c>
      <c r="P32" s="11" t="str">
        <f t="shared" si="6"/>
        <v/>
      </c>
      <c r="Q32" s="11" t="str">
        <f t="shared" si="7"/>
        <v/>
      </c>
      <c r="R32" s="11" t="str">
        <f t="shared" si="8"/>
        <v/>
      </c>
      <c r="S32" s="11">
        <f>VLOOKUP(B32,'La Amistad'!$B$4:$G$18,6,FALSE)</f>
        <v>1</v>
      </c>
      <c r="T32" s="11" t="e">
        <f>IF(S32&gt;0,RANK(S32,$S$2:$S$240)+COUNTIF($S$2:S32,S32)-1,"")</f>
        <v>#N/A</v>
      </c>
      <c r="U32" s="11" t="str">
        <f t="shared" si="9"/>
        <v/>
      </c>
      <c r="V32" s="11" t="str">
        <f t="shared" si="10"/>
        <v/>
      </c>
      <c r="W32" s="11" t="str">
        <f t="shared" si="11"/>
        <v/>
      </c>
    </row>
    <row r="33" spans="1:23" x14ac:dyDescent="0.25">
      <c r="A33" s="17">
        <v>32</v>
      </c>
      <c r="B33" s="18" t="str">
        <f>Jugadores!C4</f>
        <v>Sebastián Jiménez</v>
      </c>
      <c r="C33" s="17" t="str">
        <f>+Jugadores!$C$2</f>
        <v>La Amistad</v>
      </c>
      <c r="D33" s="11">
        <f>VLOOKUP(B33,'La Amistad'!$B$4:$G$18,3,FALSE)</f>
        <v>4</v>
      </c>
      <c r="E33" s="11">
        <f>IF(D33&gt;0,RANK(D33,$D$2:$D$241)+COUNTIF($D$2:D33,D33)-1,"")</f>
        <v>72</v>
      </c>
      <c r="F33" s="11" t="str">
        <f t="shared" si="0"/>
        <v>Cristián Álzate</v>
      </c>
      <c r="G33" s="11" t="str">
        <f t="shared" si="1"/>
        <v>Los Amigos</v>
      </c>
      <c r="H33" s="36">
        <f t="shared" si="2"/>
        <v>8</v>
      </c>
      <c r="I33" s="11">
        <f>VLOOKUP(B33,'La Amistad'!$B$4:$G$18,4,FALSE)</f>
        <v>0</v>
      </c>
      <c r="J33" s="11" t="str">
        <f>IF(I33&gt;0,RANK(I33,$I$2:$I$240)+COUNTIF($I$2:I33,I33)-1,"")</f>
        <v/>
      </c>
      <c r="K33" s="11" t="str">
        <f t="shared" si="3"/>
        <v>Manuel Carrascal Espitía</v>
      </c>
      <c r="L33" s="11" t="str">
        <f t="shared" si="4"/>
        <v>CD El Corozo</v>
      </c>
      <c r="M33" s="11">
        <f t="shared" si="5"/>
        <v>3</v>
      </c>
      <c r="N33" s="11">
        <f>VLOOKUP(B33,'La Amistad'!$B$4:$G$18,5,FALSE)</f>
        <v>0</v>
      </c>
      <c r="O33" s="11" t="str">
        <f>IF(N33&gt;0,RANK(N33,$N$2:$N$240)+COUNTIF($N$2:N33,N33)-1,"")</f>
        <v/>
      </c>
      <c r="P33" s="11" t="str">
        <f t="shared" si="6"/>
        <v/>
      </c>
      <c r="Q33" s="11" t="str">
        <f t="shared" si="7"/>
        <v/>
      </c>
      <c r="R33" s="11" t="str">
        <f t="shared" si="8"/>
        <v/>
      </c>
      <c r="S33" s="11">
        <f>VLOOKUP(B33,'La Amistad'!$B$4:$G$18,6,FALSE)</f>
        <v>0</v>
      </c>
      <c r="T33" s="11" t="str">
        <f>IF(S33&gt;0,RANK(S33,$S$2:$S$240)+COUNTIF($S$2:S33,S33)-1,"")</f>
        <v/>
      </c>
      <c r="U33" s="11" t="str">
        <f t="shared" si="9"/>
        <v/>
      </c>
      <c r="V33" s="11" t="str">
        <f t="shared" si="10"/>
        <v/>
      </c>
      <c r="W33" s="11" t="str">
        <f t="shared" si="11"/>
        <v/>
      </c>
    </row>
    <row r="34" spans="1:23" x14ac:dyDescent="0.25">
      <c r="A34" s="17">
        <v>33</v>
      </c>
      <c r="B34" s="18" t="str">
        <f>Jugadores!C5</f>
        <v>Brayan Salazar Gómez</v>
      </c>
      <c r="C34" s="17" t="str">
        <f>+Jugadores!$C$2</f>
        <v>La Amistad</v>
      </c>
      <c r="D34" s="11">
        <f>VLOOKUP(B34,'La Amistad'!$B$4:$G$18,3,FALSE)</f>
        <v>23</v>
      </c>
      <c r="E34" s="11">
        <f>IF(D34&gt;0,RANK(D34,$D$2:$D$241)+COUNTIF($D$2:D34,D34)-1,"")</f>
        <v>7</v>
      </c>
      <c r="F34" s="11" t="str">
        <f t="shared" si="0"/>
        <v>Brandon Zuleta</v>
      </c>
      <c r="G34" s="11" t="str">
        <f t="shared" si="1"/>
        <v>La Amistad</v>
      </c>
      <c r="H34" s="36">
        <f t="shared" si="2"/>
        <v>8</v>
      </c>
      <c r="I34" s="11">
        <f>VLOOKUP(B34,'La Amistad'!$B$4:$G$18,4,FALSE)</f>
        <v>1</v>
      </c>
      <c r="J34" s="11">
        <f>IF(I34&gt;0,RANK(I34,$I$2:$I$240)+COUNTIF($I$2:I34,I34)-1,"")</f>
        <v>83</v>
      </c>
      <c r="K34" s="11" t="str">
        <f t="shared" si="3"/>
        <v>Cristián Álzate</v>
      </c>
      <c r="L34" s="11" t="str">
        <f t="shared" si="4"/>
        <v>Los Amigos</v>
      </c>
      <c r="M34" s="11">
        <f t="shared" si="5"/>
        <v>2</v>
      </c>
      <c r="N34" s="11">
        <f>VLOOKUP(B34,'La Amistad'!$B$4:$G$18,5,FALSE)</f>
        <v>6</v>
      </c>
      <c r="O34" s="11" t="e">
        <f>IF(N34&gt;0,RANK(N34,$N$2:$N$240)+COUNTIF($N$2:N34,N34)-1,"")</f>
        <v>#N/A</v>
      </c>
      <c r="P34" s="11" t="str">
        <f t="shared" si="6"/>
        <v/>
      </c>
      <c r="Q34" s="11" t="str">
        <f t="shared" si="7"/>
        <v/>
      </c>
      <c r="R34" s="11" t="str">
        <f t="shared" si="8"/>
        <v/>
      </c>
      <c r="S34" s="11">
        <f>VLOOKUP(B34,'La Amistad'!$B$4:$G$18,6,FALSE)</f>
        <v>0</v>
      </c>
      <c r="T34" s="11" t="str">
        <f>IF(S34&gt;0,RANK(S34,$S$2:$S$240)+COUNTIF($S$2:S34,S34)-1,"")</f>
        <v/>
      </c>
      <c r="U34" s="11" t="str">
        <f t="shared" si="9"/>
        <v/>
      </c>
      <c r="V34" s="11" t="str">
        <f t="shared" si="10"/>
        <v/>
      </c>
      <c r="W34" s="11" t="str">
        <f t="shared" si="11"/>
        <v/>
      </c>
    </row>
    <row r="35" spans="1:23" x14ac:dyDescent="0.25">
      <c r="A35" s="17">
        <v>34</v>
      </c>
      <c r="B35" s="18" t="str">
        <f>Jugadores!C6</f>
        <v>Brandon Zuleta</v>
      </c>
      <c r="C35" s="17" t="str">
        <f>+Jugadores!$C$2</f>
        <v>La Amistad</v>
      </c>
      <c r="D35" s="11">
        <f>VLOOKUP(B35,'La Amistad'!$B$4:$G$18,3,FALSE)</f>
        <v>8</v>
      </c>
      <c r="E35" s="11">
        <f>IF(D35&gt;0,RANK(D35,$D$2:$D$241)+COUNTIF($D$2:D35,D35)-1,"")</f>
        <v>33</v>
      </c>
      <c r="F35" s="11" t="str">
        <f t="shared" si="0"/>
        <v>Santiago Cardona</v>
      </c>
      <c r="G35" s="11" t="str">
        <f t="shared" si="1"/>
        <v>Los Amigos</v>
      </c>
      <c r="H35" s="36">
        <f t="shared" si="2"/>
        <v>3</v>
      </c>
      <c r="I35" s="11">
        <f>VLOOKUP(B35,'La Amistad'!$B$4:$G$18,4,FALSE)</f>
        <v>0</v>
      </c>
      <c r="J35" s="11" t="str">
        <f>IF(I35&gt;0,RANK(I35,$I$2:$I$240)+COUNTIF($I$2:I35,I35)-1,"")</f>
        <v/>
      </c>
      <c r="K35" s="11" t="str">
        <f t="shared" si="3"/>
        <v>Santiago Cardona</v>
      </c>
      <c r="L35" s="11" t="str">
        <f t="shared" si="4"/>
        <v>Los Amigos</v>
      </c>
      <c r="M35" s="11">
        <f t="shared" si="5"/>
        <v>2</v>
      </c>
      <c r="N35" s="11">
        <f>VLOOKUP(B35,'La Amistad'!$B$4:$G$18,5,FALSE)</f>
        <v>0</v>
      </c>
      <c r="O35" s="11" t="str">
        <f>IF(N35&gt;0,RANK(N35,$N$2:$N$240)+COUNTIF($N$2:N35,N35)-1,"")</f>
        <v/>
      </c>
      <c r="P35" s="11" t="str">
        <f t="shared" si="6"/>
        <v/>
      </c>
      <c r="Q35" s="11" t="str">
        <f t="shared" si="7"/>
        <v/>
      </c>
      <c r="R35" s="11" t="str">
        <f t="shared" si="8"/>
        <v/>
      </c>
      <c r="S35" s="11">
        <f>VLOOKUP(B35,'La Amistad'!$B$4:$G$18,6,FALSE)</f>
        <v>0</v>
      </c>
      <c r="T35" s="11" t="str">
        <f>IF(S35&gt;0,RANK(S35,$S$2:$S$240)+COUNTIF($S$2:S35,S35)-1,"")</f>
        <v/>
      </c>
      <c r="U35" s="11" t="str">
        <f t="shared" si="9"/>
        <v/>
      </c>
      <c r="V35" s="11" t="str">
        <f t="shared" si="10"/>
        <v/>
      </c>
      <c r="W35" s="11" t="str">
        <f t="shared" si="11"/>
        <v/>
      </c>
    </row>
    <row r="36" spans="1:23" x14ac:dyDescent="0.25">
      <c r="A36" s="17">
        <v>35</v>
      </c>
      <c r="B36" s="18" t="str">
        <f>Jugadores!C7</f>
        <v>Alejandro Castro Quiroz</v>
      </c>
      <c r="C36" s="17" t="str">
        <f>+Jugadores!$C$2</f>
        <v>La Amistad</v>
      </c>
      <c r="D36" s="11">
        <f>VLOOKUP(B36,'La Amistad'!$B$4:$G$18,3,FALSE)</f>
        <v>1</v>
      </c>
      <c r="E36" s="11">
        <f>IF(D36&gt;0,RANK(D36,$D$2:$D$241)+COUNTIF($D$2:D36,D36)-1,"")</f>
        <v>141</v>
      </c>
      <c r="F36" s="11" t="str">
        <f t="shared" si="0"/>
        <v>Norbey Flórez</v>
      </c>
      <c r="G36" s="11" t="str">
        <f t="shared" si="1"/>
        <v>Konami</v>
      </c>
      <c r="H36" s="36">
        <f t="shared" si="2"/>
        <v>8</v>
      </c>
      <c r="I36" s="11">
        <f>VLOOKUP(B36,'La Amistad'!$B$4:$G$18,4,FALSE)</f>
        <v>0</v>
      </c>
      <c r="J36" s="11" t="str">
        <f>IF(I36&gt;0,RANK(I36,$I$2:$I$240)+COUNTIF($I$2:I36,I36)-1,"")</f>
        <v/>
      </c>
      <c r="K36" s="11" t="str">
        <f t="shared" si="3"/>
        <v>Diego Castrillón</v>
      </c>
      <c r="L36" s="11" t="str">
        <f t="shared" si="4"/>
        <v>Los Amigos</v>
      </c>
      <c r="M36" s="11">
        <f t="shared" si="5"/>
        <v>2</v>
      </c>
      <c r="N36" s="11">
        <f>VLOOKUP(B36,'La Amistad'!$B$4:$G$18,5,FALSE)</f>
        <v>0</v>
      </c>
      <c r="O36" s="11" t="str">
        <f>IF(N36&gt;0,RANK(N36,$N$2:$N$240)+COUNTIF($N$2:N36,N36)-1,"")</f>
        <v/>
      </c>
      <c r="P36" s="11" t="str">
        <f t="shared" si="6"/>
        <v/>
      </c>
      <c r="Q36" s="11" t="str">
        <f t="shared" si="7"/>
        <v/>
      </c>
      <c r="R36" s="11" t="str">
        <f t="shared" si="8"/>
        <v/>
      </c>
      <c r="S36" s="11">
        <f>VLOOKUP(B36,'La Amistad'!$B$4:$G$18,6,FALSE)</f>
        <v>0</v>
      </c>
      <c r="T36" s="11" t="str">
        <f>IF(S36&gt;0,RANK(S36,$S$2:$S$240)+COUNTIF($S$2:S36,S36)-1,"")</f>
        <v/>
      </c>
      <c r="U36" s="11" t="str">
        <f t="shared" si="9"/>
        <v/>
      </c>
      <c r="V36" s="11" t="str">
        <f t="shared" si="10"/>
        <v/>
      </c>
      <c r="W36" s="11" t="str">
        <f t="shared" si="11"/>
        <v/>
      </c>
    </row>
    <row r="37" spans="1:23" x14ac:dyDescent="0.25">
      <c r="A37" s="17">
        <v>36</v>
      </c>
      <c r="B37" s="18" t="str">
        <f>Jugadores!C8</f>
        <v>Juan Manuel Marulanda</v>
      </c>
      <c r="C37" s="17" t="str">
        <f>+Jugadores!$C$2</f>
        <v>La Amistad</v>
      </c>
      <c r="D37" s="11">
        <f>VLOOKUP(B37,'La Amistad'!$B$4:$G$18,3,FALSE)</f>
        <v>19</v>
      </c>
      <c r="E37" s="11">
        <f>IF(D37&gt;0,RANK(D37,$D$2:$D$241)+COUNTIF($D$2:D37,D37)-1,"")</f>
        <v>9</v>
      </c>
      <c r="F37" s="11" t="str">
        <f t="shared" si="0"/>
        <v>Argemiro Medina</v>
      </c>
      <c r="G37" s="11" t="str">
        <f t="shared" si="1"/>
        <v>Ron Star</v>
      </c>
      <c r="H37" s="36">
        <f t="shared" si="2"/>
        <v>8</v>
      </c>
      <c r="I37" s="11">
        <f>VLOOKUP(B37,'La Amistad'!$B$4:$G$18,4,FALSE)</f>
        <v>0</v>
      </c>
      <c r="J37" s="11" t="str">
        <f>IF(I37&gt;0,RANK(I37,$I$2:$I$240)+COUNTIF($I$2:I37,I37)-1,"")</f>
        <v/>
      </c>
      <c r="K37" s="11" t="str">
        <f t="shared" si="3"/>
        <v>Hernán Sánchez</v>
      </c>
      <c r="L37" s="11" t="str">
        <f t="shared" si="4"/>
        <v>Los Amigos</v>
      </c>
      <c r="M37" s="11">
        <f t="shared" si="5"/>
        <v>2</v>
      </c>
      <c r="N37" s="11">
        <f>VLOOKUP(B37,'La Amistad'!$B$4:$G$18,5,FALSE)</f>
        <v>7</v>
      </c>
      <c r="O37" s="11" t="e">
        <f>IF(N37&gt;0,RANK(N37,$N$2:$N$240)+COUNTIF($N$2:N37,N37)-1,"")</f>
        <v>#N/A</v>
      </c>
      <c r="P37" s="11" t="str">
        <f t="shared" si="6"/>
        <v/>
      </c>
      <c r="Q37" s="11" t="str">
        <f t="shared" si="7"/>
        <v/>
      </c>
      <c r="R37" s="11" t="str">
        <f t="shared" si="8"/>
        <v/>
      </c>
      <c r="S37" s="11">
        <f>VLOOKUP(B37,'La Amistad'!$B$4:$G$18,6,FALSE)</f>
        <v>0</v>
      </c>
      <c r="T37" s="11" t="str">
        <f>IF(S37&gt;0,RANK(S37,$S$2:$S$240)+COUNTIF($S$2:S37,S37)-1,"")</f>
        <v/>
      </c>
      <c r="U37" s="11" t="str">
        <f t="shared" si="9"/>
        <v/>
      </c>
      <c r="V37" s="11" t="str">
        <f t="shared" si="10"/>
        <v/>
      </c>
      <c r="W37" s="11" t="str">
        <f t="shared" si="11"/>
        <v/>
      </c>
    </row>
    <row r="38" spans="1:23" x14ac:dyDescent="0.25">
      <c r="A38" s="17">
        <v>37</v>
      </c>
      <c r="B38" s="18" t="str">
        <f>Jugadores!C9</f>
        <v>Stiven Londoño</v>
      </c>
      <c r="C38" s="17" t="str">
        <f>+Jugadores!$C$2</f>
        <v>La Amistad</v>
      </c>
      <c r="D38" s="11">
        <f>VLOOKUP(B38,'La Amistad'!$B$4:$G$18,3,FALSE)</f>
        <v>0</v>
      </c>
      <c r="E38" s="11" t="str">
        <f>IF(D38&gt;0,RANK(D38,$D$2:$D$241)+COUNTIF($D$2:D38,D38)-1,"")</f>
        <v/>
      </c>
      <c r="F38" s="11" t="str">
        <f t="shared" si="0"/>
        <v>Daniel Zuleta</v>
      </c>
      <c r="G38" s="11" t="str">
        <f t="shared" si="1"/>
        <v>Amenadim</v>
      </c>
      <c r="H38" s="36">
        <f t="shared" si="2"/>
        <v>8</v>
      </c>
      <c r="I38" s="11">
        <f>VLOOKUP(B38,'La Amistad'!$B$4:$G$18,4,FALSE)</f>
        <v>1</v>
      </c>
      <c r="J38" s="11">
        <f>IF(I38&gt;0,RANK(I38,$I$2:$I$240)+COUNTIF($I$2:I38,I38)-1,"")</f>
        <v>84</v>
      </c>
      <c r="K38" s="11" t="str">
        <f t="shared" si="3"/>
        <v>Gonzalo Carvajal</v>
      </c>
      <c r="L38" s="11" t="str">
        <f t="shared" si="4"/>
        <v>La Nueva Era</v>
      </c>
      <c r="M38" s="11">
        <f t="shared" si="5"/>
        <v>2</v>
      </c>
      <c r="N38" s="11">
        <f>VLOOKUP(B38,'La Amistad'!$B$4:$G$18,5,FALSE)</f>
        <v>0</v>
      </c>
      <c r="O38" s="11" t="str">
        <f>IF(N38&gt;0,RANK(N38,$N$2:$N$240)+COUNTIF($N$2:N38,N38)-1,"")</f>
        <v/>
      </c>
      <c r="P38" s="11" t="str">
        <f t="shared" si="6"/>
        <v/>
      </c>
      <c r="Q38" s="11" t="str">
        <f t="shared" si="7"/>
        <v/>
      </c>
      <c r="R38" s="11" t="str">
        <f t="shared" si="8"/>
        <v/>
      </c>
      <c r="S38" s="11">
        <f>VLOOKUP(B38,'La Amistad'!$B$4:$G$18,6,FALSE)</f>
        <v>0</v>
      </c>
      <c r="T38" s="11" t="str">
        <f>IF(S38&gt;0,RANK(S38,$S$2:$S$240)+COUNTIF($S$2:S38,S38)-1,"")</f>
        <v/>
      </c>
      <c r="U38" s="11" t="str">
        <f t="shared" si="9"/>
        <v/>
      </c>
      <c r="V38" s="11" t="str">
        <f t="shared" si="10"/>
        <v/>
      </c>
      <c r="W38" s="11" t="str">
        <f t="shared" si="11"/>
        <v/>
      </c>
    </row>
    <row r="39" spans="1:23" x14ac:dyDescent="0.25">
      <c r="A39" s="17">
        <v>38</v>
      </c>
      <c r="B39" s="18" t="str">
        <f>Jugadores!C10</f>
        <v>Antony Pérez Osorio</v>
      </c>
      <c r="C39" s="17" t="str">
        <f>+Jugadores!$C$2</f>
        <v>La Amistad</v>
      </c>
      <c r="D39" s="11">
        <f>VLOOKUP(B39,'La Amistad'!$B$4:$G$18,3,FALSE)</f>
        <v>3</v>
      </c>
      <c r="E39" s="11">
        <f>IF(D39&gt;0,RANK(D39,$D$2:$D$241)+COUNTIF($D$2:D39,D39)-1,"")</f>
        <v>93</v>
      </c>
      <c r="F39" s="11" t="str">
        <f t="shared" si="0"/>
        <v>Franklin Cuenú</v>
      </c>
      <c r="G39" s="11" t="str">
        <f t="shared" si="1"/>
        <v>Amenadim</v>
      </c>
      <c r="H39" s="36">
        <f t="shared" si="2"/>
        <v>8</v>
      </c>
      <c r="I39" s="11">
        <f>VLOOKUP(B39,'La Amistad'!$B$4:$G$18,4,FALSE)</f>
        <v>2</v>
      </c>
      <c r="J39" s="11">
        <f>IF(I39&gt;0,RANK(I39,$I$2:$I$240)+COUNTIF($I$2:I39,I39)-1,"")</f>
        <v>38</v>
      </c>
      <c r="K39" s="11" t="str">
        <f t="shared" si="3"/>
        <v>Antony Pérez Osorio</v>
      </c>
      <c r="L39" s="11" t="str">
        <f t="shared" si="4"/>
        <v>La Amistad</v>
      </c>
      <c r="M39" s="11">
        <f t="shared" si="5"/>
        <v>2</v>
      </c>
      <c r="N39" s="11">
        <f>VLOOKUP(B39,'La Amistad'!$B$4:$G$18,5,FALSE)</f>
        <v>0</v>
      </c>
      <c r="O39" s="11" t="str">
        <f>IF(N39&gt;0,RANK(N39,$N$2:$N$240)+COUNTIF($N$2:N39,N39)-1,"")</f>
        <v/>
      </c>
      <c r="P39" s="11" t="str">
        <f t="shared" si="6"/>
        <v/>
      </c>
      <c r="Q39" s="11" t="str">
        <f t="shared" si="7"/>
        <v/>
      </c>
      <c r="R39" s="11" t="str">
        <f t="shared" si="8"/>
        <v/>
      </c>
      <c r="S39" s="11">
        <f>VLOOKUP(B39,'La Amistad'!$B$4:$G$18,6,FALSE)</f>
        <v>0</v>
      </c>
      <c r="T39" s="11" t="str">
        <f>IF(S39&gt;0,RANK(S39,$S$2:$S$240)+COUNTIF($S$2:S39,S39)-1,"")</f>
        <v/>
      </c>
      <c r="U39" s="11" t="str">
        <f t="shared" si="9"/>
        <v/>
      </c>
      <c r="V39" s="11" t="str">
        <f t="shared" si="10"/>
        <v/>
      </c>
      <c r="W39" s="11" t="str">
        <f t="shared" si="11"/>
        <v/>
      </c>
    </row>
    <row r="40" spans="1:23" x14ac:dyDescent="0.25">
      <c r="A40" s="17">
        <v>39</v>
      </c>
      <c r="B40" s="18" t="str">
        <f>Jugadores!C11</f>
        <v xml:space="preserve">Deivid Jaramillo </v>
      </c>
      <c r="C40" s="17" t="str">
        <f>+Jugadores!$C$2</f>
        <v>La Amistad</v>
      </c>
      <c r="D40" s="11">
        <f>VLOOKUP(B40,'La Amistad'!$B$4:$G$18,3,FALSE)</f>
        <v>2</v>
      </c>
      <c r="E40" s="11">
        <f>IF(D40&gt;0,RANK(D40,$D$2:$D$241)+COUNTIF($D$2:D40,D40)-1,"")</f>
        <v>116</v>
      </c>
      <c r="F40" s="11" t="str">
        <f t="shared" si="0"/>
        <v>Santos FC 15</v>
      </c>
      <c r="G40" s="11" t="str">
        <f t="shared" si="1"/>
        <v>Valentín FC</v>
      </c>
      <c r="H40" s="36">
        <f t="shared" si="2"/>
        <v>8</v>
      </c>
      <c r="I40" s="11">
        <f>VLOOKUP(B40,'La Amistad'!$B$4:$G$18,4,FALSE)</f>
        <v>3</v>
      </c>
      <c r="J40" s="11">
        <f>IF(I40&gt;0,RANK(I40,$I$2:$I$240)+COUNTIF($I$2:I40,I40)-1,"")</f>
        <v>20</v>
      </c>
      <c r="K40" s="11" t="str">
        <f t="shared" si="3"/>
        <v xml:space="preserve">Juan David García </v>
      </c>
      <c r="L40" s="11" t="str">
        <f t="shared" si="4"/>
        <v>La Amistad</v>
      </c>
      <c r="M40" s="11">
        <f t="shared" si="5"/>
        <v>2</v>
      </c>
      <c r="N40" s="11">
        <f>VLOOKUP(B40,'La Amistad'!$B$4:$G$18,5,FALSE)</f>
        <v>0</v>
      </c>
      <c r="O40" s="11" t="str">
        <f>IF(N40&gt;0,RANK(N40,$N$2:$N$240)+COUNTIF($N$2:N40,N40)-1,"")</f>
        <v/>
      </c>
      <c r="P40" s="11" t="str">
        <f t="shared" si="6"/>
        <v/>
      </c>
      <c r="Q40" s="11" t="str">
        <f t="shared" si="7"/>
        <v/>
      </c>
      <c r="R40" s="11" t="str">
        <f t="shared" si="8"/>
        <v/>
      </c>
      <c r="S40" s="11">
        <f>VLOOKUP(B40,'La Amistad'!$B$4:$G$18,6,FALSE)</f>
        <v>2</v>
      </c>
      <c r="T40" s="11" t="e">
        <f>IF(S40&gt;0,RANK(S40,$S$2:$S$240)+COUNTIF($S$2:S40,S40)-1,"")</f>
        <v>#N/A</v>
      </c>
      <c r="U40" s="11" t="str">
        <f t="shared" si="9"/>
        <v/>
      </c>
      <c r="V40" s="11" t="str">
        <f t="shared" si="10"/>
        <v/>
      </c>
      <c r="W40" s="11" t="str">
        <f t="shared" si="11"/>
        <v/>
      </c>
    </row>
    <row r="41" spans="1:23" x14ac:dyDescent="0.25">
      <c r="A41" s="17">
        <v>40</v>
      </c>
      <c r="B41" s="18" t="str">
        <f>Jugadores!C12</f>
        <v>Santiago Cardona</v>
      </c>
      <c r="C41" s="17" t="str">
        <f>+Jugadores!$C$2</f>
        <v>La Amistad</v>
      </c>
      <c r="D41" s="11">
        <f>VLOOKUP(B41,'La Amistad'!$B$4:$G$18,3,FALSE)</f>
        <v>8</v>
      </c>
      <c r="E41" s="11">
        <f>IF(D41&gt;0,RANK(D41,$D$2:$D$241)+COUNTIF($D$2:D41,D41)-1,"")</f>
        <v>34</v>
      </c>
      <c r="F41" s="11" t="str">
        <f t="shared" si="0"/>
        <v>Santiago Quiroz</v>
      </c>
      <c r="G41" s="11" t="str">
        <f t="shared" si="1"/>
        <v>Los Amigos</v>
      </c>
      <c r="H41" s="36">
        <f t="shared" si="2"/>
        <v>7</v>
      </c>
      <c r="I41" s="11">
        <f>VLOOKUP(B41,'La Amistad'!$B$4:$G$18,4,FALSE)</f>
        <v>1</v>
      </c>
      <c r="J41" s="11">
        <f>IF(I41&gt;0,RANK(I41,$I$2:$I$240)+COUNTIF($I$2:I41,I41)-1,"")</f>
        <v>85</v>
      </c>
      <c r="K41" s="11" t="str">
        <f t="shared" si="3"/>
        <v>Norbey Flórez</v>
      </c>
      <c r="L41" s="11" t="str">
        <f t="shared" si="4"/>
        <v>Konami</v>
      </c>
      <c r="M41" s="11">
        <f t="shared" si="5"/>
        <v>2</v>
      </c>
      <c r="N41" s="11">
        <f>VLOOKUP(B41,'La Amistad'!$B$4:$G$18,5,FALSE)</f>
        <v>5</v>
      </c>
      <c r="O41" s="11" t="e">
        <f>IF(N41&gt;0,RANK(N41,$N$2:$N$240)+COUNTIF($N$2:N41,N41)-1,"")</f>
        <v>#N/A</v>
      </c>
      <c r="P41" s="11" t="str">
        <f t="shared" si="6"/>
        <v/>
      </c>
      <c r="Q41" s="11" t="str">
        <f t="shared" si="7"/>
        <v/>
      </c>
      <c r="R41" s="11" t="str">
        <f t="shared" si="8"/>
        <v/>
      </c>
      <c r="S41" s="11">
        <f>VLOOKUP(B41,'La Amistad'!$B$4:$G$18,6,FALSE)</f>
        <v>0</v>
      </c>
      <c r="T41" s="11" t="str">
        <f>IF(S41&gt;0,RANK(S41,$S$2:$S$240)+COUNTIF($S$2:S41,S41)-1,"")</f>
        <v/>
      </c>
      <c r="U41" s="11" t="str">
        <f t="shared" si="9"/>
        <v/>
      </c>
      <c r="V41" s="11" t="str">
        <f t="shared" si="10"/>
        <v/>
      </c>
      <c r="W41" s="11" t="str">
        <f t="shared" si="11"/>
        <v/>
      </c>
    </row>
    <row r="42" spans="1:23" x14ac:dyDescent="0.25">
      <c r="A42" s="17">
        <v>41</v>
      </c>
      <c r="B42" s="18" t="str">
        <f>Jugadores!C13</f>
        <v xml:space="preserve">Jhonatan Jaramillo </v>
      </c>
      <c r="C42" s="17" t="str">
        <f>+Jugadores!$C$2</f>
        <v>La Amistad</v>
      </c>
      <c r="D42" s="11">
        <f>VLOOKUP(B42,'La Amistad'!$B$4:$G$18,3,FALSE)</f>
        <v>1</v>
      </c>
      <c r="E42" s="11">
        <f>IF(D42&gt;0,RANK(D42,$D$2:$D$241)+COUNTIF($D$2:D42,D42)-1,"")</f>
        <v>142</v>
      </c>
      <c r="F42" s="11" t="str">
        <f t="shared" si="0"/>
        <v>Jaidiver Montoya</v>
      </c>
      <c r="G42" s="11" t="str">
        <f t="shared" si="1"/>
        <v>La Nueva Era</v>
      </c>
      <c r="H42" s="36">
        <f t="shared" si="2"/>
        <v>7</v>
      </c>
      <c r="I42" s="11">
        <f>VLOOKUP(B42,'La Amistad'!$B$4:$G$18,4,FALSE)</f>
        <v>0</v>
      </c>
      <c r="J42" s="11" t="str">
        <f>IF(I42&gt;0,RANK(I42,$I$2:$I$240)+COUNTIF($I$2:I42,I42)-1,"")</f>
        <v/>
      </c>
      <c r="K42" s="11" t="str">
        <f t="shared" si="3"/>
        <v xml:space="preserve">Fabián Serna </v>
      </c>
      <c r="L42" s="11" t="str">
        <f t="shared" si="4"/>
        <v>Konami</v>
      </c>
      <c r="M42" s="11">
        <f t="shared" si="5"/>
        <v>2</v>
      </c>
      <c r="N42" s="11">
        <f>VLOOKUP(B42,'La Amistad'!$B$4:$G$18,5,FALSE)</f>
        <v>0</v>
      </c>
      <c r="O42" s="11" t="str">
        <f>IF(N42&gt;0,RANK(N42,$N$2:$N$240)+COUNTIF($N$2:N42,N42)-1,"")</f>
        <v/>
      </c>
      <c r="P42" s="11" t="str">
        <f t="shared" si="6"/>
        <v/>
      </c>
      <c r="Q42" s="11" t="str">
        <f t="shared" si="7"/>
        <v/>
      </c>
      <c r="R42" s="11" t="str">
        <f t="shared" si="8"/>
        <v/>
      </c>
      <c r="S42" s="11">
        <f>VLOOKUP(B42,'La Amistad'!$B$4:$G$18,6,FALSE)</f>
        <v>0</v>
      </c>
      <c r="T42" s="11" t="str">
        <f>IF(S42&gt;0,RANK(S42,$S$2:$S$240)+COUNTIF($S$2:S42,S42)-1,"")</f>
        <v/>
      </c>
      <c r="U42" s="11" t="str">
        <f t="shared" si="9"/>
        <v/>
      </c>
      <c r="V42" s="11" t="str">
        <f t="shared" si="10"/>
        <v/>
      </c>
      <c r="W42" s="11" t="str">
        <f t="shared" si="11"/>
        <v/>
      </c>
    </row>
    <row r="43" spans="1:23" x14ac:dyDescent="0.25">
      <c r="A43" s="17">
        <v>42</v>
      </c>
      <c r="B43" s="18" t="str">
        <f>Jugadores!C14</f>
        <v xml:space="preserve">Miguel Ángel Patiño </v>
      </c>
      <c r="C43" s="17" t="str">
        <f>+Jugadores!$C$2</f>
        <v>La Amistad</v>
      </c>
      <c r="D43" s="11">
        <f>VLOOKUP(B43,'La Amistad'!$B$4:$G$18,3,FALSE)</f>
        <v>2</v>
      </c>
      <c r="E43" s="11">
        <f>IF(D43&gt;0,RANK(D43,$D$2:$D$241)+COUNTIF($D$2:D43,D43)-1,"")</f>
        <v>117</v>
      </c>
      <c r="F43" s="11" t="str">
        <f t="shared" si="0"/>
        <v>José Ángel Londoño</v>
      </c>
      <c r="G43" s="11" t="str">
        <f t="shared" si="1"/>
        <v>Hojas Anchas</v>
      </c>
      <c r="H43" s="36">
        <f t="shared" si="2"/>
        <v>7</v>
      </c>
      <c r="I43" s="11">
        <f>VLOOKUP(B43,'La Amistad'!$B$4:$G$18,4,FALSE)</f>
        <v>0</v>
      </c>
      <c r="J43" s="11" t="str">
        <f>IF(I43&gt;0,RANK(I43,$I$2:$I$240)+COUNTIF($I$2:I43,I43)-1,"")</f>
        <v/>
      </c>
      <c r="K43" s="11" t="str">
        <f t="shared" si="3"/>
        <v>Gregory Mora</v>
      </c>
      <c r="L43" s="11" t="str">
        <f t="shared" si="4"/>
        <v>Villanueva</v>
      </c>
      <c r="M43" s="11">
        <f t="shared" si="5"/>
        <v>2</v>
      </c>
      <c r="N43" s="11">
        <f>VLOOKUP(B43,'La Amistad'!$B$4:$G$18,5,FALSE)</f>
        <v>0</v>
      </c>
      <c r="O43" s="11" t="str">
        <f>IF(N43&gt;0,RANK(N43,$N$2:$N$240)+COUNTIF($N$2:N43,N43)-1,"")</f>
        <v/>
      </c>
      <c r="P43" s="11" t="str">
        <f t="shared" si="6"/>
        <v/>
      </c>
      <c r="Q43" s="11" t="str">
        <f t="shared" si="7"/>
        <v/>
      </c>
      <c r="R43" s="11" t="str">
        <f t="shared" si="8"/>
        <v/>
      </c>
      <c r="S43" s="11">
        <f>VLOOKUP(B43,'La Amistad'!$B$4:$G$18,6,FALSE)</f>
        <v>0</v>
      </c>
      <c r="T43" s="11" t="str">
        <f>IF(S43&gt;0,RANK(S43,$S$2:$S$240)+COUNTIF($S$2:S43,S43)-1,"")</f>
        <v/>
      </c>
      <c r="U43" s="11" t="str">
        <f t="shared" si="9"/>
        <v/>
      </c>
      <c r="V43" s="11" t="str">
        <f t="shared" si="10"/>
        <v/>
      </c>
      <c r="W43" s="11" t="str">
        <f t="shared" si="11"/>
        <v/>
      </c>
    </row>
    <row r="44" spans="1:23" x14ac:dyDescent="0.25">
      <c r="A44" s="17">
        <v>43</v>
      </c>
      <c r="B44" s="18" t="str">
        <f>Jugadores!C15</f>
        <v xml:space="preserve">Juan David García </v>
      </c>
      <c r="C44" s="17" t="str">
        <f>+Jugadores!$C$2</f>
        <v>La Amistad</v>
      </c>
      <c r="D44" s="11">
        <f>VLOOKUP(B44,'La Amistad'!$B$4:$G$18,3,FALSE)</f>
        <v>0</v>
      </c>
      <c r="E44" s="11" t="str">
        <f>IF(D44&gt;0,RANK(D44,$D$2:$D$241)+COUNTIF($D$2:D44,D44)-1,"")</f>
        <v/>
      </c>
      <c r="F44" s="11" t="str">
        <f t="shared" si="0"/>
        <v>Cristián Duque</v>
      </c>
      <c r="G44" s="11" t="str">
        <f t="shared" si="1"/>
        <v>Valentín FC</v>
      </c>
      <c r="H44" s="36">
        <f t="shared" si="2"/>
        <v>7</v>
      </c>
      <c r="I44" s="11">
        <f>VLOOKUP(B44,'La Amistad'!$B$4:$G$18,4,FALSE)</f>
        <v>2</v>
      </c>
      <c r="J44" s="11">
        <f>IF(I44&gt;0,RANK(I44,$I$2:$I$240)+COUNTIF($I$2:I44,I44)-1,"")</f>
        <v>39</v>
      </c>
      <c r="K44" s="11" t="str">
        <f t="shared" si="3"/>
        <v>Elias Reyes</v>
      </c>
      <c r="L44" s="11" t="str">
        <f t="shared" si="4"/>
        <v>Villanueva</v>
      </c>
      <c r="M44" s="11">
        <f t="shared" si="5"/>
        <v>2</v>
      </c>
      <c r="N44" s="11">
        <f>VLOOKUP(B44,'La Amistad'!$B$4:$G$18,5,FALSE)</f>
        <v>0</v>
      </c>
      <c r="O44" s="11" t="str">
        <f>IF(N44&gt;0,RANK(N44,$N$2:$N$240)+COUNTIF($N$2:N44,N44)-1,"")</f>
        <v/>
      </c>
      <c r="P44" s="11" t="str">
        <f t="shared" si="6"/>
        <v/>
      </c>
      <c r="Q44" s="11" t="str">
        <f t="shared" si="7"/>
        <v/>
      </c>
      <c r="R44" s="11" t="str">
        <f t="shared" si="8"/>
        <v/>
      </c>
      <c r="S44" s="11">
        <f>VLOOKUP(B44,'La Amistad'!$B$4:$G$18,6,FALSE)</f>
        <v>0</v>
      </c>
      <c r="T44" s="11" t="str">
        <f>IF(S44&gt;0,RANK(S44,$S$2:$S$240)+COUNTIF($S$2:S44,S44)-1,"")</f>
        <v/>
      </c>
      <c r="U44" s="11" t="str">
        <f t="shared" si="9"/>
        <v/>
      </c>
      <c r="V44" s="11" t="str">
        <f t="shared" si="10"/>
        <v/>
      </c>
      <c r="W44" s="11" t="str">
        <f t="shared" si="11"/>
        <v/>
      </c>
    </row>
    <row r="45" spans="1:23" s="25" customFormat="1" x14ac:dyDescent="0.25">
      <c r="A45" s="17">
        <v>44</v>
      </c>
      <c r="B45" s="18" t="str">
        <f>Jugadores!C16</f>
        <v xml:space="preserve">Samuel Isaza Hincapié </v>
      </c>
      <c r="C45" s="17" t="str">
        <f>+Jugadores!$C$2</f>
        <v>La Amistad</v>
      </c>
      <c r="D45" s="11">
        <f>VLOOKUP(B45,'La Amistad'!$B$4:$G$18,3,FALSE)</f>
        <v>1</v>
      </c>
      <c r="E45" s="11">
        <f>IF(D45&gt;0,RANK(D45,$D$2:$D$241)+COUNTIF($D$2:D45,D45)-1,"")</f>
        <v>143</v>
      </c>
      <c r="F45" s="11" t="str">
        <f t="shared" si="0"/>
        <v>Daniel Garcia</v>
      </c>
      <c r="G45" s="11" t="str">
        <f t="shared" si="1"/>
        <v>Boca Juniors</v>
      </c>
      <c r="H45" s="36">
        <f t="shared" si="2"/>
        <v>7</v>
      </c>
      <c r="I45" s="11">
        <f>VLOOKUP(B45,'La Amistad'!$B$4:$G$18,4,FALSE)</f>
        <v>1</v>
      </c>
      <c r="J45" s="11">
        <f>IF(I45&gt;0,RANK(I45,$I$2:$I$240)+COUNTIF($I$2:I45,I45)-1,"")</f>
        <v>86</v>
      </c>
      <c r="K45" s="11" t="str">
        <f t="shared" si="3"/>
        <v>Eliecer Serpa</v>
      </c>
      <c r="L45" s="11" t="str">
        <f t="shared" si="4"/>
        <v>Ron Star</v>
      </c>
      <c r="M45" s="11">
        <f t="shared" si="5"/>
        <v>2</v>
      </c>
      <c r="N45" s="11">
        <f>VLOOKUP(B45,'La Amistad'!$B$4:$G$18,5,FALSE)</f>
        <v>0</v>
      </c>
      <c r="O45" s="11" t="str">
        <f>IF(N45&gt;0,RANK(N45,$N$2:$N$240)+COUNTIF($N$2:N45,N45)-1,"")</f>
        <v/>
      </c>
      <c r="P45" s="11" t="str">
        <f t="shared" si="6"/>
        <v/>
      </c>
      <c r="Q45" s="11" t="str">
        <f t="shared" si="7"/>
        <v/>
      </c>
      <c r="R45" s="11" t="str">
        <f t="shared" si="8"/>
        <v/>
      </c>
      <c r="S45" s="11">
        <f>VLOOKUP(B45,'La Amistad'!$B$4:$G$18,6,FALSE)</f>
        <v>0</v>
      </c>
      <c r="T45" s="11" t="str">
        <f>IF(S45&gt;0,RANK(S45,$S$2:$S$240)+COUNTIF($S$2:S45,S45)-1,"")</f>
        <v/>
      </c>
      <c r="U45" s="11" t="str">
        <f t="shared" si="9"/>
        <v/>
      </c>
      <c r="V45" s="11" t="str">
        <f t="shared" si="10"/>
        <v/>
      </c>
      <c r="W45" s="11" t="str">
        <f t="shared" si="11"/>
        <v/>
      </c>
    </row>
    <row r="46" spans="1:23" x14ac:dyDescent="0.25">
      <c r="A46" s="17">
        <v>45</v>
      </c>
      <c r="B46" s="18" t="str">
        <f>Jugadores!C17</f>
        <v xml:space="preserve">Faver Jaramillo </v>
      </c>
      <c r="C46" s="17" t="str">
        <f>+Jugadores!$C$2</f>
        <v>La Amistad</v>
      </c>
      <c r="D46" s="11">
        <f>VLOOKUP(B46,'La Amistad'!$B$4:$G$18,3,FALSE)</f>
        <v>6</v>
      </c>
      <c r="E46" s="11">
        <f>IF(D46&gt;0,RANK(D46,$D$2:$D$241)+COUNTIF($D$2:D46,D46)-1,"")</f>
        <v>52</v>
      </c>
      <c r="F46" s="11" t="str">
        <f t="shared" si="0"/>
        <v>Carlos Villa</v>
      </c>
      <c r="G46" s="11" t="str">
        <f t="shared" si="1"/>
        <v>Deportivo Fénix</v>
      </c>
      <c r="H46" s="36">
        <f t="shared" si="2"/>
        <v>7</v>
      </c>
      <c r="I46" s="11">
        <f>VLOOKUP(B46,'La Amistad'!$B$4:$G$18,4,FALSE)</f>
        <v>0</v>
      </c>
      <c r="J46" s="11" t="str">
        <f>IF(I46&gt;0,RANK(I46,$I$2:$I$240)+COUNTIF($I$2:I46,I46)-1,"")</f>
        <v/>
      </c>
      <c r="K46" s="11" t="str">
        <f t="shared" si="3"/>
        <v>John Fredy Zapata</v>
      </c>
      <c r="L46" s="11" t="str">
        <f t="shared" si="4"/>
        <v>Ron Star</v>
      </c>
      <c r="M46" s="11">
        <f t="shared" si="5"/>
        <v>2</v>
      </c>
      <c r="N46" s="11">
        <f>VLOOKUP(B46,'La Amistad'!$B$4:$G$18,5,FALSE)</f>
        <v>1</v>
      </c>
      <c r="O46" s="11" t="e">
        <f>IF(N46&gt;0,RANK(N46,$N$2:$N$240)+COUNTIF($N$2:N46,N46)-1,"")</f>
        <v>#N/A</v>
      </c>
      <c r="P46" s="11" t="str">
        <f t="shared" si="6"/>
        <v/>
      </c>
      <c r="Q46" s="11" t="str">
        <f t="shared" si="7"/>
        <v/>
      </c>
      <c r="R46" s="11" t="str">
        <f t="shared" si="8"/>
        <v/>
      </c>
      <c r="S46" s="11">
        <f>VLOOKUP(B46,'La Amistad'!$B$4:$G$18,6,FALSE)</f>
        <v>0</v>
      </c>
      <c r="T46" s="11" t="str">
        <f>IF(S46&gt;0,RANK(S46,$S$2:$S$240)+COUNTIF($S$2:S46,S46)-1,"")</f>
        <v/>
      </c>
      <c r="U46" s="11" t="str">
        <f t="shared" si="9"/>
        <v/>
      </c>
      <c r="V46" s="11" t="str">
        <f t="shared" si="10"/>
        <v/>
      </c>
      <c r="W46" s="11" t="str">
        <f t="shared" si="11"/>
        <v/>
      </c>
    </row>
    <row r="47" spans="1:23" x14ac:dyDescent="0.25">
      <c r="A47" s="17">
        <v>46</v>
      </c>
      <c r="B47" s="18" t="str">
        <f>Jugadores!D3</f>
        <v>Santiago Lopera</v>
      </c>
      <c r="C47" s="17" t="str">
        <f>+Jugadores!$D$2</f>
        <v>Konami</v>
      </c>
      <c r="D47" s="11">
        <f>VLOOKUP(B47,Konami!$B$4:$G$18,3,FALSE)</f>
        <v>25</v>
      </c>
      <c r="E47" s="11">
        <f>IF(D47&gt;0,RANK(D47,$D$2:$D$241)+COUNTIF($D$2:D47,D47)-1,"")</f>
        <v>5</v>
      </c>
      <c r="F47" s="11" t="str">
        <f t="shared" si="0"/>
        <v>Edinsón Molina</v>
      </c>
      <c r="G47" s="11" t="str">
        <f t="shared" si="1"/>
        <v>La Unión FC</v>
      </c>
      <c r="H47" s="36">
        <f t="shared" si="2"/>
        <v>7</v>
      </c>
      <c r="I47" s="11">
        <f>VLOOKUP(B47,Konami!$B$4:$G$18,4,FALSE)</f>
        <v>0</v>
      </c>
      <c r="J47" s="11" t="str">
        <f>IF(I47&gt;0,RANK(I47,$I$2:$I$240)+COUNTIF($I$2:I47,I47)-1,"")</f>
        <v/>
      </c>
      <c r="K47" s="11" t="str">
        <f t="shared" si="3"/>
        <v>Dany Gaviria</v>
      </c>
      <c r="L47" s="11" t="str">
        <f t="shared" si="4"/>
        <v>Ron Star</v>
      </c>
      <c r="M47" s="11">
        <f t="shared" si="5"/>
        <v>2</v>
      </c>
      <c r="N47" s="11">
        <f>VLOOKUP(B47,Konami!$B$4:$G$18,5,FALSE)</f>
        <v>0</v>
      </c>
      <c r="O47" s="11" t="str">
        <f>IF(N47&gt;0,RANK(N47,$N$2:$N$240)+COUNTIF($N$2:N47,N47)-1,"")</f>
        <v/>
      </c>
      <c r="P47" s="11" t="str">
        <f t="shared" si="6"/>
        <v/>
      </c>
      <c r="Q47" s="11" t="str">
        <f t="shared" si="7"/>
        <v/>
      </c>
      <c r="R47" s="11" t="str">
        <f t="shared" si="8"/>
        <v/>
      </c>
      <c r="S47" s="11">
        <f>VLOOKUP(B47,Konami!$B$4:$G$18,6,FALSE)</f>
        <v>0</v>
      </c>
      <c r="T47" s="11" t="str">
        <f>IF(S47&gt;0,RANK(S47,$S$2:$S$240)+COUNTIF($S$2:S47,S47)-1,"")</f>
        <v/>
      </c>
      <c r="U47" s="11" t="str">
        <f t="shared" si="9"/>
        <v/>
      </c>
      <c r="V47" s="11" t="str">
        <f t="shared" si="10"/>
        <v/>
      </c>
      <c r="W47" s="11" t="str">
        <f t="shared" si="11"/>
        <v/>
      </c>
    </row>
    <row r="48" spans="1:23" x14ac:dyDescent="0.25">
      <c r="A48" s="17">
        <v>47</v>
      </c>
      <c r="B48" s="18" t="str">
        <f>Jugadores!D4</f>
        <v>Norbey Flórez</v>
      </c>
      <c r="C48" s="17" t="str">
        <f>+Jugadores!$D$2</f>
        <v>Konami</v>
      </c>
      <c r="D48" s="11">
        <f>VLOOKUP(B48,Konami!$B$4:$G$18,3,FALSE)</f>
        <v>8</v>
      </c>
      <c r="E48" s="11">
        <f>IF(D48&gt;0,RANK(D48,$D$2:$D$241)+COUNTIF($D$2:D48,D48)-1,"")</f>
        <v>35</v>
      </c>
      <c r="F48" s="11" t="str">
        <f t="shared" si="0"/>
        <v>Gustavo Moscoso</v>
      </c>
      <c r="G48" s="11" t="str">
        <f t="shared" si="1"/>
        <v>Los Aliados</v>
      </c>
      <c r="H48" s="36">
        <f t="shared" si="2"/>
        <v>7</v>
      </c>
      <c r="I48" s="11">
        <f>VLOOKUP(B48,Konami!$B$4:$G$18,4,FALSE)</f>
        <v>2</v>
      </c>
      <c r="J48" s="11">
        <f>IF(I48&gt;0,RANK(I48,$I$2:$I$240)+COUNTIF($I$2:I48,I48)-1,"")</f>
        <v>40</v>
      </c>
      <c r="K48" s="11" t="str">
        <f t="shared" si="3"/>
        <v>Diego Patiño</v>
      </c>
      <c r="L48" s="11" t="str">
        <f t="shared" si="4"/>
        <v>Ron Star</v>
      </c>
      <c r="M48" s="11">
        <f t="shared" si="5"/>
        <v>2</v>
      </c>
      <c r="N48" s="11">
        <f>VLOOKUP(B48,Konami!$B$4:$G$18,5,FALSE)</f>
        <v>0</v>
      </c>
      <c r="O48" s="11" t="str">
        <f>IF(N48&gt;0,RANK(N48,$N$2:$N$240)+COUNTIF($N$2:N48,N48)-1,"")</f>
        <v/>
      </c>
      <c r="P48" s="11" t="str">
        <f t="shared" si="6"/>
        <v/>
      </c>
      <c r="Q48" s="11" t="str">
        <f t="shared" si="7"/>
        <v/>
      </c>
      <c r="R48" s="11" t="str">
        <f t="shared" si="8"/>
        <v/>
      </c>
      <c r="S48" s="11">
        <f>VLOOKUP(B48,Konami!$B$4:$G$18,6,FALSE)</f>
        <v>0</v>
      </c>
      <c r="T48" s="11" t="str">
        <f>IF(S48&gt;0,RANK(S48,$S$2:$S$240)+COUNTIF($S$2:S48,S48)-1,"")</f>
        <v/>
      </c>
      <c r="U48" s="11" t="str">
        <f t="shared" si="9"/>
        <v/>
      </c>
      <c r="V48" s="11" t="str">
        <f t="shared" si="10"/>
        <v/>
      </c>
      <c r="W48" s="11" t="str">
        <f t="shared" si="11"/>
        <v/>
      </c>
    </row>
    <row r="49" spans="1:23" x14ac:dyDescent="0.25">
      <c r="A49" s="17">
        <v>48</v>
      </c>
      <c r="B49" s="18" t="str">
        <f>Jugadores!D5</f>
        <v xml:space="preserve">Andrés Cifuentes </v>
      </c>
      <c r="C49" s="17" t="str">
        <f>+Jugadores!$D$2</f>
        <v>Konami</v>
      </c>
      <c r="D49" s="11">
        <f>VLOOKUP(B49,Konami!$B$4:$G$18,3,FALSE)</f>
        <v>1</v>
      </c>
      <c r="E49" s="11">
        <f>IF(D49&gt;0,RANK(D49,$D$2:$D$241)+COUNTIF($D$2:D49,D49)-1,"")</f>
        <v>144</v>
      </c>
      <c r="F49" s="11" t="str">
        <f t="shared" si="0"/>
        <v>Andy Urango Viloria</v>
      </c>
      <c r="G49" s="11" t="str">
        <f t="shared" si="1"/>
        <v>CD El Corozo</v>
      </c>
      <c r="H49" s="36">
        <f t="shared" si="2"/>
        <v>7</v>
      </c>
      <c r="I49" s="11">
        <f>VLOOKUP(B49,Konami!$B$4:$G$18,4,FALSE)</f>
        <v>0</v>
      </c>
      <c r="J49" s="11" t="str">
        <f>IF(I49&gt;0,RANK(I49,$I$2:$I$240)+COUNTIF($I$2:I49,I49)-1,"")</f>
        <v/>
      </c>
      <c r="K49" s="11" t="str">
        <f t="shared" si="3"/>
        <v>Leandro Oviedo</v>
      </c>
      <c r="L49" s="11" t="str">
        <f t="shared" si="4"/>
        <v>Amenadim</v>
      </c>
      <c r="M49" s="11">
        <f t="shared" si="5"/>
        <v>2</v>
      </c>
      <c r="N49" s="11">
        <f>VLOOKUP(B49,Konami!$B$4:$G$18,5,FALSE)</f>
        <v>0</v>
      </c>
      <c r="O49" s="11" t="str">
        <f>IF(N49&gt;0,RANK(N49,$N$2:$N$240)+COUNTIF($N$2:N49,N49)-1,"")</f>
        <v/>
      </c>
      <c r="P49" s="11" t="str">
        <f t="shared" si="6"/>
        <v/>
      </c>
      <c r="Q49" s="11" t="str">
        <f t="shared" si="7"/>
        <v/>
      </c>
      <c r="R49" s="11" t="str">
        <f t="shared" si="8"/>
        <v/>
      </c>
      <c r="S49" s="11">
        <f>VLOOKUP(B49,Konami!$B$4:$G$18,6,FALSE)</f>
        <v>0</v>
      </c>
      <c r="T49" s="11" t="str">
        <f>IF(S49&gt;0,RANK(S49,$S$2:$S$240)+COUNTIF($S$2:S49,S49)-1,"")</f>
        <v/>
      </c>
      <c r="U49" s="11" t="str">
        <f t="shared" si="9"/>
        <v/>
      </c>
      <c r="V49" s="11" t="str">
        <f t="shared" si="10"/>
        <v/>
      </c>
      <c r="W49" s="11" t="str">
        <f t="shared" si="11"/>
        <v/>
      </c>
    </row>
    <row r="50" spans="1:23" x14ac:dyDescent="0.25">
      <c r="A50" s="17">
        <v>49</v>
      </c>
      <c r="B50" s="18" t="str">
        <f>Jugadores!D6</f>
        <v>Santiago Piedrahíta</v>
      </c>
      <c r="C50" s="17" t="str">
        <f>+Jugadores!$D$2</f>
        <v>Konami</v>
      </c>
      <c r="D50" s="11">
        <f>VLOOKUP(B50,Konami!$B$4:$G$18,3,FALSE)</f>
        <v>1</v>
      </c>
      <c r="E50" s="11">
        <f>IF(D50&gt;0,RANK(D50,$D$2:$D$241)+COUNTIF($D$2:D50,D50)-1,"")</f>
        <v>145</v>
      </c>
      <c r="F50" s="11" t="str">
        <f t="shared" si="0"/>
        <v>Jhon Restrepo</v>
      </c>
      <c r="G50" s="11" t="str">
        <f t="shared" si="1"/>
        <v>Los Amigos</v>
      </c>
      <c r="H50" s="36">
        <f t="shared" si="2"/>
        <v>6</v>
      </c>
      <c r="I50" s="11">
        <f>VLOOKUP(B50,Konami!$B$4:$G$18,4,FALSE)</f>
        <v>1</v>
      </c>
      <c r="J50" s="11">
        <f>IF(I50&gt;0,RANK(I50,$I$2:$I$240)+COUNTIF($I$2:I50,I50)-1,"")</f>
        <v>87</v>
      </c>
      <c r="K50" s="11" t="str">
        <f t="shared" si="3"/>
        <v>Jimy Manrique</v>
      </c>
      <c r="L50" s="11" t="str">
        <f t="shared" si="4"/>
        <v>Hojas Anchas</v>
      </c>
      <c r="M50" s="11">
        <f t="shared" si="5"/>
        <v>2</v>
      </c>
      <c r="N50" s="11">
        <f>VLOOKUP(B50,Konami!$B$4:$G$18,5,FALSE)</f>
        <v>0</v>
      </c>
      <c r="O50" s="11" t="str">
        <f>IF(N50&gt;0,RANK(N50,$N$2:$N$240)+COUNTIF($N$2:N50,N50)-1,"")</f>
        <v/>
      </c>
      <c r="P50" s="11" t="str">
        <f t="shared" si="6"/>
        <v/>
      </c>
      <c r="Q50" s="11" t="str">
        <f t="shared" si="7"/>
        <v/>
      </c>
      <c r="R50" s="11" t="str">
        <f t="shared" si="8"/>
        <v/>
      </c>
      <c r="S50" s="11">
        <f>VLOOKUP(B50,Konami!$B$4:$G$18,6,FALSE)</f>
        <v>0</v>
      </c>
      <c r="T50" s="11" t="str">
        <f>IF(S50&gt;0,RANK(S50,$S$2:$S$240)+COUNTIF($S$2:S50,S50)-1,"")</f>
        <v/>
      </c>
      <c r="U50" s="11" t="str">
        <f t="shared" si="9"/>
        <v/>
      </c>
      <c r="V50" s="11" t="str">
        <f t="shared" si="10"/>
        <v/>
      </c>
      <c r="W50" s="11" t="str">
        <f t="shared" si="11"/>
        <v/>
      </c>
    </row>
    <row r="51" spans="1:23" x14ac:dyDescent="0.25">
      <c r="A51" s="17">
        <v>50</v>
      </c>
      <c r="B51" s="18" t="str">
        <f>Jugadores!D7</f>
        <v>Jorge Briceño</v>
      </c>
      <c r="C51" s="17" t="str">
        <f>+Jugadores!$D$2</f>
        <v>Konami</v>
      </c>
      <c r="D51" s="11">
        <f>VLOOKUP(B51,Konami!$B$4:$G$18,3,FALSE)</f>
        <v>2</v>
      </c>
      <c r="E51" s="11">
        <f>IF(D51&gt;0,RANK(D51,$D$2:$D$241)+COUNTIF($D$2:D51,D51)-1,"")</f>
        <v>118</v>
      </c>
      <c r="F51" s="11" t="str">
        <f t="shared" si="0"/>
        <v xml:space="preserve">Jhonatan Carvajal </v>
      </c>
      <c r="G51" s="11" t="str">
        <f t="shared" si="1"/>
        <v>La Nueva Era</v>
      </c>
      <c r="H51" s="36">
        <f t="shared" si="2"/>
        <v>6</v>
      </c>
      <c r="I51" s="11">
        <f>VLOOKUP(B51,Konami!$B$4:$G$18,4,FALSE)</f>
        <v>1</v>
      </c>
      <c r="J51" s="11">
        <f>IF(I51&gt;0,RANK(I51,$I$2:$I$240)+COUNTIF($I$2:I51,I51)-1,"")</f>
        <v>88</v>
      </c>
      <c r="K51" s="11" t="str">
        <f t="shared" si="3"/>
        <v xml:space="preserve">Jeison Londoño </v>
      </c>
      <c r="L51" s="11" t="str">
        <f t="shared" si="4"/>
        <v>Hojas Anchas</v>
      </c>
      <c r="M51" s="11">
        <f t="shared" si="5"/>
        <v>2</v>
      </c>
      <c r="N51" s="11">
        <f>VLOOKUP(B51,Konami!$B$4:$G$18,5,FALSE)</f>
        <v>0</v>
      </c>
      <c r="O51" s="11" t="str">
        <f>IF(N51&gt;0,RANK(N51,$N$2:$N$240)+COUNTIF($N$2:N51,N51)-1,"")</f>
        <v/>
      </c>
      <c r="P51" s="11" t="str">
        <f t="shared" si="6"/>
        <v/>
      </c>
      <c r="Q51" s="11" t="str">
        <f t="shared" si="7"/>
        <v/>
      </c>
      <c r="R51" s="11" t="str">
        <f t="shared" si="8"/>
        <v/>
      </c>
      <c r="S51" s="11">
        <f>VLOOKUP(B51,Konami!$B$4:$G$18,6,FALSE)</f>
        <v>0</v>
      </c>
      <c r="T51" s="11" t="str">
        <f>IF(S51&gt;0,RANK(S51,$S$2:$S$240)+COUNTIF($S$2:S51,S51)-1,"")</f>
        <v/>
      </c>
      <c r="U51" s="11" t="str">
        <f t="shared" si="9"/>
        <v/>
      </c>
      <c r="V51" s="11" t="str">
        <f t="shared" si="10"/>
        <v/>
      </c>
      <c r="W51" s="11" t="str">
        <f t="shared" si="11"/>
        <v/>
      </c>
    </row>
    <row r="52" spans="1:23" x14ac:dyDescent="0.25">
      <c r="A52" s="17">
        <v>51</v>
      </c>
      <c r="B52" s="18" t="str">
        <f>Jugadores!D8</f>
        <v>Robinson Rivera</v>
      </c>
      <c r="C52" s="17" t="str">
        <f>+Jugadores!$D$2</f>
        <v>Konami</v>
      </c>
      <c r="D52" s="11">
        <f>VLOOKUP(B52,Konami!$B$4:$G$18,3,FALSE)</f>
        <v>2</v>
      </c>
      <c r="E52" s="11">
        <f>IF(D52&gt;0,RANK(D52,$D$2:$D$241)+COUNTIF($D$2:D52,D52)-1,"")</f>
        <v>119</v>
      </c>
      <c r="F52" s="11" t="str">
        <f t="shared" si="0"/>
        <v>Gonzalo Carvajal</v>
      </c>
      <c r="G52" s="11" t="str">
        <f t="shared" si="1"/>
        <v>La Nueva Era</v>
      </c>
      <c r="H52" s="36">
        <f t="shared" si="2"/>
        <v>6</v>
      </c>
      <c r="I52" s="11">
        <f>VLOOKUP(B52,Konami!$B$4:$G$18,4,FALSE)</f>
        <v>0</v>
      </c>
      <c r="J52" s="11" t="str">
        <f>IF(I52&gt;0,RANK(I52,$I$2:$I$240)+COUNTIF($I$2:I52,I52)-1,"")</f>
        <v/>
      </c>
      <c r="K52" s="11" t="str">
        <f t="shared" si="3"/>
        <v>Simón Flórez</v>
      </c>
      <c r="L52" s="11" t="str">
        <f t="shared" si="4"/>
        <v>Valentín FC</v>
      </c>
      <c r="M52" s="11">
        <f t="shared" si="5"/>
        <v>2</v>
      </c>
      <c r="N52" s="11">
        <f>VLOOKUP(B52,Konami!$B$4:$G$18,5,FALSE)</f>
        <v>0</v>
      </c>
      <c r="O52" s="11" t="str">
        <f>IF(N52&gt;0,RANK(N52,$N$2:$N$240)+COUNTIF($N$2:N52,N52)-1,"")</f>
        <v/>
      </c>
      <c r="P52" s="11" t="str">
        <f t="shared" si="6"/>
        <v/>
      </c>
      <c r="Q52" s="11" t="str">
        <f t="shared" si="7"/>
        <v/>
      </c>
      <c r="R52" s="11" t="str">
        <f t="shared" si="8"/>
        <v/>
      </c>
      <c r="S52" s="11">
        <f>VLOOKUP(B52,Konami!$B$4:$G$18,6,FALSE)</f>
        <v>0</v>
      </c>
      <c r="T52" s="11" t="str">
        <f>IF(S52&gt;0,RANK(S52,$S$2:$S$240)+COUNTIF($S$2:S52,S52)-1,"")</f>
        <v/>
      </c>
      <c r="U52" s="11" t="str">
        <f t="shared" si="9"/>
        <v/>
      </c>
      <c r="V52" s="11" t="str">
        <f t="shared" si="10"/>
        <v/>
      </c>
      <c r="W52" s="11" t="str">
        <f t="shared" si="11"/>
        <v/>
      </c>
    </row>
    <row r="53" spans="1:23" x14ac:dyDescent="0.25">
      <c r="A53" s="17">
        <v>52</v>
      </c>
      <c r="B53" s="18" t="str">
        <f>Jugadores!D9</f>
        <v xml:space="preserve">Jorge Estrada </v>
      </c>
      <c r="C53" s="17" t="str">
        <f>+Jugadores!$D$2</f>
        <v>Konami</v>
      </c>
      <c r="D53" s="11">
        <f>VLOOKUP(B53,Konami!$B$4:$G$18,3,FALSE)</f>
        <v>1</v>
      </c>
      <c r="E53" s="11">
        <f>IF(D53&gt;0,RANK(D53,$D$2:$D$241)+COUNTIF($D$2:D53,D53)-1,"")</f>
        <v>146</v>
      </c>
      <c r="F53" s="11" t="str">
        <f t="shared" si="0"/>
        <v xml:space="preserve">Faver Jaramillo </v>
      </c>
      <c r="G53" s="11" t="str">
        <f t="shared" si="1"/>
        <v>La Amistad</v>
      </c>
      <c r="H53" s="36">
        <f t="shared" si="2"/>
        <v>6</v>
      </c>
      <c r="I53" s="11">
        <f>VLOOKUP(B53,Konami!$B$4:$G$18,4,FALSE)</f>
        <v>0</v>
      </c>
      <c r="J53" s="11" t="str">
        <f>IF(I53&gt;0,RANK(I53,$I$2:$I$240)+COUNTIF($I$2:I53,I53)-1,"")</f>
        <v/>
      </c>
      <c r="K53" s="11" t="str">
        <f t="shared" si="3"/>
        <v>Santiago Grisales</v>
      </c>
      <c r="L53" s="11" t="str">
        <f t="shared" si="4"/>
        <v>Valentín FC</v>
      </c>
      <c r="M53" s="11">
        <f t="shared" si="5"/>
        <v>2</v>
      </c>
      <c r="N53" s="11">
        <f>VLOOKUP(B53,Konami!$B$4:$G$18,5,FALSE)</f>
        <v>0</v>
      </c>
      <c r="O53" s="11" t="str">
        <f>IF(N53&gt;0,RANK(N53,$N$2:$N$240)+COUNTIF($N$2:N53,N53)-1,"")</f>
        <v/>
      </c>
      <c r="P53" s="11" t="str">
        <f t="shared" si="6"/>
        <v/>
      </c>
      <c r="Q53" s="11" t="str">
        <f t="shared" si="7"/>
        <v/>
      </c>
      <c r="R53" s="11" t="str">
        <f t="shared" si="8"/>
        <v/>
      </c>
      <c r="S53" s="11">
        <f>VLOOKUP(B53,Konami!$B$4:$G$18,6,FALSE)</f>
        <v>0</v>
      </c>
      <c r="T53" s="11" t="str">
        <f>IF(S53&gt;0,RANK(S53,$S$2:$S$240)+COUNTIF($S$2:S53,S53)-1,"")</f>
        <v/>
      </c>
      <c r="U53" s="11" t="str">
        <f t="shared" si="9"/>
        <v/>
      </c>
      <c r="V53" s="11" t="str">
        <f t="shared" si="10"/>
        <v/>
      </c>
      <c r="W53" s="11" t="str">
        <f t="shared" si="11"/>
        <v/>
      </c>
    </row>
    <row r="54" spans="1:23" x14ac:dyDescent="0.25">
      <c r="A54" s="17">
        <v>53</v>
      </c>
      <c r="B54" s="18" t="str">
        <f>Jugadores!D10</f>
        <v>Norbey Marín</v>
      </c>
      <c r="C54" s="17" t="str">
        <f>+Jugadores!$D$2</f>
        <v>Konami</v>
      </c>
      <c r="D54" s="11">
        <f>VLOOKUP(B54,Konami!$B$4:$G$18,3,FALSE)</f>
        <v>2</v>
      </c>
      <c r="E54" s="11">
        <f>IF(D54&gt;0,RANK(D54,$D$2:$D$241)+COUNTIF($D$2:D54,D54)-1,"")</f>
        <v>120</v>
      </c>
      <c r="F54" s="11" t="str">
        <f t="shared" si="0"/>
        <v xml:space="preserve">Fabián Serna </v>
      </c>
      <c r="G54" s="11" t="str">
        <f t="shared" si="1"/>
        <v>Konami</v>
      </c>
      <c r="H54" s="36">
        <f t="shared" si="2"/>
        <v>6</v>
      </c>
      <c r="I54" s="11">
        <f>VLOOKUP(B54,Konami!$B$4:$G$18,4,FALSE)</f>
        <v>0</v>
      </c>
      <c r="J54" s="11" t="str">
        <f>IF(I54&gt;0,RANK(I54,$I$2:$I$240)+COUNTIF($I$2:I54,I54)-1,"")</f>
        <v/>
      </c>
      <c r="K54" s="11" t="str">
        <f t="shared" si="3"/>
        <v>Luis Colmenares</v>
      </c>
      <c r="L54" s="11" t="str">
        <f t="shared" si="4"/>
        <v>Boca Juniors</v>
      </c>
      <c r="M54" s="11">
        <f t="shared" si="5"/>
        <v>2</v>
      </c>
      <c r="N54" s="11">
        <f>VLOOKUP(B54,Konami!$B$4:$G$18,5,FALSE)</f>
        <v>0</v>
      </c>
      <c r="O54" s="11" t="str">
        <f>IF(N54&gt;0,RANK(N54,$N$2:$N$240)+COUNTIF($N$2:N54,N54)-1,"")</f>
        <v/>
      </c>
      <c r="P54" s="11" t="str">
        <f t="shared" si="6"/>
        <v/>
      </c>
      <c r="Q54" s="11" t="str">
        <f t="shared" si="7"/>
        <v/>
      </c>
      <c r="R54" s="11" t="str">
        <f t="shared" si="8"/>
        <v/>
      </c>
      <c r="S54" s="11">
        <f>VLOOKUP(B54,Konami!$B$4:$G$18,6,FALSE)</f>
        <v>0</v>
      </c>
      <c r="T54" s="11" t="str">
        <f>IF(S54&gt;0,RANK(S54,$S$2:$S$240)+COUNTIF($S$2:S54,S54)-1,"")</f>
        <v/>
      </c>
      <c r="U54" s="11" t="str">
        <f t="shared" si="9"/>
        <v/>
      </c>
      <c r="V54" s="11" t="str">
        <f t="shared" si="10"/>
        <v/>
      </c>
      <c r="W54" s="11" t="str">
        <f t="shared" si="11"/>
        <v/>
      </c>
    </row>
    <row r="55" spans="1:23" x14ac:dyDescent="0.25">
      <c r="A55" s="17">
        <v>54</v>
      </c>
      <c r="B55" s="18" t="str">
        <f>Jugadores!D11</f>
        <v xml:space="preserve">Miguel Ladino </v>
      </c>
      <c r="C55" s="17" t="str">
        <f>+Jugadores!$D$2</f>
        <v>Konami</v>
      </c>
      <c r="D55" s="11">
        <f>VLOOKUP(B55,Konami!$B$4:$G$18,3,FALSE)</f>
        <v>4</v>
      </c>
      <c r="E55" s="11">
        <f>IF(D55&gt;0,RANK(D55,$D$2:$D$241)+COUNTIF($D$2:D55,D55)-1,"")</f>
        <v>73</v>
      </c>
      <c r="F55" s="11" t="str">
        <f t="shared" si="0"/>
        <v>Jheison Cadena</v>
      </c>
      <c r="G55" s="11" t="str">
        <f t="shared" si="1"/>
        <v>Villanueva</v>
      </c>
      <c r="H55" s="36">
        <f t="shared" si="2"/>
        <v>6</v>
      </c>
      <c r="I55" s="11">
        <f>VLOOKUP(B55,Konami!$B$4:$G$18,4,FALSE)</f>
        <v>1</v>
      </c>
      <c r="J55" s="11">
        <f>IF(I55&gt;0,RANK(I55,$I$2:$I$240)+COUNTIF($I$2:I55,I55)-1,"")</f>
        <v>89</v>
      </c>
      <c r="K55" s="11" t="str">
        <f t="shared" si="3"/>
        <v>Yehis Pacheco</v>
      </c>
      <c r="L55" s="11" t="str">
        <f t="shared" si="4"/>
        <v>Boca Juniors</v>
      </c>
      <c r="M55" s="11">
        <f t="shared" si="5"/>
        <v>2</v>
      </c>
      <c r="N55" s="11">
        <f>VLOOKUP(B55,Konami!$B$4:$G$18,5,FALSE)</f>
        <v>0</v>
      </c>
      <c r="O55" s="11" t="str">
        <f>IF(N55&gt;0,RANK(N55,$N$2:$N$240)+COUNTIF($N$2:N55,N55)-1,"")</f>
        <v/>
      </c>
      <c r="P55" s="11" t="str">
        <f t="shared" si="6"/>
        <v/>
      </c>
      <c r="Q55" s="11" t="str">
        <f t="shared" si="7"/>
        <v/>
      </c>
      <c r="R55" s="11" t="str">
        <f t="shared" si="8"/>
        <v/>
      </c>
      <c r="S55" s="11">
        <f>VLOOKUP(B55,Konami!$B$4:$G$18,6,FALSE)</f>
        <v>0</v>
      </c>
      <c r="T55" s="11" t="str">
        <f>IF(S55&gt;0,RANK(S55,$S$2:$S$240)+COUNTIF($S$2:S55,S55)-1,"")</f>
        <v/>
      </c>
      <c r="U55" s="11" t="str">
        <f t="shared" si="9"/>
        <v/>
      </c>
      <c r="V55" s="11" t="str">
        <f t="shared" si="10"/>
        <v/>
      </c>
      <c r="W55" s="11" t="str">
        <f t="shared" si="11"/>
        <v/>
      </c>
    </row>
    <row r="56" spans="1:23" x14ac:dyDescent="0.25">
      <c r="A56" s="17">
        <v>55</v>
      </c>
      <c r="B56" s="18" t="str">
        <f>Jugadores!D12</f>
        <v>Cesar Vanegas</v>
      </c>
      <c r="C56" s="17" t="str">
        <f>+Jugadores!$D$2</f>
        <v>Konami</v>
      </c>
      <c r="D56" s="11">
        <f>VLOOKUP(B56,Konami!$B$4:$G$18,3,FALSE)</f>
        <v>1</v>
      </c>
      <c r="E56" s="11">
        <f>IF(D56&gt;0,RANK(D56,$D$2:$D$241)+COUNTIF($D$2:D56,D56)-1,"")</f>
        <v>147</v>
      </c>
      <c r="F56" s="11" t="str">
        <f t="shared" si="0"/>
        <v>Juan Vallejo</v>
      </c>
      <c r="G56" s="11" t="str">
        <f t="shared" si="1"/>
        <v>Ron Star</v>
      </c>
      <c r="H56" s="36">
        <f t="shared" si="2"/>
        <v>6</v>
      </c>
      <c r="I56" s="11">
        <f>VLOOKUP(B56,Konami!$B$4:$G$18,4,FALSE)</f>
        <v>1</v>
      </c>
      <c r="J56" s="11">
        <f>IF(I56&gt;0,RANK(I56,$I$2:$I$240)+COUNTIF($I$2:I56,I56)-1,"")</f>
        <v>90</v>
      </c>
      <c r="K56" s="11" t="str">
        <f t="shared" si="3"/>
        <v>Segundo Polo</v>
      </c>
      <c r="L56" s="11" t="str">
        <f t="shared" si="4"/>
        <v>Boca Juniors</v>
      </c>
      <c r="M56" s="11">
        <f t="shared" si="5"/>
        <v>2</v>
      </c>
      <c r="N56" s="11">
        <f>VLOOKUP(B56,Konami!$B$4:$G$18,5,FALSE)</f>
        <v>0</v>
      </c>
      <c r="O56" s="11" t="str">
        <f>IF(N56&gt;0,RANK(N56,$N$2:$N$240)+COUNTIF($N$2:N56,N56)-1,"")</f>
        <v/>
      </c>
      <c r="P56" s="11" t="str">
        <f t="shared" si="6"/>
        <v/>
      </c>
      <c r="Q56" s="11" t="str">
        <f t="shared" si="7"/>
        <v/>
      </c>
      <c r="R56" s="11" t="str">
        <f t="shared" si="8"/>
        <v/>
      </c>
      <c r="S56" s="11">
        <f>VLOOKUP(B56,Konami!$B$4:$G$18,6,FALSE)</f>
        <v>0</v>
      </c>
      <c r="T56" s="11" t="str">
        <f>IF(S56&gt;0,RANK(S56,$S$2:$S$240)+COUNTIF($S$2:S56,S56)-1,"")</f>
        <v/>
      </c>
      <c r="U56" s="11" t="str">
        <f t="shared" si="9"/>
        <v/>
      </c>
      <c r="V56" s="11" t="str">
        <f t="shared" si="10"/>
        <v/>
      </c>
      <c r="W56" s="11" t="str">
        <f t="shared" si="11"/>
        <v/>
      </c>
    </row>
    <row r="57" spans="1:23" x14ac:dyDescent="0.25">
      <c r="A57" s="17">
        <v>56</v>
      </c>
      <c r="B57" s="18" t="str">
        <f>Jugadores!D13</f>
        <v>Robinson Franco</v>
      </c>
      <c r="C57" s="17" t="str">
        <f>+Jugadores!$D$2</f>
        <v>Konami</v>
      </c>
      <c r="D57" s="11">
        <f>VLOOKUP(B57,Konami!$B$4:$G$18,3,FALSE)</f>
        <v>0</v>
      </c>
      <c r="E57" s="11" t="str">
        <f>IF(D57&gt;0,RANK(D57,$D$2:$D$241)+COUNTIF($D$2:D57,D57)-1,"")</f>
        <v/>
      </c>
      <c r="F57" s="11" t="str">
        <f t="shared" si="0"/>
        <v>Humberto Ochoa</v>
      </c>
      <c r="G57" s="11" t="str">
        <f t="shared" si="1"/>
        <v>Amenadim</v>
      </c>
      <c r="H57" s="36">
        <f t="shared" si="2"/>
        <v>6</v>
      </c>
      <c r="I57" s="11">
        <f>VLOOKUP(B57,Konami!$B$4:$G$18,4,FALSE)</f>
        <v>0</v>
      </c>
      <c r="J57" s="11" t="str">
        <f>IF(I57&gt;0,RANK(I57,$I$2:$I$240)+COUNTIF($I$2:I57,I57)-1,"")</f>
        <v/>
      </c>
      <c r="K57" s="11" t="str">
        <f t="shared" si="3"/>
        <v>Jorge Mayo</v>
      </c>
      <c r="L57" s="11" t="str">
        <f t="shared" si="4"/>
        <v>Deportivo Fénix</v>
      </c>
      <c r="M57" s="11">
        <f t="shared" si="5"/>
        <v>2</v>
      </c>
      <c r="N57" s="11">
        <f>VLOOKUP(B57,Konami!$B$4:$G$18,5,FALSE)</f>
        <v>0</v>
      </c>
      <c r="O57" s="11" t="str">
        <f>IF(N57&gt;0,RANK(N57,$N$2:$N$240)+COUNTIF($N$2:N57,N57)-1,"")</f>
        <v/>
      </c>
      <c r="P57" s="11" t="str">
        <f t="shared" si="6"/>
        <v/>
      </c>
      <c r="Q57" s="11" t="str">
        <f t="shared" si="7"/>
        <v/>
      </c>
      <c r="R57" s="11" t="str">
        <f t="shared" si="8"/>
        <v/>
      </c>
      <c r="S57" s="11">
        <f>VLOOKUP(B57,Konami!$B$4:$G$18,6,FALSE)</f>
        <v>0</v>
      </c>
      <c r="T57" s="11" t="str">
        <f>IF(S57&gt;0,RANK(S57,$S$2:$S$240)+COUNTIF($S$2:S57,S57)-1,"")</f>
        <v/>
      </c>
      <c r="U57" s="11" t="str">
        <f t="shared" si="9"/>
        <v/>
      </c>
      <c r="V57" s="11" t="str">
        <f t="shared" si="10"/>
        <v/>
      </c>
      <c r="W57" s="11" t="str">
        <f t="shared" si="11"/>
        <v/>
      </c>
    </row>
    <row r="58" spans="1:23" x14ac:dyDescent="0.25">
      <c r="A58" s="17">
        <v>57</v>
      </c>
      <c r="B58" s="18" t="str">
        <f>Jugadores!D14</f>
        <v>Brayan López</v>
      </c>
      <c r="C58" s="17" t="str">
        <f>+Jugadores!$D$2</f>
        <v>Konami</v>
      </c>
      <c r="D58" s="11">
        <f>VLOOKUP(B58,Konami!$B$4:$G$18,3,FALSE)</f>
        <v>5</v>
      </c>
      <c r="E58" s="11">
        <f>IF(D58&gt;0,RANK(D58,$D$2:$D$241)+COUNTIF($D$2:D58,D58)-1,"")</f>
        <v>64</v>
      </c>
      <c r="F58" s="11" t="str">
        <f t="shared" si="0"/>
        <v>Jaider Londoño</v>
      </c>
      <c r="G58" s="11" t="str">
        <f t="shared" si="1"/>
        <v>Hojas Anchas</v>
      </c>
      <c r="H58" s="36">
        <f t="shared" si="2"/>
        <v>6</v>
      </c>
      <c r="I58" s="11">
        <f>VLOOKUP(B58,Konami!$B$4:$G$18,4,FALSE)</f>
        <v>0</v>
      </c>
      <c r="J58" s="11" t="str">
        <f>IF(I58&gt;0,RANK(I58,$I$2:$I$240)+COUNTIF($I$2:I58,I58)-1,"")</f>
        <v/>
      </c>
      <c r="K58" s="11" t="str">
        <f t="shared" si="3"/>
        <v>David Ortega</v>
      </c>
      <c r="L58" s="11" t="str">
        <f t="shared" si="4"/>
        <v>La Unión FC</v>
      </c>
      <c r="M58" s="11">
        <f t="shared" si="5"/>
        <v>2</v>
      </c>
      <c r="N58" s="11">
        <f>VLOOKUP(B58,Konami!$B$4:$G$18,5,FALSE)</f>
        <v>0</v>
      </c>
      <c r="O58" s="11" t="str">
        <f>IF(N58&gt;0,RANK(N58,$N$2:$N$240)+COUNTIF($N$2:N58,N58)-1,"")</f>
        <v/>
      </c>
      <c r="P58" s="11" t="str">
        <f t="shared" si="6"/>
        <v/>
      </c>
      <c r="Q58" s="11" t="str">
        <f t="shared" si="7"/>
        <v/>
      </c>
      <c r="R58" s="11" t="str">
        <f t="shared" si="8"/>
        <v/>
      </c>
      <c r="S58" s="11">
        <f>VLOOKUP(B58,Konami!$B$4:$G$18,6,FALSE)</f>
        <v>0</v>
      </c>
      <c r="T58" s="11" t="str">
        <f>IF(S58&gt;0,RANK(S58,$S$2:$S$240)+COUNTIF($S$2:S58,S58)-1,"")</f>
        <v/>
      </c>
      <c r="U58" s="11" t="str">
        <f t="shared" si="9"/>
        <v/>
      </c>
      <c r="V58" s="11" t="str">
        <f t="shared" si="10"/>
        <v/>
      </c>
      <c r="W58" s="11" t="str">
        <f t="shared" si="11"/>
        <v/>
      </c>
    </row>
    <row r="59" spans="1:23" x14ac:dyDescent="0.25">
      <c r="A59" s="17">
        <v>58</v>
      </c>
      <c r="B59" s="18" t="str">
        <f>Jugadores!D15</f>
        <v>Alejandro Vergara</v>
      </c>
      <c r="C59" s="17" t="str">
        <f>+Jugadores!$D$2</f>
        <v>Konami</v>
      </c>
      <c r="D59" s="11">
        <f>VLOOKUP(B59,Konami!$B$4:$G$18,3,FALSE)</f>
        <v>4</v>
      </c>
      <c r="E59" s="11">
        <f>IF(D59&gt;0,RANK(D59,$D$2:$D$241)+COUNTIF($D$2:D59,D59)-1,"")</f>
        <v>74</v>
      </c>
      <c r="F59" s="11" t="str">
        <f t="shared" si="0"/>
        <v>Santiago Grisales</v>
      </c>
      <c r="G59" s="11" t="str">
        <f t="shared" si="1"/>
        <v>Valentín FC</v>
      </c>
      <c r="H59" s="36">
        <f t="shared" si="2"/>
        <v>6</v>
      </c>
      <c r="I59" s="11">
        <f>VLOOKUP(B59,Konami!$B$4:$G$18,4,FALSE)</f>
        <v>0</v>
      </c>
      <c r="J59" s="11" t="str">
        <f>IF(I59&gt;0,RANK(I59,$I$2:$I$240)+COUNTIF($I$2:I59,I59)-1,"")</f>
        <v/>
      </c>
      <c r="K59" s="11" t="str">
        <f t="shared" si="3"/>
        <v>Luis Fernando Cabrera</v>
      </c>
      <c r="L59" s="11" t="str">
        <f t="shared" si="4"/>
        <v>La Unión FC</v>
      </c>
      <c r="M59" s="11">
        <f t="shared" si="5"/>
        <v>2</v>
      </c>
      <c r="N59" s="11">
        <f>VLOOKUP(B59,Konami!$B$4:$G$18,5,FALSE)</f>
        <v>0</v>
      </c>
      <c r="O59" s="11" t="str">
        <f>IF(N59&gt;0,RANK(N59,$N$2:$N$240)+COUNTIF($N$2:N59,N59)-1,"")</f>
        <v/>
      </c>
      <c r="P59" s="11" t="str">
        <f t="shared" si="6"/>
        <v/>
      </c>
      <c r="Q59" s="11" t="str">
        <f t="shared" si="7"/>
        <v/>
      </c>
      <c r="R59" s="11" t="str">
        <f t="shared" si="8"/>
        <v/>
      </c>
      <c r="S59" s="11">
        <f>VLOOKUP(B59,Konami!$B$4:$G$18,6,FALSE)</f>
        <v>0</v>
      </c>
      <c r="T59" s="11" t="str">
        <f>IF(S59&gt;0,RANK(S59,$S$2:$S$240)+COUNTIF($S$2:S59,S59)-1,"")</f>
        <v/>
      </c>
      <c r="U59" s="11" t="str">
        <f t="shared" si="9"/>
        <v/>
      </c>
      <c r="V59" s="11" t="str">
        <f t="shared" si="10"/>
        <v/>
      </c>
      <c r="W59" s="11" t="str">
        <f t="shared" si="11"/>
        <v/>
      </c>
    </row>
    <row r="60" spans="1:23" s="25" customFormat="1" x14ac:dyDescent="0.25">
      <c r="A60" s="17">
        <v>59</v>
      </c>
      <c r="B60" s="18" t="str">
        <f>Jugadores!D16</f>
        <v xml:space="preserve">Fabián Serna </v>
      </c>
      <c r="C60" s="17" t="str">
        <f>+Jugadores!$D$2</f>
        <v>Konami</v>
      </c>
      <c r="D60" s="11">
        <f>VLOOKUP(B60,Konami!$B$4:$G$18,3,FALSE)</f>
        <v>6</v>
      </c>
      <c r="E60" s="11">
        <f>IF(D60&gt;0,RANK(D60,$D$2:$D$241)+COUNTIF($D$2:D60,D60)-1,"")</f>
        <v>53</v>
      </c>
      <c r="F60" s="11" t="str">
        <f t="shared" si="0"/>
        <v>Donaldo Reyes</v>
      </c>
      <c r="G60" s="11" t="str">
        <f t="shared" si="1"/>
        <v>La Unión FC</v>
      </c>
      <c r="H60" s="36">
        <f t="shared" si="2"/>
        <v>6</v>
      </c>
      <c r="I60" s="11">
        <f>VLOOKUP(B60,Konami!$B$4:$G$18,4,FALSE)</f>
        <v>2</v>
      </c>
      <c r="J60" s="11">
        <f>IF(I60&gt;0,RANK(I60,$I$2:$I$240)+COUNTIF($I$2:I60,I60)-1,"")</f>
        <v>41</v>
      </c>
      <c r="K60" s="11" t="str">
        <f t="shared" si="3"/>
        <v>Luis Fernando Hernández</v>
      </c>
      <c r="L60" s="11" t="str">
        <f t="shared" si="4"/>
        <v>La Unión FC</v>
      </c>
      <c r="M60" s="11">
        <f t="shared" si="5"/>
        <v>2</v>
      </c>
      <c r="N60" s="11">
        <f>VLOOKUP(B60,Konami!$B$4:$G$18,5,FALSE)</f>
        <v>0</v>
      </c>
      <c r="O60" s="11" t="str">
        <f>IF(N60&gt;0,RANK(N60,$N$2:$N$240)+COUNTIF($N$2:N60,N60)-1,"")</f>
        <v/>
      </c>
      <c r="P60" s="11" t="str">
        <f t="shared" si="6"/>
        <v/>
      </c>
      <c r="Q60" s="11" t="str">
        <f t="shared" si="7"/>
        <v/>
      </c>
      <c r="R60" s="11" t="str">
        <f t="shared" si="8"/>
        <v/>
      </c>
      <c r="S60" s="11">
        <f>VLOOKUP(B60,Konami!$B$4:$G$18,6,FALSE)</f>
        <v>0</v>
      </c>
      <c r="T60" s="11" t="str">
        <f>IF(S60&gt;0,RANK(S60,$S$2:$S$240)+COUNTIF($S$2:S60,S60)-1,"")</f>
        <v/>
      </c>
      <c r="U60" s="11" t="str">
        <f t="shared" si="9"/>
        <v/>
      </c>
      <c r="V60" s="11" t="str">
        <f t="shared" si="10"/>
        <v/>
      </c>
      <c r="W60" s="11" t="str">
        <f t="shared" si="11"/>
        <v/>
      </c>
    </row>
    <row r="61" spans="1:23" x14ac:dyDescent="0.25">
      <c r="A61" s="17">
        <v>60</v>
      </c>
      <c r="B61" s="18" t="str">
        <f>Jugadores!D17</f>
        <v xml:space="preserve">Francisco Morales </v>
      </c>
      <c r="C61" s="17" t="str">
        <f>+Jugadores!$D$2</f>
        <v>Konami</v>
      </c>
      <c r="D61" s="11">
        <f>VLOOKUP(B61,Konami!$B$4:$G$18,3,FALSE)</f>
        <v>1</v>
      </c>
      <c r="E61" s="11">
        <f>IF(D61&gt;0,RANK(D61,$D$2:$D$241)+COUNTIF($D$2:D61,D61)-1,"")</f>
        <v>148</v>
      </c>
      <c r="F61" s="11" t="str">
        <f t="shared" si="0"/>
        <v>José Andrés Cantero</v>
      </c>
      <c r="G61" s="11" t="str">
        <f t="shared" si="1"/>
        <v>La Unión FC</v>
      </c>
      <c r="H61" s="36">
        <f t="shared" si="2"/>
        <v>6</v>
      </c>
      <c r="I61" s="11">
        <f>VLOOKUP(B61,Konami!$B$4:$G$18,4,FALSE)</f>
        <v>1</v>
      </c>
      <c r="J61" s="11">
        <f>IF(I61&gt;0,RANK(I61,$I$2:$I$240)+COUNTIF($I$2:I61,I61)-1,"")</f>
        <v>91</v>
      </c>
      <c r="K61" s="11" t="str">
        <f t="shared" si="3"/>
        <v xml:space="preserve">Jesús Ortega Jiménez </v>
      </c>
      <c r="L61" s="11" t="str">
        <f t="shared" si="4"/>
        <v>La Unión FC</v>
      </c>
      <c r="M61" s="11">
        <f t="shared" si="5"/>
        <v>2</v>
      </c>
      <c r="N61" s="11">
        <f>VLOOKUP(B61,Konami!$B$4:$G$18,5,FALSE)</f>
        <v>0</v>
      </c>
      <c r="O61" s="11" t="str">
        <f>IF(N61&gt;0,RANK(N61,$N$2:$N$240)+COUNTIF($N$2:N61,N61)-1,"")</f>
        <v/>
      </c>
      <c r="P61" s="11" t="str">
        <f t="shared" si="6"/>
        <v/>
      </c>
      <c r="Q61" s="11" t="str">
        <f t="shared" si="7"/>
        <v/>
      </c>
      <c r="R61" s="11" t="str">
        <f t="shared" si="8"/>
        <v/>
      </c>
      <c r="S61" s="11">
        <f>VLOOKUP(B61,Konami!$B$4:$G$18,6,FALSE)</f>
        <v>0</v>
      </c>
      <c r="T61" s="11" t="str">
        <f>IF(S61&gt;0,RANK(S61,$S$2:$S$240)+COUNTIF($S$2:S61,S61)-1,"")</f>
        <v/>
      </c>
      <c r="U61" s="11" t="str">
        <f t="shared" si="9"/>
        <v/>
      </c>
      <c r="V61" s="11" t="str">
        <f t="shared" si="10"/>
        <v/>
      </c>
      <c r="W61" s="11" t="str">
        <f t="shared" si="11"/>
        <v/>
      </c>
    </row>
    <row r="62" spans="1:23" x14ac:dyDescent="0.25">
      <c r="A62" s="17">
        <v>61</v>
      </c>
      <c r="B62" s="18" t="str">
        <f>Jugadores!E3</f>
        <v>Alexander Silva</v>
      </c>
      <c r="C62" s="17" t="str">
        <f>+Jugadores!$E$2</f>
        <v>Villanueva</v>
      </c>
      <c r="D62" s="11">
        <f>VLOOKUP(B62,Villanueva!$B$4:$G$18,3,FALSE)</f>
        <v>24</v>
      </c>
      <c r="E62" s="11">
        <f>IF(D62&gt;0,RANK(D62,$D$2:$D$241)+COUNTIF($D$2:D62,D62)-1,"")</f>
        <v>6</v>
      </c>
      <c r="F62" s="11" t="str">
        <f t="shared" si="0"/>
        <v>Deiner Santana</v>
      </c>
      <c r="G62" s="11" t="str">
        <f t="shared" si="1"/>
        <v>La Unión FC</v>
      </c>
      <c r="H62" s="36">
        <f t="shared" si="2"/>
        <v>6</v>
      </c>
      <c r="I62" s="11">
        <f>VLOOKUP(B62,Villanueva!$B$4:$G$18,4,FALSE)</f>
        <v>1</v>
      </c>
      <c r="J62" s="11">
        <f>IF(I62&gt;0,RANK(I62,$I$2:$I$240)+COUNTIF($I$2:I62,I62)-1,"")</f>
        <v>92</v>
      </c>
      <c r="K62" s="11" t="str">
        <f t="shared" si="3"/>
        <v>Cristián Alejandro Chavarría</v>
      </c>
      <c r="L62" s="11" t="str">
        <f t="shared" si="4"/>
        <v>Los Aliados</v>
      </c>
      <c r="M62" s="11">
        <f t="shared" si="5"/>
        <v>2</v>
      </c>
      <c r="N62" s="11">
        <f>VLOOKUP(B62,Villanueva!$B$4:$G$18,5,FALSE)</f>
        <v>5</v>
      </c>
      <c r="O62" s="11" t="e">
        <f>IF(N62&gt;0,RANK(N62,$N$2:$N$240)+COUNTIF($N$2:N62,N62)-1,"")</f>
        <v>#N/A</v>
      </c>
      <c r="P62" s="11" t="str">
        <f t="shared" si="6"/>
        <v/>
      </c>
      <c r="Q62" s="11" t="str">
        <f t="shared" si="7"/>
        <v/>
      </c>
      <c r="R62" s="11" t="str">
        <f t="shared" si="8"/>
        <v/>
      </c>
      <c r="S62" s="11">
        <f>VLOOKUP(B62,Villanueva!$B$4:$G$18,6,FALSE)</f>
        <v>0</v>
      </c>
      <c r="T62" s="11" t="str">
        <f>IF(S62&gt;0,RANK(S62,$S$2:$S$240)+COUNTIF($S$2:S62,S62)-1,"")</f>
        <v/>
      </c>
      <c r="U62" s="11" t="str">
        <f t="shared" si="9"/>
        <v/>
      </c>
      <c r="V62" s="11" t="str">
        <f t="shared" si="10"/>
        <v/>
      </c>
      <c r="W62" s="11" t="str">
        <f t="shared" si="11"/>
        <v/>
      </c>
    </row>
    <row r="63" spans="1:23" x14ac:dyDescent="0.25">
      <c r="A63" s="17">
        <v>62</v>
      </c>
      <c r="B63" s="18" t="str">
        <f>Jugadores!E4</f>
        <v>Denilson Cadena</v>
      </c>
      <c r="C63" s="17" t="str">
        <f>+Jugadores!$E$2</f>
        <v>Villanueva</v>
      </c>
      <c r="D63" s="11">
        <f>VLOOKUP(B63,Villanueva!$B$4:$G$18,3,FALSE)</f>
        <v>19</v>
      </c>
      <c r="E63" s="11">
        <f>IF(D63&gt;0,RANK(D63,$D$2:$D$241)+COUNTIF($D$2:D63,D63)-1,"")</f>
        <v>10</v>
      </c>
      <c r="F63" s="11" t="str">
        <f t="shared" si="0"/>
        <v>Jhonatan Santiago</v>
      </c>
      <c r="G63" s="11" t="str">
        <f t="shared" si="1"/>
        <v>Atalanta</v>
      </c>
      <c r="H63" s="36">
        <f t="shared" si="2"/>
        <v>6</v>
      </c>
      <c r="I63" s="11">
        <f>VLOOKUP(B63,Villanueva!$B$4:$G$18,4,FALSE)</f>
        <v>1</v>
      </c>
      <c r="J63" s="11">
        <f>IF(I63&gt;0,RANK(I63,$I$2:$I$240)+COUNTIF($I$2:I63,I63)-1,"")</f>
        <v>93</v>
      </c>
      <c r="K63" s="11" t="str">
        <f t="shared" si="3"/>
        <v>Sergio Reales Zambrano</v>
      </c>
      <c r="L63" s="11" t="str">
        <f t="shared" si="4"/>
        <v>Los Aliados</v>
      </c>
      <c r="M63" s="11">
        <f t="shared" si="5"/>
        <v>2</v>
      </c>
      <c r="N63" s="11">
        <f>VLOOKUP(B63,Villanueva!$B$4:$G$18,5,FALSE)</f>
        <v>7</v>
      </c>
      <c r="O63" s="11" t="e">
        <f>IF(N63&gt;0,RANK(N63,$N$2:$N$240)+COUNTIF($N$2:N63,N63)-1,"")</f>
        <v>#N/A</v>
      </c>
      <c r="P63" s="11" t="str">
        <f t="shared" si="6"/>
        <v/>
      </c>
      <c r="Q63" s="11" t="str">
        <f t="shared" si="7"/>
        <v/>
      </c>
      <c r="R63" s="11" t="str">
        <f t="shared" si="8"/>
        <v/>
      </c>
      <c r="S63" s="11">
        <f>VLOOKUP(B63,Villanueva!$B$4:$G$18,6,FALSE)</f>
        <v>0</v>
      </c>
      <c r="T63" s="11" t="str">
        <f>IF(S63&gt;0,RANK(S63,$S$2:$S$240)+COUNTIF($S$2:S63,S63)-1,"")</f>
        <v/>
      </c>
      <c r="U63" s="11" t="str">
        <f t="shared" si="9"/>
        <v/>
      </c>
      <c r="V63" s="11" t="str">
        <f t="shared" si="10"/>
        <v/>
      </c>
      <c r="W63" s="11" t="str">
        <f t="shared" si="11"/>
        <v/>
      </c>
    </row>
    <row r="64" spans="1:23" x14ac:dyDescent="0.25">
      <c r="A64" s="17">
        <v>63</v>
      </c>
      <c r="B64" s="18" t="str">
        <f>Jugadores!E5</f>
        <v>Gregory Mora</v>
      </c>
      <c r="C64" s="17" t="str">
        <f>+Jugadores!$E$2</f>
        <v>Villanueva</v>
      </c>
      <c r="D64" s="11">
        <f>VLOOKUP(B64,Villanueva!$B$4:$G$18,3,FALSE)</f>
        <v>3</v>
      </c>
      <c r="E64" s="11">
        <f>IF(D64&gt;0,RANK(D64,$D$2:$D$241)+COUNTIF($D$2:D64,D64)-1,"")</f>
        <v>94</v>
      </c>
      <c r="F64" s="11" t="str">
        <f t="shared" si="0"/>
        <v>Juan Ortíz</v>
      </c>
      <c r="G64" s="11" t="str">
        <f t="shared" si="1"/>
        <v>Atalanta</v>
      </c>
      <c r="H64" s="36">
        <f t="shared" si="2"/>
        <v>6</v>
      </c>
      <c r="I64" s="11">
        <f>VLOOKUP(B64,Villanueva!$B$4:$G$18,4,FALSE)</f>
        <v>2</v>
      </c>
      <c r="J64" s="11">
        <f>IF(I64&gt;0,RANK(I64,$I$2:$I$240)+COUNTIF($I$2:I64,I64)-1,"")</f>
        <v>42</v>
      </c>
      <c r="K64" s="11" t="str">
        <f t="shared" si="3"/>
        <v>Marcos Muñoz</v>
      </c>
      <c r="L64" s="11" t="str">
        <f t="shared" si="4"/>
        <v>Los Aliados</v>
      </c>
      <c r="M64" s="11">
        <f t="shared" si="5"/>
        <v>2</v>
      </c>
      <c r="N64" s="11">
        <f>VLOOKUP(B64,Villanueva!$B$4:$G$18,5,FALSE)</f>
        <v>1</v>
      </c>
      <c r="O64" s="11" t="e">
        <f>IF(N64&gt;0,RANK(N64,$N$2:$N$240)+COUNTIF($N$2:N64,N64)-1,"")</f>
        <v>#N/A</v>
      </c>
      <c r="P64" s="11" t="str">
        <f t="shared" si="6"/>
        <v/>
      </c>
      <c r="Q64" s="11" t="str">
        <f t="shared" si="7"/>
        <v/>
      </c>
      <c r="R64" s="11" t="str">
        <f t="shared" si="8"/>
        <v/>
      </c>
      <c r="S64" s="11">
        <f>VLOOKUP(B64,Villanueva!$B$4:$G$18,6,FALSE)</f>
        <v>0</v>
      </c>
      <c r="T64" s="11" t="str">
        <f>IF(S64&gt;0,RANK(S64,$S$2:$S$240)+COUNTIF($S$2:S64,S64)-1,"")</f>
        <v/>
      </c>
      <c r="U64" s="11" t="str">
        <f t="shared" si="9"/>
        <v/>
      </c>
      <c r="V64" s="11" t="str">
        <f t="shared" si="10"/>
        <v/>
      </c>
      <c r="W64" s="11" t="str">
        <f t="shared" si="11"/>
        <v/>
      </c>
    </row>
    <row r="65" spans="1:23" x14ac:dyDescent="0.25">
      <c r="A65" s="17">
        <v>64</v>
      </c>
      <c r="B65" s="18" t="str">
        <f>Jugadores!E6</f>
        <v>Ismael Martíz</v>
      </c>
      <c r="C65" s="17" t="str">
        <f>+Jugadores!$E$2</f>
        <v>Villanueva</v>
      </c>
      <c r="D65" s="11">
        <f>VLOOKUP(B65,Villanueva!$B$4:$G$18,3,FALSE)</f>
        <v>0</v>
      </c>
      <c r="E65" s="11" t="str">
        <f>IF(D65&gt;0,RANK(D65,$D$2:$D$241)+COUNTIF($D$2:D65,D65)-1,"")</f>
        <v/>
      </c>
      <c r="F65" s="11" t="str">
        <f t="shared" si="0"/>
        <v>Brayan López</v>
      </c>
      <c r="G65" s="11" t="str">
        <f t="shared" si="1"/>
        <v>Konami</v>
      </c>
      <c r="H65" s="36">
        <f t="shared" si="2"/>
        <v>5</v>
      </c>
      <c r="I65" s="11">
        <f>VLOOKUP(B65,Villanueva!$B$4:$G$18,4,FALSE)</f>
        <v>1</v>
      </c>
      <c r="J65" s="11">
        <f>IF(I65&gt;0,RANK(I65,$I$2:$I$240)+COUNTIF($I$2:I65,I65)-1,"")</f>
        <v>94</v>
      </c>
      <c r="K65" s="11" t="str">
        <f t="shared" si="3"/>
        <v xml:space="preserve">Wilson Arango </v>
      </c>
      <c r="L65" s="11" t="str">
        <f t="shared" si="4"/>
        <v>Los Aliados</v>
      </c>
      <c r="M65" s="11">
        <f t="shared" si="5"/>
        <v>2</v>
      </c>
      <c r="N65" s="11">
        <f>VLOOKUP(B65,Villanueva!$B$4:$G$18,5,FALSE)</f>
        <v>0</v>
      </c>
      <c r="O65" s="11" t="str">
        <f>IF(N65&gt;0,RANK(N65,$N$2:$N$240)+COUNTIF($N$2:N65,N65)-1,"")</f>
        <v/>
      </c>
      <c r="P65" s="11" t="str">
        <f t="shared" si="6"/>
        <v/>
      </c>
      <c r="Q65" s="11" t="str">
        <f t="shared" si="7"/>
        <v/>
      </c>
      <c r="R65" s="11" t="str">
        <f t="shared" si="8"/>
        <v/>
      </c>
      <c r="S65" s="11">
        <f>VLOOKUP(B65,Villanueva!$B$4:$G$18,6,FALSE)</f>
        <v>0</v>
      </c>
      <c r="T65" s="11" t="str">
        <f>IF(S65&gt;0,RANK(S65,$S$2:$S$240)+COUNTIF($S$2:S65,S65)-1,"")</f>
        <v/>
      </c>
      <c r="U65" s="11" t="str">
        <f t="shared" si="9"/>
        <v/>
      </c>
      <c r="V65" s="11" t="str">
        <f t="shared" si="10"/>
        <v/>
      </c>
      <c r="W65" s="11" t="str">
        <f t="shared" si="11"/>
        <v/>
      </c>
    </row>
    <row r="66" spans="1:23" x14ac:dyDescent="0.25">
      <c r="A66" s="17">
        <v>65</v>
      </c>
      <c r="B66" s="18" t="str">
        <f>Jugadores!E7</f>
        <v>Jheison Cadena</v>
      </c>
      <c r="C66" s="17" t="str">
        <f>+Jugadores!$E$2</f>
        <v>Villanueva</v>
      </c>
      <c r="D66" s="11">
        <f>VLOOKUP(B66,Villanueva!$B$4:$G$18,3,FALSE)</f>
        <v>6</v>
      </c>
      <c r="E66" s="11">
        <f>IF(D66&gt;0,RANK(D66,$D$2:$D$241)+COUNTIF($D$2:D66,D66)-1,"")</f>
        <v>54</v>
      </c>
      <c r="F66" s="11" t="str">
        <f t="shared" si="0"/>
        <v>Wilmar García</v>
      </c>
      <c r="G66" s="11" t="str">
        <f t="shared" si="1"/>
        <v>Ron Star</v>
      </c>
      <c r="H66" s="36">
        <f t="shared" si="2"/>
        <v>5</v>
      </c>
      <c r="I66" s="11">
        <f>VLOOKUP(B66,Villanueva!$B$4:$G$18,4,FALSE)</f>
        <v>0</v>
      </c>
      <c r="J66" s="11" t="str">
        <f>IF(I66&gt;0,RANK(I66,$I$2:$I$240)+COUNTIF($I$2:I66,I66)-1,"")</f>
        <v/>
      </c>
      <c r="K66" s="11" t="str">
        <f t="shared" si="3"/>
        <v>Jhonatan Santiago</v>
      </c>
      <c r="L66" s="11" t="str">
        <f t="shared" si="4"/>
        <v>Atalanta</v>
      </c>
      <c r="M66" s="11">
        <f t="shared" si="5"/>
        <v>2</v>
      </c>
      <c r="N66" s="11">
        <f>VLOOKUP(B66,Villanueva!$B$4:$G$18,5,FALSE)</f>
        <v>3</v>
      </c>
      <c r="O66" s="11" t="e">
        <f>IF(N66&gt;0,RANK(N66,$N$2:$N$240)+COUNTIF($N$2:N66,N66)-1,"")</f>
        <v>#N/A</v>
      </c>
      <c r="P66" s="11" t="str">
        <f t="shared" si="6"/>
        <v/>
      </c>
      <c r="Q66" s="11" t="str">
        <f t="shared" si="7"/>
        <v/>
      </c>
      <c r="R66" s="11" t="str">
        <f t="shared" si="8"/>
        <v/>
      </c>
      <c r="S66" s="11">
        <f>VLOOKUP(B66,Villanueva!$B$4:$G$18,6,FALSE)</f>
        <v>0</v>
      </c>
      <c r="T66" s="11" t="str">
        <f>IF(S66&gt;0,RANK(S66,$S$2:$S$240)+COUNTIF($S$2:S66,S66)-1,"")</f>
        <v/>
      </c>
      <c r="U66" s="11" t="str">
        <f t="shared" si="9"/>
        <v/>
      </c>
      <c r="V66" s="11" t="str">
        <f t="shared" si="10"/>
        <v/>
      </c>
      <c r="W66" s="11" t="str">
        <f t="shared" si="11"/>
        <v/>
      </c>
    </row>
    <row r="67" spans="1:23" x14ac:dyDescent="0.25">
      <c r="A67" s="17">
        <v>66</v>
      </c>
      <c r="B67" s="18" t="str">
        <f>Jugadores!E8</f>
        <v>Derwin Villa</v>
      </c>
      <c r="C67" s="17" t="str">
        <f>+Jugadores!$E$2</f>
        <v>Villanueva</v>
      </c>
      <c r="D67" s="11">
        <f>VLOOKUP(B67,Villanueva!$B$4:$G$18,3,FALSE)</f>
        <v>0</v>
      </c>
      <c r="E67" s="11" t="str">
        <f>IF(D67&gt;0,RANK(D67,$D$2:$D$241)+COUNTIF($D$2:D67,D67)-1,"")</f>
        <v/>
      </c>
      <c r="F67" s="11" t="str">
        <f t="shared" ref="F67:F130" si="12">IFERROR(INDEX(B$2:B$240,MATCH($A67,$E$2:$E$240,0)),"")</f>
        <v>Carlos Andrés Berrio</v>
      </c>
      <c r="G67" s="11" t="str">
        <f t="shared" ref="G67:G130" si="13">IFERROR(INDEX(C$2:C$240,MATCH($F67,$B$2:$B$240,0)),"")</f>
        <v>Valentín FC</v>
      </c>
      <c r="H67" s="36">
        <f t="shared" ref="H67:H130" si="14">IFERROR(INDEX(D$2:D$240,MATCH($F67,$B$2:$B$240,0)),"")</f>
        <v>5</v>
      </c>
      <c r="I67" s="11">
        <f>VLOOKUP(B67,Villanueva!$B$4:$G$18,4,FALSE)</f>
        <v>1</v>
      </c>
      <c r="J67" s="11">
        <f>IF(I67&gt;0,RANK(I67,$I$2:$I$240)+COUNTIF($I$2:I67,I67)-1,"")</f>
        <v>95</v>
      </c>
      <c r="K67" s="11" t="str">
        <f t="shared" ref="K67:K130" si="15">IFERROR(INDEX(B$2:B$240,MATCH($A67,$J$2:$J$240,0)),"")</f>
        <v xml:space="preserve">Gustavo González </v>
      </c>
      <c r="L67" s="11" t="str">
        <f t="shared" ref="L67:L130" si="16">IFERROR(INDEX(C$2:C$240,MATCH($K67,$B$2:$B$240,0)),"")</f>
        <v>Atalanta</v>
      </c>
      <c r="M67" s="11">
        <f t="shared" ref="M67:M130" si="17">IFERROR(INDEX(I$2:I$240,MATCH($K67,$B$2:$B$240,0)),"")</f>
        <v>2</v>
      </c>
      <c r="N67" s="11">
        <f>VLOOKUP(B67,Villanueva!$B$4:$G$18,5,FALSE)</f>
        <v>0</v>
      </c>
      <c r="O67" s="11" t="str">
        <f>IF(N67&gt;0,RANK(N67,$N$2:$N$240)+COUNTIF($N$2:N67,N67)-1,"")</f>
        <v/>
      </c>
      <c r="P67" s="11" t="str">
        <f t="shared" ref="P67:P130" si="18">IFERROR(INDEX(B$2:B$240,MATCH($A67,$O$2:$O$240,0)),"")</f>
        <v/>
      </c>
      <c r="Q67" s="11" t="str">
        <f t="shared" ref="Q67:Q130" si="19">IFERROR(INDEX(C$2:C$240,MATCH($P67,$B$2:$B$240,0)),"")</f>
        <v/>
      </c>
      <c r="R67" s="11" t="str">
        <f t="shared" ref="R67:R130" si="20">IFERROR(INDEX(N$2:N$240,MATCH($P67,$B$2:$B$240,0)),"")</f>
        <v/>
      </c>
      <c r="S67" s="11">
        <f>VLOOKUP(B67,Villanueva!$B$4:$G$18,6,FALSE)</f>
        <v>1</v>
      </c>
      <c r="T67" s="11" t="e">
        <f>IF(S67&gt;0,RANK(S67,$S$2:$S$240)+COUNTIF($S$2:S67,S67)-1,"")</f>
        <v>#N/A</v>
      </c>
      <c r="U67" s="11" t="str">
        <f t="shared" ref="U67:U130" si="21">IFERROR(INDEX(B$2:B$240,MATCH($A67,$T$2:$T$240,0)),"")</f>
        <v/>
      </c>
      <c r="V67" s="11" t="str">
        <f t="shared" ref="V67:V130" si="22">IFERROR(INDEX(C$2:C$240,MATCH($U67,$B$2:$B$240,0)),"")</f>
        <v/>
      </c>
      <c r="W67" s="11" t="str">
        <f t="shared" ref="W67:W130" si="23">IFERROR(INDEX(S$2:S$226,MATCH($U67,$B$2:$B$226,0)),"")</f>
        <v/>
      </c>
    </row>
    <row r="68" spans="1:23" x14ac:dyDescent="0.25">
      <c r="A68" s="17">
        <v>67</v>
      </c>
      <c r="B68" s="18" t="str">
        <f>Jugadores!E9</f>
        <v>Jaime Correa</v>
      </c>
      <c r="C68" s="17" t="str">
        <f>+Jugadores!$E$2</f>
        <v>Villanueva</v>
      </c>
      <c r="D68" s="11">
        <f>VLOOKUP(B68,Villanueva!$B$4:$G$18,3,FALSE)</f>
        <v>1</v>
      </c>
      <c r="E68" s="11">
        <f>IF(D68&gt;0,RANK(D68,$D$2:$D$241)+COUNTIF($D$2:D68,D68)-1,"")</f>
        <v>149</v>
      </c>
      <c r="F68" s="11" t="str">
        <f t="shared" si="12"/>
        <v>José Llorente</v>
      </c>
      <c r="G68" s="11" t="str">
        <f t="shared" si="13"/>
        <v>Atalanta</v>
      </c>
      <c r="H68" s="36">
        <f t="shared" si="14"/>
        <v>5</v>
      </c>
      <c r="I68" s="11">
        <f>VLOOKUP(B68,Villanueva!$B$4:$G$18,4,FALSE)</f>
        <v>1</v>
      </c>
      <c r="J68" s="11">
        <f>IF(I68&gt;0,RANK(I68,$I$2:$I$240)+COUNTIF($I$2:I68,I68)-1,"")</f>
        <v>96</v>
      </c>
      <c r="K68" s="11" t="str">
        <f t="shared" si="15"/>
        <v>Juan Ortíz</v>
      </c>
      <c r="L68" s="11" t="str">
        <f t="shared" si="16"/>
        <v>Atalanta</v>
      </c>
      <c r="M68" s="11">
        <f t="shared" si="17"/>
        <v>2</v>
      </c>
      <c r="N68" s="11">
        <f>VLOOKUP(B68,Villanueva!$B$4:$G$18,5,FALSE)</f>
        <v>0</v>
      </c>
      <c r="O68" s="11" t="str">
        <f>IF(N68&gt;0,RANK(N68,$N$2:$N$240)+COUNTIF($N$2:N68,N68)-1,"")</f>
        <v/>
      </c>
      <c r="P68" s="11" t="str">
        <f t="shared" si="18"/>
        <v/>
      </c>
      <c r="Q68" s="11" t="str">
        <f t="shared" si="19"/>
        <v/>
      </c>
      <c r="R68" s="11" t="str">
        <f t="shared" si="20"/>
        <v/>
      </c>
      <c r="S68" s="11">
        <f>VLOOKUP(B68,Villanueva!$B$4:$G$18,6,FALSE)</f>
        <v>0</v>
      </c>
      <c r="T68" s="11" t="str">
        <f>IF(S68&gt;0,RANK(S68,$S$2:$S$240)+COUNTIF($S$2:S68,S68)-1,"")</f>
        <v/>
      </c>
      <c r="U68" s="11" t="str">
        <f t="shared" si="21"/>
        <v/>
      </c>
      <c r="V68" s="11" t="str">
        <f t="shared" si="22"/>
        <v/>
      </c>
      <c r="W68" s="11" t="str">
        <f t="shared" si="23"/>
        <v/>
      </c>
    </row>
    <row r="69" spans="1:23" x14ac:dyDescent="0.25">
      <c r="A69" s="17">
        <v>68</v>
      </c>
      <c r="B69" s="18" t="str">
        <f>Jugadores!E10</f>
        <v>Juan Carlos Vega</v>
      </c>
      <c r="C69" s="17" t="str">
        <f>+Jugadores!$E$2</f>
        <v>Villanueva</v>
      </c>
      <c r="D69" s="11">
        <f>VLOOKUP(B69,Villanueva!$B$4:$G$18,3,FALSE)</f>
        <v>4</v>
      </c>
      <c r="E69" s="11">
        <f>IF(D69&gt;0,RANK(D69,$D$2:$D$241)+COUNTIF($D$2:D69,D69)-1,"")</f>
        <v>75</v>
      </c>
      <c r="F69" s="11" t="str">
        <f t="shared" si="12"/>
        <v>Iván Betancourt</v>
      </c>
      <c r="G69" s="11" t="str">
        <f t="shared" si="13"/>
        <v>Atalanta</v>
      </c>
      <c r="H69" s="36">
        <f t="shared" si="14"/>
        <v>5</v>
      </c>
      <c r="I69" s="11">
        <f>VLOOKUP(B69,Villanueva!$B$4:$G$18,4,FALSE)</f>
        <v>0</v>
      </c>
      <c r="J69" s="11" t="str">
        <f>IF(I69&gt;0,RANK(I69,$I$2:$I$240)+COUNTIF($I$2:I69,I69)-1,"")</f>
        <v/>
      </c>
      <c r="K69" s="11" t="str">
        <f t="shared" si="15"/>
        <v>Nilson Beltran</v>
      </c>
      <c r="L69" s="11" t="str">
        <f t="shared" si="16"/>
        <v>Atalanta</v>
      </c>
      <c r="M69" s="11">
        <f t="shared" si="17"/>
        <v>2</v>
      </c>
      <c r="N69" s="11">
        <f>VLOOKUP(B69,Villanueva!$B$4:$G$18,5,FALSE)</f>
        <v>0</v>
      </c>
      <c r="O69" s="11" t="str">
        <f>IF(N69&gt;0,RANK(N69,$N$2:$N$240)+COUNTIF($N$2:N69,N69)-1,"")</f>
        <v/>
      </c>
      <c r="P69" s="11" t="str">
        <f t="shared" si="18"/>
        <v/>
      </c>
      <c r="Q69" s="11" t="str">
        <f t="shared" si="19"/>
        <v/>
      </c>
      <c r="R69" s="11" t="str">
        <f t="shared" si="20"/>
        <v/>
      </c>
      <c r="S69" s="11">
        <f>VLOOKUP(B69,Villanueva!$B$4:$G$18,6,FALSE)</f>
        <v>1</v>
      </c>
      <c r="T69" s="11" t="e">
        <f>IF(S69&gt;0,RANK(S69,$S$2:$S$240)+COUNTIF($S$2:S69,S69)-1,"")</f>
        <v>#N/A</v>
      </c>
      <c r="U69" s="11" t="str">
        <f t="shared" si="21"/>
        <v/>
      </c>
      <c r="V69" s="11" t="str">
        <f t="shared" si="22"/>
        <v/>
      </c>
      <c r="W69" s="11" t="str">
        <f t="shared" si="23"/>
        <v/>
      </c>
    </row>
    <row r="70" spans="1:23" x14ac:dyDescent="0.25">
      <c r="A70" s="17">
        <v>69</v>
      </c>
      <c r="B70" s="18" t="str">
        <f>Jugadores!E11</f>
        <v>Alejandro Silva</v>
      </c>
      <c r="C70" s="17" t="str">
        <f>+Jugadores!$E$2</f>
        <v>Villanueva</v>
      </c>
      <c r="D70" s="11">
        <f>VLOOKUP(B70,Villanueva!$B$4:$G$18,3,FALSE)</f>
        <v>0</v>
      </c>
      <c r="E70" s="11" t="str">
        <f>IF(D70&gt;0,RANK(D70,$D$2:$D$241)+COUNTIF($D$2:D70,D70)-1,"")</f>
        <v/>
      </c>
      <c r="F70" s="11">
        <f t="shared" si="12"/>
        <v>0</v>
      </c>
      <c r="G70" s="11" t="str">
        <f t="shared" si="13"/>
        <v>Atalanta</v>
      </c>
      <c r="H70" s="36">
        <f t="shared" si="14"/>
        <v>5</v>
      </c>
      <c r="I70" s="11">
        <f>VLOOKUP(B70,Villanueva!$B$4:$G$18,4,FALSE)</f>
        <v>0</v>
      </c>
      <c r="J70" s="11" t="str">
        <f>IF(I70&gt;0,RANK(I70,$I$2:$I$240)+COUNTIF($I$2:I70,I70)-1,"")</f>
        <v/>
      </c>
      <c r="K70" s="11" t="str">
        <f t="shared" si="15"/>
        <v>Osneider Benítez Feria</v>
      </c>
      <c r="L70" s="11" t="str">
        <f t="shared" si="16"/>
        <v>CD El Corozo</v>
      </c>
      <c r="M70" s="11">
        <f t="shared" si="17"/>
        <v>2</v>
      </c>
      <c r="N70" s="11">
        <f>VLOOKUP(B70,Villanueva!$B$4:$G$18,5,FALSE)</f>
        <v>0</v>
      </c>
      <c r="O70" s="11" t="str">
        <f>IF(N70&gt;0,RANK(N70,$N$2:$N$240)+COUNTIF($N$2:N70,N70)-1,"")</f>
        <v/>
      </c>
      <c r="P70" s="11" t="str">
        <f t="shared" si="18"/>
        <v/>
      </c>
      <c r="Q70" s="11" t="str">
        <f t="shared" si="19"/>
        <v/>
      </c>
      <c r="R70" s="11" t="str">
        <f t="shared" si="20"/>
        <v/>
      </c>
      <c r="S70" s="11">
        <f>VLOOKUP(B70,Villanueva!$B$4:$G$18,6,FALSE)</f>
        <v>0</v>
      </c>
      <c r="T70" s="11" t="str">
        <f>IF(S70&gt;0,RANK(S70,$S$2:$S$240)+COUNTIF($S$2:S70,S70)-1,"")</f>
        <v/>
      </c>
      <c r="U70" s="11" t="str">
        <f t="shared" si="21"/>
        <v/>
      </c>
      <c r="V70" s="11" t="str">
        <f t="shared" si="22"/>
        <v/>
      </c>
      <c r="W70" s="11" t="str">
        <f t="shared" si="23"/>
        <v/>
      </c>
    </row>
    <row r="71" spans="1:23" x14ac:dyDescent="0.25">
      <c r="A71" s="17">
        <v>70</v>
      </c>
      <c r="B71" s="18" t="str">
        <f>Jugadores!E12</f>
        <v>Kanel Martíz</v>
      </c>
      <c r="C71" s="17" t="str">
        <f>+Jugadores!$E$2</f>
        <v>Villanueva</v>
      </c>
      <c r="D71" s="11">
        <f>VLOOKUP(B71,Villanueva!$B$4:$G$18,3,FALSE)</f>
        <v>0</v>
      </c>
      <c r="E71" s="11" t="str">
        <f>IF(D71&gt;0,RANK(D71,$D$2:$D$241)+COUNTIF($D$2:D71,D71)-1,"")</f>
        <v/>
      </c>
      <c r="F71" s="11" t="str">
        <f t="shared" si="12"/>
        <v>Juan Felipe Rincón</v>
      </c>
      <c r="G71" s="11" t="str">
        <f t="shared" si="13"/>
        <v>Los Amigos</v>
      </c>
      <c r="H71" s="36">
        <f t="shared" si="14"/>
        <v>4</v>
      </c>
      <c r="I71" s="11">
        <f>VLOOKUP(B71,Villanueva!$B$4:$G$18,4,FALSE)</f>
        <v>0</v>
      </c>
      <c r="J71" s="11" t="str">
        <f>IF(I71&gt;0,RANK(I71,$I$2:$I$240)+COUNTIF($I$2:I71,I71)-1,"")</f>
        <v/>
      </c>
      <c r="K71" s="11" t="str">
        <f t="shared" si="15"/>
        <v>Carlos Suárez Martínez</v>
      </c>
      <c r="L71" s="11" t="str">
        <f t="shared" si="16"/>
        <v>CD El Corozo</v>
      </c>
      <c r="M71" s="11">
        <f t="shared" si="17"/>
        <v>2</v>
      </c>
      <c r="N71" s="11">
        <f>VLOOKUP(B71,Villanueva!$B$4:$G$18,5,FALSE)</f>
        <v>0</v>
      </c>
      <c r="O71" s="11" t="str">
        <f>IF(N71&gt;0,RANK(N71,$N$2:$N$240)+COUNTIF($N$2:N71,N71)-1,"")</f>
        <v/>
      </c>
      <c r="P71" s="11" t="str">
        <f t="shared" si="18"/>
        <v/>
      </c>
      <c r="Q71" s="11" t="str">
        <f t="shared" si="19"/>
        <v/>
      </c>
      <c r="R71" s="11" t="str">
        <f t="shared" si="20"/>
        <v/>
      </c>
      <c r="S71" s="11">
        <f>VLOOKUP(B71,Villanueva!$B$4:$G$18,6,FALSE)</f>
        <v>1</v>
      </c>
      <c r="T71" s="11" t="e">
        <f>IF(S71&gt;0,RANK(S71,$S$2:$S$240)+COUNTIF($S$2:S71,S71)-1,"")</f>
        <v>#N/A</v>
      </c>
      <c r="U71" s="11" t="str">
        <f t="shared" si="21"/>
        <v/>
      </c>
      <c r="V71" s="11" t="str">
        <f t="shared" si="22"/>
        <v/>
      </c>
      <c r="W71" s="11" t="str">
        <f t="shared" si="23"/>
        <v/>
      </c>
    </row>
    <row r="72" spans="1:23" x14ac:dyDescent="0.25">
      <c r="A72" s="17">
        <v>71</v>
      </c>
      <c r="B72" s="18" t="str">
        <f>Jugadores!E13</f>
        <v>Junior Manuel Benítez</v>
      </c>
      <c r="C72" s="17" t="str">
        <f>+Jugadores!$E$2</f>
        <v>Villanueva</v>
      </c>
      <c r="D72" s="11">
        <f>VLOOKUP(B72,Villanueva!$B$4:$G$18,3,FALSE)</f>
        <v>4</v>
      </c>
      <c r="E72" s="11">
        <f>IF(D72&gt;0,RANK(D72,$D$2:$D$241)+COUNTIF($D$2:D72,D72)-1,"")</f>
        <v>76</v>
      </c>
      <c r="F72" s="11" t="str">
        <f t="shared" si="12"/>
        <v>Juan José Jaramillo</v>
      </c>
      <c r="G72" s="11" t="str">
        <f t="shared" si="13"/>
        <v>La Nueva Era</v>
      </c>
      <c r="H72" s="36">
        <f t="shared" si="14"/>
        <v>4</v>
      </c>
      <c r="I72" s="11">
        <f>VLOOKUP(B72,Villanueva!$B$4:$G$18,4,FALSE)</f>
        <v>1</v>
      </c>
      <c r="J72" s="11">
        <f>IF(I72&gt;0,RANK(I72,$I$2:$I$240)+COUNTIF($I$2:I72,I72)-1,"")</f>
        <v>97</v>
      </c>
      <c r="K72" s="11" t="str">
        <f t="shared" si="15"/>
        <v>Elkín Osorio</v>
      </c>
      <c r="L72" s="11" t="str">
        <f t="shared" si="16"/>
        <v>CD El Corozo</v>
      </c>
      <c r="M72" s="11">
        <f t="shared" si="17"/>
        <v>2</v>
      </c>
      <c r="N72" s="11">
        <f>VLOOKUP(B72,Villanueva!$B$4:$G$18,5,FALSE)</f>
        <v>2</v>
      </c>
      <c r="O72" s="11" t="e">
        <f>IF(N72&gt;0,RANK(N72,$N$2:$N$240)+COUNTIF($N$2:N72,N72)-1,"")</f>
        <v>#N/A</v>
      </c>
      <c r="P72" s="11" t="str">
        <f t="shared" si="18"/>
        <v/>
      </c>
      <c r="Q72" s="11" t="str">
        <f t="shared" si="19"/>
        <v/>
      </c>
      <c r="R72" s="11" t="str">
        <f t="shared" si="20"/>
        <v/>
      </c>
      <c r="S72" s="11">
        <f>VLOOKUP(B72,Villanueva!$B$4:$G$18,6,FALSE)</f>
        <v>0</v>
      </c>
      <c r="T72" s="11" t="str">
        <f>IF(S72&gt;0,RANK(S72,$S$2:$S$240)+COUNTIF($S$2:S72,S72)-1,"")</f>
        <v/>
      </c>
      <c r="U72" s="11" t="str">
        <f t="shared" si="21"/>
        <v/>
      </c>
      <c r="V72" s="11" t="str">
        <f t="shared" si="22"/>
        <v/>
      </c>
      <c r="W72" s="11" t="str">
        <f t="shared" si="23"/>
        <v/>
      </c>
    </row>
    <row r="73" spans="1:23" x14ac:dyDescent="0.25">
      <c r="A73" s="17">
        <v>72</v>
      </c>
      <c r="B73" s="18" t="str">
        <f>Jugadores!E14</f>
        <v>Jorge Andrés Castellar</v>
      </c>
      <c r="C73" s="17" t="str">
        <f>+Jugadores!$E$2</f>
        <v>Villanueva</v>
      </c>
      <c r="D73" s="11">
        <f>VLOOKUP(B73,Villanueva!$B$4:$G$18,3,FALSE)</f>
        <v>3</v>
      </c>
      <c r="E73" s="11">
        <f>IF(D73&gt;0,RANK(D73,$D$2:$D$241)+COUNTIF($D$2:D73,D73)-1,"")</f>
        <v>95</v>
      </c>
      <c r="F73" s="11" t="str">
        <f t="shared" si="12"/>
        <v>Sebastián Jiménez</v>
      </c>
      <c r="G73" s="11" t="str">
        <f t="shared" si="13"/>
        <v>La Amistad</v>
      </c>
      <c r="H73" s="36">
        <f t="shared" si="14"/>
        <v>4</v>
      </c>
      <c r="I73" s="11">
        <f>VLOOKUP(B73,Villanueva!$B$4:$G$18,4,FALSE)</f>
        <v>1</v>
      </c>
      <c r="J73" s="11">
        <f>IF(I73&gt;0,RANK(I73,$I$2:$I$240)+COUNTIF($I$2:I73,I73)-1,"")</f>
        <v>98</v>
      </c>
      <c r="K73" s="11" t="str">
        <f t="shared" si="15"/>
        <v>Aldrin Calderín Ruiz</v>
      </c>
      <c r="L73" s="11" t="str">
        <f t="shared" si="16"/>
        <v>CD El Corozo</v>
      </c>
      <c r="M73" s="11">
        <f t="shared" si="17"/>
        <v>2</v>
      </c>
      <c r="N73" s="11">
        <f>VLOOKUP(B73,Villanueva!$B$4:$G$18,5,FALSE)</f>
        <v>2</v>
      </c>
      <c r="O73" s="11" t="e">
        <f>IF(N73&gt;0,RANK(N73,$N$2:$N$240)+COUNTIF($N$2:N73,N73)-1,"")</f>
        <v>#N/A</v>
      </c>
      <c r="P73" s="11" t="str">
        <f t="shared" si="18"/>
        <v/>
      </c>
      <c r="Q73" s="11" t="str">
        <f t="shared" si="19"/>
        <v/>
      </c>
      <c r="R73" s="11" t="str">
        <f t="shared" si="20"/>
        <v/>
      </c>
      <c r="S73" s="11">
        <f>VLOOKUP(B73,Villanueva!$B$4:$G$18,6,FALSE)</f>
        <v>0</v>
      </c>
      <c r="T73" s="11" t="str">
        <f>IF(S73&gt;0,RANK(S73,$S$2:$S$240)+COUNTIF($S$2:S73,S73)-1,"")</f>
        <v/>
      </c>
      <c r="U73" s="11" t="str">
        <f t="shared" si="21"/>
        <v/>
      </c>
      <c r="V73" s="11" t="str">
        <f t="shared" si="22"/>
        <v/>
      </c>
      <c r="W73" s="11" t="str">
        <f t="shared" si="23"/>
        <v/>
      </c>
    </row>
    <row r="74" spans="1:23" x14ac:dyDescent="0.25">
      <c r="A74" s="17">
        <v>73</v>
      </c>
      <c r="B74" s="18" t="str">
        <f>Jugadores!E15</f>
        <v>Julio Medina</v>
      </c>
      <c r="C74" s="17" t="str">
        <f>+Jugadores!$E$2</f>
        <v>Villanueva</v>
      </c>
      <c r="D74" s="11">
        <f>VLOOKUP(B74,Villanueva!$B$4:$G$18,3,FALSE)</f>
        <v>0</v>
      </c>
      <c r="E74" s="11" t="str">
        <f>IF(D74&gt;0,RANK(D74,$D$2:$D$241)+COUNTIF($D$2:D74,D74)-1,"")</f>
        <v/>
      </c>
      <c r="F74" s="11" t="str">
        <f t="shared" si="12"/>
        <v xml:space="preserve">Miguel Ladino </v>
      </c>
      <c r="G74" s="11" t="str">
        <f t="shared" si="13"/>
        <v>Konami</v>
      </c>
      <c r="H74" s="36">
        <f t="shared" si="14"/>
        <v>4</v>
      </c>
      <c r="I74" s="11">
        <f>VLOOKUP(B74,Villanueva!$B$4:$G$18,4,FALSE)</f>
        <v>1</v>
      </c>
      <c r="J74" s="11">
        <f>IF(I74&gt;0,RANK(I74,$I$2:$I$240)+COUNTIF($I$2:I74,I74)-1,"")</f>
        <v>99</v>
      </c>
      <c r="K74" s="11" t="str">
        <f t="shared" si="15"/>
        <v>Juan Felipe Rincón</v>
      </c>
      <c r="L74" s="11" t="str">
        <f t="shared" si="16"/>
        <v>Los Amigos</v>
      </c>
      <c r="M74" s="11">
        <f t="shared" si="17"/>
        <v>1</v>
      </c>
      <c r="N74" s="11">
        <f>VLOOKUP(B74,Villanueva!$B$4:$G$18,5,FALSE)</f>
        <v>0</v>
      </c>
      <c r="O74" s="11" t="str">
        <f>IF(N74&gt;0,RANK(N74,$N$2:$N$240)+COUNTIF($N$2:N74,N74)-1,"")</f>
        <v/>
      </c>
      <c r="P74" s="11" t="str">
        <f t="shared" si="18"/>
        <v/>
      </c>
      <c r="Q74" s="11" t="str">
        <f t="shared" si="19"/>
        <v/>
      </c>
      <c r="R74" s="11" t="str">
        <f t="shared" si="20"/>
        <v/>
      </c>
      <c r="S74" s="11">
        <f>VLOOKUP(B74,Villanueva!$B$4:$G$18,6,FALSE)</f>
        <v>0</v>
      </c>
      <c r="T74" s="11" t="str">
        <f>IF(S74&gt;0,RANK(S74,$S$2:$S$240)+COUNTIF($S$2:S74,S74)-1,"")</f>
        <v/>
      </c>
      <c r="U74" s="11" t="str">
        <f t="shared" si="21"/>
        <v/>
      </c>
      <c r="V74" s="11" t="str">
        <f t="shared" si="22"/>
        <v/>
      </c>
      <c r="W74" s="11" t="str">
        <f t="shared" si="23"/>
        <v/>
      </c>
    </row>
    <row r="75" spans="1:23" s="25" customFormat="1" x14ac:dyDescent="0.25">
      <c r="A75" s="17">
        <v>74</v>
      </c>
      <c r="B75" s="18" t="str">
        <f>Jugadores!E16</f>
        <v>Elias Reyes</v>
      </c>
      <c r="C75" s="17" t="str">
        <f>+Jugadores!$E$2</f>
        <v>Villanueva</v>
      </c>
      <c r="D75" s="11">
        <f>VLOOKUP(B75,Villanueva!$B$4:$G$18,3,FALSE)</f>
        <v>1</v>
      </c>
      <c r="E75" s="11">
        <f>IF(D75&gt;0,RANK(D75,$D$2:$D$241)+COUNTIF($D$2:D75,D75)-1,"")</f>
        <v>150</v>
      </c>
      <c r="F75" s="11" t="str">
        <f t="shared" si="12"/>
        <v>Alejandro Vergara</v>
      </c>
      <c r="G75" s="11" t="str">
        <f t="shared" si="13"/>
        <v>Konami</v>
      </c>
      <c r="H75" s="36">
        <f t="shared" si="14"/>
        <v>4</v>
      </c>
      <c r="I75" s="11">
        <f>VLOOKUP(B75,Villanueva!$B$4:$G$18,4,FALSE)</f>
        <v>2</v>
      </c>
      <c r="J75" s="11">
        <f>IF(I75&gt;0,RANK(I75,$I$2:$I$240)+COUNTIF($I$2:I75,I75)-1,"")</f>
        <v>43</v>
      </c>
      <c r="K75" s="11" t="str">
        <f t="shared" si="15"/>
        <v>Sebastián Sepulveda</v>
      </c>
      <c r="L75" s="11" t="str">
        <f t="shared" si="16"/>
        <v>Los Amigos</v>
      </c>
      <c r="M75" s="11">
        <f t="shared" si="17"/>
        <v>1</v>
      </c>
      <c r="N75" s="11">
        <f>VLOOKUP(B75,Villanueva!$B$4:$G$18,5,FALSE)</f>
        <v>0</v>
      </c>
      <c r="O75" s="11" t="str">
        <f>IF(N75&gt;0,RANK(N75,$N$2:$N$240)+COUNTIF($N$2:N75,N75)-1,"")</f>
        <v/>
      </c>
      <c r="P75" s="11" t="str">
        <f t="shared" si="18"/>
        <v/>
      </c>
      <c r="Q75" s="11" t="str">
        <f t="shared" si="19"/>
        <v/>
      </c>
      <c r="R75" s="11" t="str">
        <f t="shared" si="20"/>
        <v/>
      </c>
      <c r="S75" s="11">
        <f>VLOOKUP(B75,Villanueva!$B$4:$G$18,6,FALSE)</f>
        <v>0</v>
      </c>
      <c r="T75" s="11" t="str">
        <f>IF(S75&gt;0,RANK(S75,$S$2:$S$240)+COUNTIF($S$2:S75,S75)-1,"")</f>
        <v/>
      </c>
      <c r="U75" s="11" t="str">
        <f t="shared" si="21"/>
        <v/>
      </c>
      <c r="V75" s="11" t="str">
        <f t="shared" si="22"/>
        <v/>
      </c>
      <c r="W75" s="11" t="str">
        <f t="shared" si="23"/>
        <v/>
      </c>
    </row>
    <row r="76" spans="1:23" x14ac:dyDescent="0.25">
      <c r="A76" s="17">
        <v>75</v>
      </c>
      <c r="B76" s="18" t="str">
        <f>Jugadores!E17</f>
        <v>Ángel Mora</v>
      </c>
      <c r="C76" s="17" t="str">
        <f>+Jugadores!$E$2</f>
        <v>Villanueva</v>
      </c>
      <c r="D76" s="11">
        <f>VLOOKUP(B76,Villanueva!$B$4:$G$18,3,FALSE)</f>
        <v>3</v>
      </c>
      <c r="E76" s="11">
        <f>IF(D76&gt;0,RANK(D76,$D$2:$D$241)+COUNTIF($D$2:D76,D76)-1,"")</f>
        <v>96</v>
      </c>
      <c r="F76" s="11" t="str">
        <f t="shared" si="12"/>
        <v>Juan Carlos Vega</v>
      </c>
      <c r="G76" s="11" t="str">
        <f t="shared" si="13"/>
        <v>Villanueva</v>
      </c>
      <c r="H76" s="36">
        <f t="shared" si="14"/>
        <v>4</v>
      </c>
      <c r="I76" s="11">
        <f>VLOOKUP(B76,Villanueva!$B$4:$G$18,4,FALSE)</f>
        <v>4</v>
      </c>
      <c r="J76" s="11">
        <f>IF(I76&gt;0,RANK(I76,$I$2:$I$240)+COUNTIF($I$2:I76,I76)-1,"")</f>
        <v>7</v>
      </c>
      <c r="K76" s="11" t="str">
        <f t="shared" si="15"/>
        <v>Santiago Quiroz</v>
      </c>
      <c r="L76" s="11" t="str">
        <f t="shared" si="16"/>
        <v>Los Amigos</v>
      </c>
      <c r="M76" s="11">
        <f t="shared" si="17"/>
        <v>1</v>
      </c>
      <c r="N76" s="11">
        <f>VLOOKUP(B76,Villanueva!$B$4:$G$18,5,FALSE)</f>
        <v>1</v>
      </c>
      <c r="O76" s="11" t="e">
        <f>IF(N76&gt;0,RANK(N76,$N$2:$N$240)+COUNTIF($N$2:N76,N76)-1,"")</f>
        <v>#N/A</v>
      </c>
      <c r="P76" s="11" t="str">
        <f t="shared" si="18"/>
        <v/>
      </c>
      <c r="Q76" s="11" t="str">
        <f t="shared" si="19"/>
        <v/>
      </c>
      <c r="R76" s="11" t="str">
        <f t="shared" si="20"/>
        <v/>
      </c>
      <c r="S76" s="11">
        <f>VLOOKUP(B76,Villanueva!$B$4:$G$18,6,FALSE)</f>
        <v>0</v>
      </c>
      <c r="T76" s="11" t="str">
        <f>IF(S76&gt;0,RANK(S76,$S$2:$S$240)+COUNTIF($S$2:S76,S76)-1,"")</f>
        <v/>
      </c>
      <c r="U76" s="11" t="str">
        <f t="shared" si="21"/>
        <v/>
      </c>
      <c r="V76" s="11" t="str">
        <f t="shared" si="22"/>
        <v/>
      </c>
      <c r="W76" s="11" t="str">
        <f t="shared" si="23"/>
        <v/>
      </c>
    </row>
    <row r="77" spans="1:23" x14ac:dyDescent="0.25">
      <c r="A77" s="17">
        <v>76</v>
      </c>
      <c r="B77" s="18" t="str">
        <f>Jugadores!F3</f>
        <v>Eliecer Serpa</v>
      </c>
      <c r="C77" s="17" t="str">
        <f>+Jugadores!$F$2</f>
        <v>Ron Star</v>
      </c>
      <c r="D77" s="11">
        <f>VLOOKUP(B77,'Ron Star'!$B$4:$G$18,3,FALSE)</f>
        <v>41</v>
      </c>
      <c r="E77" s="11">
        <f>IF(D77&gt;0,RANK(D77,$D$2:$D$241)+COUNTIF($D$2:D77,D77)-1,"")</f>
        <v>2</v>
      </c>
      <c r="F77" s="11" t="str">
        <f t="shared" si="12"/>
        <v>Junior Manuel Benítez</v>
      </c>
      <c r="G77" s="11" t="str">
        <f t="shared" si="13"/>
        <v>Villanueva</v>
      </c>
      <c r="H77" s="36">
        <f t="shared" si="14"/>
        <v>4</v>
      </c>
      <c r="I77" s="11">
        <f>VLOOKUP(B77,'Ron Star'!$B$4:$G$18,4,FALSE)</f>
        <v>2</v>
      </c>
      <c r="J77" s="11">
        <f>IF(I77&gt;0,RANK(I77,$I$2:$I$240)+COUNTIF($I$2:I77,I77)-1,"")</f>
        <v>44</v>
      </c>
      <c r="K77" s="11" t="str">
        <f t="shared" si="15"/>
        <v>John Walter Restrepo</v>
      </c>
      <c r="L77" s="11" t="str">
        <f t="shared" si="16"/>
        <v>Los Amigos</v>
      </c>
      <c r="M77" s="11">
        <f t="shared" si="17"/>
        <v>1</v>
      </c>
      <c r="N77" s="11">
        <f>VLOOKUP(B77,'Ron Star'!$B$4:$G$18,5,FALSE)</f>
        <v>0</v>
      </c>
      <c r="O77" s="11" t="str">
        <f>IF(N77&gt;0,RANK(N77,$N$2:$N$240)+COUNTIF($N$2:N77,N77)-1,"")</f>
        <v/>
      </c>
      <c r="P77" s="11" t="str">
        <f t="shared" si="18"/>
        <v/>
      </c>
      <c r="Q77" s="11" t="str">
        <f t="shared" si="19"/>
        <v/>
      </c>
      <c r="R77" s="11" t="str">
        <f t="shared" si="20"/>
        <v/>
      </c>
      <c r="S77" s="11">
        <f>VLOOKUP(B77,'Ron Star'!$B$4:$G$18,6,FALSE)</f>
        <v>0</v>
      </c>
      <c r="T77" s="11" t="str">
        <f>IF(S77&gt;0,RANK(S77,$S$2:$S$240)+COUNTIF($S$2:S77,S77)-1,"")</f>
        <v/>
      </c>
      <c r="U77" s="11" t="str">
        <f t="shared" si="21"/>
        <v/>
      </c>
      <c r="V77" s="11" t="str">
        <f t="shared" si="22"/>
        <v/>
      </c>
      <c r="W77" s="11" t="str">
        <f t="shared" si="23"/>
        <v/>
      </c>
    </row>
    <row r="78" spans="1:23" x14ac:dyDescent="0.25">
      <c r="A78" s="17">
        <v>77</v>
      </c>
      <c r="B78" s="18" t="str">
        <f>Jugadores!F4</f>
        <v xml:space="preserve">Jhon Jairo Zapata </v>
      </c>
      <c r="C78" s="17" t="str">
        <f>+Jugadores!$F$2</f>
        <v>Ron Star</v>
      </c>
      <c r="D78" s="11">
        <f>VLOOKUP(B78,'Ron Star'!$B$4:$G$18,3,FALSE)</f>
        <v>0</v>
      </c>
      <c r="E78" s="11" t="str">
        <f>IF(D78&gt;0,RANK(D78,$D$2:$D$241)+COUNTIF($D$2:D78,D78)-1,"")</f>
        <v/>
      </c>
      <c r="F78" s="11" t="str">
        <f t="shared" si="12"/>
        <v>Nelson Enrique Velásquez</v>
      </c>
      <c r="G78" s="11" t="str">
        <f t="shared" si="13"/>
        <v>Amenadim</v>
      </c>
      <c r="H78" s="36">
        <f t="shared" si="14"/>
        <v>4</v>
      </c>
      <c r="I78" s="11">
        <f>VLOOKUP(B78,'Ron Star'!$B$4:$G$18,4,FALSE)</f>
        <v>0</v>
      </c>
      <c r="J78" s="11" t="str">
        <f>IF(I78&gt;0,RANK(I78,$I$2:$I$240)+COUNTIF($I$2:I78,I78)-1,"")</f>
        <v/>
      </c>
      <c r="K78" s="11" t="str">
        <f t="shared" si="15"/>
        <v>Jaidiver Montoya</v>
      </c>
      <c r="L78" s="11" t="str">
        <f t="shared" si="16"/>
        <v>La Nueva Era</v>
      </c>
      <c r="M78" s="11">
        <f t="shared" si="17"/>
        <v>1</v>
      </c>
      <c r="N78" s="11">
        <f>VLOOKUP(B78,'Ron Star'!$B$4:$G$18,5,FALSE)</f>
        <v>0</v>
      </c>
      <c r="O78" s="11" t="str">
        <f>IF(N78&gt;0,RANK(N78,$N$2:$N$240)+COUNTIF($N$2:N78,N78)-1,"")</f>
        <v/>
      </c>
      <c r="P78" s="11" t="str">
        <f t="shared" si="18"/>
        <v/>
      </c>
      <c r="Q78" s="11" t="str">
        <f t="shared" si="19"/>
        <v/>
      </c>
      <c r="R78" s="11" t="str">
        <f t="shared" si="20"/>
        <v/>
      </c>
      <c r="S78" s="11">
        <f>VLOOKUP(B78,'Ron Star'!$B$4:$G$18,6,FALSE)</f>
        <v>0</v>
      </c>
      <c r="T78" s="11" t="str">
        <f>IF(S78&gt;0,RANK(S78,$S$2:$S$240)+COUNTIF($S$2:S78,S78)-1,"")</f>
        <v/>
      </c>
      <c r="U78" s="11" t="str">
        <f t="shared" si="21"/>
        <v/>
      </c>
      <c r="V78" s="11" t="str">
        <f t="shared" si="22"/>
        <v/>
      </c>
      <c r="W78" s="11" t="str">
        <f t="shared" si="23"/>
        <v/>
      </c>
    </row>
    <row r="79" spans="1:23" x14ac:dyDescent="0.25">
      <c r="A79" s="17">
        <v>78</v>
      </c>
      <c r="B79" s="18" t="str">
        <f>Jugadores!F5</f>
        <v>Juan Vallejo</v>
      </c>
      <c r="C79" s="17" t="str">
        <f>+Jugadores!$F$2</f>
        <v>Ron Star</v>
      </c>
      <c r="D79" s="11">
        <f>VLOOKUP(B79,'Ron Star'!$B$4:$G$18,3,FALSE)</f>
        <v>6</v>
      </c>
      <c r="E79" s="11">
        <f>IF(D79&gt;0,RANK(D79,$D$2:$D$241)+COUNTIF($D$2:D79,D79)-1,"")</f>
        <v>55</v>
      </c>
      <c r="F79" s="11" t="str">
        <f t="shared" si="12"/>
        <v>Julián Esteban Gil</v>
      </c>
      <c r="G79" s="11" t="str">
        <f t="shared" si="13"/>
        <v>Hojas Anchas</v>
      </c>
      <c r="H79" s="36">
        <f t="shared" si="14"/>
        <v>4</v>
      </c>
      <c r="I79" s="11">
        <f>VLOOKUP(B79,'Ron Star'!$B$4:$G$18,4,FALSE)</f>
        <v>1</v>
      </c>
      <c r="J79" s="11">
        <f>IF(I79&gt;0,RANK(I79,$I$2:$I$240)+COUNTIF($I$2:I79,I79)-1,"")</f>
        <v>100</v>
      </c>
      <c r="K79" s="11" t="str">
        <f t="shared" si="15"/>
        <v>Juan José Jaramillo</v>
      </c>
      <c r="L79" s="11" t="str">
        <f t="shared" si="16"/>
        <v>La Nueva Era</v>
      </c>
      <c r="M79" s="11">
        <f t="shared" si="17"/>
        <v>1</v>
      </c>
      <c r="N79" s="11">
        <f>VLOOKUP(B79,'Ron Star'!$B$4:$G$18,5,FALSE)</f>
        <v>0</v>
      </c>
      <c r="O79" s="11" t="str">
        <f>IF(N79&gt;0,RANK(N79,$N$2:$N$240)+COUNTIF($N$2:N79,N79)-1,"")</f>
        <v/>
      </c>
      <c r="P79" s="11" t="str">
        <f t="shared" si="18"/>
        <v/>
      </c>
      <c r="Q79" s="11" t="str">
        <f t="shared" si="19"/>
        <v/>
      </c>
      <c r="R79" s="11" t="str">
        <f t="shared" si="20"/>
        <v/>
      </c>
      <c r="S79" s="11">
        <f>VLOOKUP(B79,'Ron Star'!$B$4:$G$18,6,FALSE)</f>
        <v>0</v>
      </c>
      <c r="T79" s="11" t="str">
        <f>IF(S79&gt;0,RANK(S79,$S$2:$S$240)+COUNTIF($S$2:S79,S79)-1,"")</f>
        <v/>
      </c>
      <c r="U79" s="11" t="str">
        <f t="shared" si="21"/>
        <v/>
      </c>
      <c r="V79" s="11" t="str">
        <f t="shared" si="22"/>
        <v/>
      </c>
      <c r="W79" s="11" t="str">
        <f t="shared" si="23"/>
        <v/>
      </c>
    </row>
    <row r="80" spans="1:23" x14ac:dyDescent="0.25">
      <c r="A80" s="17">
        <v>79</v>
      </c>
      <c r="B80" s="18" t="str">
        <f>Jugadores!F6</f>
        <v>Edwin García</v>
      </c>
      <c r="C80" s="17" t="str">
        <f>+Jugadores!$F$2</f>
        <v>Ron Star</v>
      </c>
      <c r="D80" s="11">
        <f>VLOOKUP(B80,'Ron Star'!$B$4:$G$18,3,FALSE)</f>
        <v>0</v>
      </c>
      <c r="E80" s="11" t="str">
        <f>IF(D80&gt;0,RANK(D80,$D$2:$D$241)+COUNTIF($D$2:D80,D80)-1,"")</f>
        <v/>
      </c>
      <c r="F80" s="11" t="str">
        <f t="shared" si="12"/>
        <v xml:space="preserve">Jorge Iván Gaviria </v>
      </c>
      <c r="G80" s="11" t="str">
        <f t="shared" si="13"/>
        <v>Hojas Anchas</v>
      </c>
      <c r="H80" s="36">
        <f t="shared" si="14"/>
        <v>4</v>
      </c>
      <c r="I80" s="11">
        <f>VLOOKUP(B80,'Ron Star'!$B$4:$G$18,4,FALSE)</f>
        <v>0</v>
      </c>
      <c r="J80" s="11" t="str">
        <f>IF(I80&gt;0,RANK(I80,$I$2:$I$240)+COUNTIF($I$2:I80,I80)-1,"")</f>
        <v/>
      </c>
      <c r="K80" s="11" t="str">
        <f t="shared" si="15"/>
        <v>Juan José Gaviría</v>
      </c>
      <c r="L80" s="11" t="str">
        <f t="shared" si="16"/>
        <v>La Nueva Era</v>
      </c>
      <c r="M80" s="11">
        <f t="shared" si="17"/>
        <v>1</v>
      </c>
      <c r="N80" s="11">
        <f>VLOOKUP(B80,'Ron Star'!$B$4:$G$18,5,FALSE)</f>
        <v>0</v>
      </c>
      <c r="O80" s="11" t="str">
        <f>IF(N80&gt;0,RANK(N80,$N$2:$N$240)+COUNTIF($N$2:N80,N80)-1,"")</f>
        <v/>
      </c>
      <c r="P80" s="11" t="str">
        <f t="shared" si="18"/>
        <v/>
      </c>
      <c r="Q80" s="11" t="str">
        <f t="shared" si="19"/>
        <v/>
      </c>
      <c r="R80" s="11" t="str">
        <f t="shared" si="20"/>
        <v/>
      </c>
      <c r="S80" s="11">
        <f>VLOOKUP(B80,'Ron Star'!$B$4:$G$18,6,FALSE)</f>
        <v>0</v>
      </c>
      <c r="T80" s="11" t="str">
        <f>IF(S80&gt;0,RANK(S80,$S$2:$S$240)+COUNTIF($S$2:S80,S80)-1,"")</f>
        <v/>
      </c>
      <c r="U80" s="11" t="str">
        <f t="shared" si="21"/>
        <v/>
      </c>
      <c r="V80" s="11" t="str">
        <f t="shared" si="22"/>
        <v/>
      </c>
      <c r="W80" s="11" t="str">
        <f t="shared" si="23"/>
        <v/>
      </c>
    </row>
    <row r="81" spans="1:23" x14ac:dyDescent="0.25">
      <c r="A81" s="17">
        <v>80</v>
      </c>
      <c r="B81" s="18" t="str">
        <f>Jugadores!F7</f>
        <v>Alexander Sánchez</v>
      </c>
      <c r="C81" s="17" t="str">
        <f>+Jugadores!$F$2</f>
        <v>Ron Star</v>
      </c>
      <c r="D81" s="11">
        <f>VLOOKUP(B81,'Ron Star'!$B$4:$G$18,3,FALSE)</f>
        <v>3</v>
      </c>
      <c r="E81" s="11">
        <f>IF(D81&gt;0,RANK(D81,$D$2:$D$241)+COUNTIF($D$2:D81,D81)-1,"")</f>
        <v>97</v>
      </c>
      <c r="F81" s="11" t="str">
        <f t="shared" si="12"/>
        <v>Matias Montoya</v>
      </c>
      <c r="G81" s="11" t="str">
        <f t="shared" si="13"/>
        <v>Valentín FC</v>
      </c>
      <c r="H81" s="36">
        <f t="shared" si="14"/>
        <v>4</v>
      </c>
      <c r="I81" s="11">
        <f>VLOOKUP(B81,'Ron Star'!$B$4:$G$18,4,FALSE)</f>
        <v>0</v>
      </c>
      <c r="J81" s="11" t="str">
        <f>IF(I81&gt;0,RANK(I81,$I$2:$I$240)+COUNTIF($I$2:I81,I81)-1,"")</f>
        <v/>
      </c>
      <c r="K81" s="11" t="str">
        <f t="shared" si="15"/>
        <v>José Santoya</v>
      </c>
      <c r="L81" s="11" t="str">
        <f t="shared" si="16"/>
        <v>La Nueva Era</v>
      </c>
      <c r="M81" s="11">
        <f t="shared" si="17"/>
        <v>1</v>
      </c>
      <c r="N81" s="11">
        <f>VLOOKUP(B81,'Ron Star'!$B$4:$G$18,5,FALSE)</f>
        <v>0</v>
      </c>
      <c r="O81" s="11" t="str">
        <f>IF(N81&gt;0,RANK(N81,$N$2:$N$240)+COUNTIF($N$2:N81,N81)-1,"")</f>
        <v/>
      </c>
      <c r="P81" s="11" t="str">
        <f t="shared" si="18"/>
        <v/>
      </c>
      <c r="Q81" s="11" t="str">
        <f t="shared" si="19"/>
        <v/>
      </c>
      <c r="R81" s="11" t="str">
        <f t="shared" si="20"/>
        <v/>
      </c>
      <c r="S81" s="11">
        <f>VLOOKUP(B81,'Ron Star'!$B$4:$G$18,6,FALSE)</f>
        <v>0</v>
      </c>
      <c r="T81" s="11" t="str">
        <f>IF(S81&gt;0,RANK(S81,$S$2:$S$240)+COUNTIF($S$2:S81,S81)-1,"")</f>
        <v/>
      </c>
      <c r="U81" s="11" t="str">
        <f t="shared" si="21"/>
        <v/>
      </c>
      <c r="V81" s="11" t="str">
        <f t="shared" si="22"/>
        <v/>
      </c>
      <c r="W81" s="11" t="str">
        <f t="shared" si="23"/>
        <v/>
      </c>
    </row>
    <row r="82" spans="1:23" x14ac:dyDescent="0.25">
      <c r="A82" s="17">
        <v>81</v>
      </c>
      <c r="B82" s="18" t="str">
        <f>Jugadores!F8</f>
        <v>Julián Hincapie</v>
      </c>
      <c r="C82" s="17" t="str">
        <f>+Jugadores!$F$2</f>
        <v>Ron Star</v>
      </c>
      <c r="D82" s="11">
        <f>VLOOKUP(B82,'Ron Star'!$B$4:$G$18,3,FALSE)</f>
        <v>12</v>
      </c>
      <c r="E82" s="11">
        <f>IF(D82&gt;0,RANK(D82,$D$2:$D$241)+COUNTIF($D$2:D82,D82)-1,"")</f>
        <v>21</v>
      </c>
      <c r="F82" s="11" t="str">
        <f t="shared" si="12"/>
        <v>Jeison Martínez</v>
      </c>
      <c r="G82" s="11" t="str">
        <f t="shared" si="13"/>
        <v>Valentín FC</v>
      </c>
      <c r="H82" s="36">
        <f t="shared" si="14"/>
        <v>4</v>
      </c>
      <c r="I82" s="11">
        <f>VLOOKUP(B82,'Ron Star'!$B$4:$G$18,4,FALSE)</f>
        <v>4</v>
      </c>
      <c r="J82" s="11">
        <f>IF(I82&gt;0,RANK(I82,$I$2:$I$240)+COUNTIF($I$2:I82,I82)-1,"")</f>
        <v>8</v>
      </c>
      <c r="K82" s="11" t="str">
        <f t="shared" si="15"/>
        <v>Jorge Cassiani</v>
      </c>
      <c r="L82" s="11" t="str">
        <f t="shared" si="16"/>
        <v>La Nueva Era</v>
      </c>
      <c r="M82" s="11">
        <f t="shared" si="17"/>
        <v>1</v>
      </c>
      <c r="N82" s="11">
        <f>VLOOKUP(B82,'Ron Star'!$B$4:$G$18,5,FALSE)</f>
        <v>0</v>
      </c>
      <c r="O82" s="11" t="str">
        <f>IF(N82&gt;0,RANK(N82,$N$2:$N$240)+COUNTIF($N$2:N82,N82)-1,"")</f>
        <v/>
      </c>
      <c r="P82" s="11" t="str">
        <f t="shared" si="18"/>
        <v/>
      </c>
      <c r="Q82" s="11" t="str">
        <f t="shared" si="19"/>
        <v/>
      </c>
      <c r="R82" s="11" t="str">
        <f t="shared" si="20"/>
        <v/>
      </c>
      <c r="S82" s="11">
        <f>VLOOKUP(B82,'Ron Star'!$B$4:$G$18,6,FALSE)</f>
        <v>0</v>
      </c>
      <c r="T82" s="11" t="str">
        <f>IF(S82&gt;0,RANK(S82,$S$2:$S$240)+COUNTIF($S$2:S82,S82)-1,"")</f>
        <v/>
      </c>
      <c r="U82" s="11" t="str">
        <f t="shared" si="21"/>
        <v/>
      </c>
      <c r="V82" s="11" t="str">
        <f t="shared" si="22"/>
        <v/>
      </c>
      <c r="W82" s="11" t="str">
        <f t="shared" si="23"/>
        <v/>
      </c>
    </row>
    <row r="83" spans="1:23" x14ac:dyDescent="0.25">
      <c r="A83" s="17">
        <v>82</v>
      </c>
      <c r="B83" s="18" t="str">
        <f>Jugadores!F9</f>
        <v>John Fredy Zapata</v>
      </c>
      <c r="C83" s="17" t="str">
        <f>+Jugadores!$F$2</f>
        <v>Ron Star</v>
      </c>
      <c r="D83" s="11">
        <f>VLOOKUP(B83,'Ron Star'!$B$4:$G$18,3,FALSE)</f>
        <v>1</v>
      </c>
      <c r="E83" s="11">
        <f>IF(D83&gt;0,RANK(D83,$D$2:$D$241)+COUNTIF($D$2:D83,D83)-1,"")</f>
        <v>151</v>
      </c>
      <c r="F83" s="11" t="str">
        <f t="shared" si="12"/>
        <v>Simón Flórez</v>
      </c>
      <c r="G83" s="11" t="str">
        <f t="shared" si="13"/>
        <v>Valentín FC</v>
      </c>
      <c r="H83" s="36">
        <f t="shared" si="14"/>
        <v>4</v>
      </c>
      <c r="I83" s="11">
        <f>VLOOKUP(B83,'Ron Star'!$B$4:$G$18,4,FALSE)</f>
        <v>2</v>
      </c>
      <c r="J83" s="11">
        <f>IF(I83&gt;0,RANK(I83,$I$2:$I$240)+COUNTIF($I$2:I83,I83)-1,"")</f>
        <v>45</v>
      </c>
      <c r="K83" s="11" t="str">
        <f t="shared" si="15"/>
        <v xml:space="preserve">Yeremi Sebastián Muñoz </v>
      </c>
      <c r="L83" s="11" t="str">
        <f t="shared" si="16"/>
        <v>La Amistad</v>
      </c>
      <c r="M83" s="11">
        <f t="shared" si="17"/>
        <v>1</v>
      </c>
      <c r="N83" s="11">
        <f>VLOOKUP(B83,'Ron Star'!$B$4:$G$18,5,FALSE)</f>
        <v>0</v>
      </c>
      <c r="O83" s="11" t="str">
        <f>IF(N83&gt;0,RANK(N83,$N$2:$N$240)+COUNTIF($N$2:N83,N83)-1,"")</f>
        <v/>
      </c>
      <c r="P83" s="11" t="str">
        <f t="shared" si="18"/>
        <v/>
      </c>
      <c r="Q83" s="11" t="str">
        <f t="shared" si="19"/>
        <v/>
      </c>
      <c r="R83" s="11" t="str">
        <f t="shared" si="20"/>
        <v/>
      </c>
      <c r="S83" s="11">
        <f>VLOOKUP(B83,'Ron Star'!$B$4:$G$18,6,FALSE)</f>
        <v>0</v>
      </c>
      <c r="T83" s="11" t="str">
        <f>IF(S83&gt;0,RANK(S83,$S$2:$S$240)+COUNTIF($S$2:S83,S83)-1,"")</f>
        <v/>
      </c>
      <c r="U83" s="11" t="str">
        <f t="shared" si="21"/>
        <v/>
      </c>
      <c r="V83" s="11" t="str">
        <f t="shared" si="22"/>
        <v/>
      </c>
      <c r="W83" s="11" t="str">
        <f t="shared" si="23"/>
        <v/>
      </c>
    </row>
    <row r="84" spans="1:23" x14ac:dyDescent="0.25">
      <c r="A84" s="17">
        <v>83</v>
      </c>
      <c r="B84" s="18" t="str">
        <f>Jugadores!F10</f>
        <v>Argemiro Medina</v>
      </c>
      <c r="C84" s="17" t="str">
        <f>+Jugadores!$F$2</f>
        <v>Ron Star</v>
      </c>
      <c r="D84" s="11">
        <f>VLOOKUP(B84,'Ron Star'!$B$4:$G$18,3,FALSE)</f>
        <v>8</v>
      </c>
      <c r="E84" s="11">
        <f>IF(D84&gt;0,RANK(D84,$D$2:$D$241)+COUNTIF($D$2:D84,D84)-1,"")</f>
        <v>36</v>
      </c>
      <c r="F84" s="11" t="str">
        <f t="shared" si="12"/>
        <v>Andry Jhoan Rivera</v>
      </c>
      <c r="G84" s="11" t="str">
        <f t="shared" si="13"/>
        <v>Boca Juniors</v>
      </c>
      <c r="H84" s="36">
        <f t="shared" si="14"/>
        <v>4</v>
      </c>
      <c r="I84" s="11">
        <f>VLOOKUP(B84,'Ron Star'!$B$4:$G$18,4,FALSE)</f>
        <v>5</v>
      </c>
      <c r="J84" s="11">
        <f>IF(I84&gt;0,RANK(I84,$I$2:$I$240)+COUNTIF($I$2:I84,I84)-1,"")</f>
        <v>3</v>
      </c>
      <c r="K84" s="11" t="str">
        <f t="shared" si="15"/>
        <v>Brayan Salazar Gómez</v>
      </c>
      <c r="L84" s="11" t="str">
        <f t="shared" si="16"/>
        <v>La Amistad</v>
      </c>
      <c r="M84" s="11">
        <f t="shared" si="17"/>
        <v>1</v>
      </c>
      <c r="N84" s="11">
        <f>VLOOKUP(B84,'Ron Star'!$B$4:$G$18,5,FALSE)</f>
        <v>0</v>
      </c>
      <c r="O84" s="11" t="str">
        <f>IF(N84&gt;0,RANK(N84,$N$2:$N$240)+COUNTIF($N$2:N84,N84)-1,"")</f>
        <v/>
      </c>
      <c r="P84" s="11" t="str">
        <f t="shared" si="18"/>
        <v/>
      </c>
      <c r="Q84" s="11" t="str">
        <f t="shared" si="19"/>
        <v/>
      </c>
      <c r="R84" s="11" t="str">
        <f t="shared" si="20"/>
        <v/>
      </c>
      <c r="S84" s="11">
        <f>VLOOKUP(B84,'Ron Star'!$B$4:$G$18,6,FALSE)</f>
        <v>0</v>
      </c>
      <c r="T84" s="11" t="str">
        <f>IF(S84&gt;0,RANK(S84,$S$2:$S$240)+COUNTIF($S$2:S84,S84)-1,"")</f>
        <v/>
      </c>
      <c r="U84" s="11" t="str">
        <f t="shared" si="21"/>
        <v/>
      </c>
      <c r="V84" s="11" t="str">
        <f t="shared" si="22"/>
        <v/>
      </c>
      <c r="W84" s="11" t="str">
        <f t="shared" si="23"/>
        <v/>
      </c>
    </row>
    <row r="85" spans="1:23" x14ac:dyDescent="0.25">
      <c r="A85" s="17">
        <v>84</v>
      </c>
      <c r="B85" s="18" t="str">
        <f>Jugadores!F11</f>
        <v>Omar Salazar</v>
      </c>
      <c r="C85" s="17" t="str">
        <f>+Jugadores!$F$2</f>
        <v>Ron Star</v>
      </c>
      <c r="D85" s="11">
        <f>VLOOKUP(B85,'Ron Star'!$B$4:$G$18,3,FALSE)</f>
        <v>2</v>
      </c>
      <c r="E85" s="11">
        <f>IF(D85&gt;0,RANK(D85,$D$2:$D$241)+COUNTIF($D$2:D85,D85)-1,"")</f>
        <v>121</v>
      </c>
      <c r="F85" s="11" t="str">
        <f t="shared" si="12"/>
        <v>Francisco Hiturriaga Gutiérrez</v>
      </c>
      <c r="G85" s="11" t="str">
        <f t="shared" si="13"/>
        <v>Deportivo Fénix</v>
      </c>
      <c r="H85" s="36">
        <f t="shared" si="14"/>
        <v>4</v>
      </c>
      <c r="I85" s="11">
        <f>VLOOKUP(B85,'Ron Star'!$B$4:$G$18,4,FALSE)</f>
        <v>0</v>
      </c>
      <c r="J85" s="11" t="str">
        <f>IF(I85&gt;0,RANK(I85,$I$2:$I$240)+COUNTIF($I$2:I85,I85)-1,"")</f>
        <v/>
      </c>
      <c r="K85" s="11" t="str">
        <f t="shared" si="15"/>
        <v>Stiven Londoño</v>
      </c>
      <c r="L85" s="11" t="str">
        <f t="shared" si="16"/>
        <v>La Amistad</v>
      </c>
      <c r="M85" s="11">
        <f t="shared" si="17"/>
        <v>1</v>
      </c>
      <c r="N85" s="11">
        <f>VLOOKUP(B85,'Ron Star'!$B$4:$G$18,5,FALSE)</f>
        <v>0</v>
      </c>
      <c r="O85" s="11" t="str">
        <f>IF(N85&gt;0,RANK(N85,$N$2:$N$240)+COUNTIF($N$2:N85,N85)-1,"")</f>
        <v/>
      </c>
      <c r="P85" s="11" t="str">
        <f t="shared" si="18"/>
        <v/>
      </c>
      <c r="Q85" s="11" t="str">
        <f t="shared" si="19"/>
        <v/>
      </c>
      <c r="R85" s="11" t="str">
        <f t="shared" si="20"/>
        <v/>
      </c>
      <c r="S85" s="11">
        <f>VLOOKUP(B85,'Ron Star'!$B$4:$G$18,6,FALSE)</f>
        <v>0</v>
      </c>
      <c r="T85" s="11" t="str">
        <f>IF(S85&gt;0,RANK(S85,$S$2:$S$240)+COUNTIF($S$2:S85,S85)-1,"")</f>
        <v/>
      </c>
      <c r="U85" s="11" t="str">
        <f t="shared" si="21"/>
        <v/>
      </c>
      <c r="V85" s="11" t="str">
        <f t="shared" si="22"/>
        <v/>
      </c>
      <c r="W85" s="11" t="str">
        <f t="shared" si="23"/>
        <v/>
      </c>
    </row>
    <row r="86" spans="1:23" x14ac:dyDescent="0.25">
      <c r="A86" s="17">
        <v>85</v>
      </c>
      <c r="B86" s="18" t="str">
        <f>Jugadores!F12</f>
        <v>Dany Gaviria</v>
      </c>
      <c r="C86" s="17" t="str">
        <f>+Jugadores!$F$2</f>
        <v>Ron Star</v>
      </c>
      <c r="D86" s="11">
        <f>VLOOKUP(B86,'Ron Star'!$B$4:$G$18,3,FALSE)</f>
        <v>18</v>
      </c>
      <c r="E86" s="11">
        <f>IF(D86&gt;0,RANK(D86,$D$2:$D$241)+COUNTIF($D$2:D86,D86)-1,"")</f>
        <v>12</v>
      </c>
      <c r="F86" s="11" t="str">
        <f t="shared" si="12"/>
        <v xml:space="preserve">José Mendoza </v>
      </c>
      <c r="G86" s="11" t="str">
        <f t="shared" si="13"/>
        <v>Deportivo Fénix</v>
      </c>
      <c r="H86" s="36">
        <f t="shared" si="14"/>
        <v>4</v>
      </c>
      <c r="I86" s="11">
        <f>VLOOKUP(B86,'Ron Star'!$B$4:$G$18,4,FALSE)</f>
        <v>2</v>
      </c>
      <c r="J86" s="11">
        <f>IF(I86&gt;0,RANK(I86,$I$2:$I$240)+COUNTIF($I$2:I86,I86)-1,"")</f>
        <v>46</v>
      </c>
      <c r="K86" s="11" t="str">
        <f t="shared" si="15"/>
        <v>Santiago Cardona</v>
      </c>
      <c r="L86" s="11" t="str">
        <f t="shared" si="16"/>
        <v>Los Amigos</v>
      </c>
      <c r="M86" s="11">
        <f t="shared" si="17"/>
        <v>2</v>
      </c>
      <c r="N86" s="11">
        <f>VLOOKUP(B86,'Ron Star'!$B$4:$G$18,5,FALSE)</f>
        <v>0</v>
      </c>
      <c r="O86" s="11" t="str">
        <f>IF(N86&gt;0,RANK(N86,$N$2:$N$240)+COUNTIF($N$2:N86,N86)-1,"")</f>
        <v/>
      </c>
      <c r="P86" s="11" t="str">
        <f t="shared" si="18"/>
        <v/>
      </c>
      <c r="Q86" s="11" t="str">
        <f t="shared" si="19"/>
        <v/>
      </c>
      <c r="R86" s="11" t="str">
        <f t="shared" si="20"/>
        <v/>
      </c>
      <c r="S86" s="11">
        <f>VLOOKUP(B86,'Ron Star'!$B$4:$G$18,6,FALSE)</f>
        <v>0</v>
      </c>
      <c r="T86" s="11" t="str">
        <f>IF(S86&gt;0,RANK(S86,$S$2:$S$240)+COUNTIF($S$2:S86,S86)-1,"")</f>
        <v/>
      </c>
      <c r="U86" s="11" t="str">
        <f t="shared" si="21"/>
        <v/>
      </c>
      <c r="V86" s="11" t="str">
        <f t="shared" si="22"/>
        <v/>
      </c>
      <c r="W86" s="11" t="str">
        <f t="shared" si="23"/>
        <v/>
      </c>
    </row>
    <row r="87" spans="1:23" x14ac:dyDescent="0.25">
      <c r="A87" s="17">
        <v>86</v>
      </c>
      <c r="B87" s="18" t="str">
        <f>Jugadores!F13</f>
        <v>Duvan Lara</v>
      </c>
      <c r="C87" s="17" t="str">
        <f>+Jugadores!$F$2</f>
        <v>Ron Star</v>
      </c>
      <c r="D87" s="11">
        <f>VLOOKUP(B87,'Ron Star'!$B$4:$G$18,3,FALSE)</f>
        <v>0</v>
      </c>
      <c r="E87" s="11" t="str">
        <f>IF(D87&gt;0,RANK(D87,$D$2:$D$241)+COUNTIF($D$2:D87,D87)-1,"")</f>
        <v/>
      </c>
      <c r="F87" s="11" t="str">
        <f t="shared" si="12"/>
        <v>Sebastián Zapata</v>
      </c>
      <c r="G87" s="11" t="str">
        <f t="shared" si="13"/>
        <v>Deportivo Fénix</v>
      </c>
      <c r="H87" s="36">
        <f t="shared" si="14"/>
        <v>4</v>
      </c>
      <c r="I87" s="11">
        <f>VLOOKUP(B87,'Ron Star'!$B$4:$G$18,4,FALSE)</f>
        <v>0</v>
      </c>
      <c r="J87" s="11" t="str">
        <f>IF(I87&gt;0,RANK(I87,$I$2:$I$240)+COUNTIF($I$2:I87,I87)-1,"")</f>
        <v/>
      </c>
      <c r="K87" s="11" t="str">
        <f t="shared" si="15"/>
        <v xml:space="preserve">Samuel Isaza Hincapié </v>
      </c>
      <c r="L87" s="11" t="str">
        <f t="shared" si="16"/>
        <v>La Amistad</v>
      </c>
      <c r="M87" s="11">
        <f t="shared" si="17"/>
        <v>1</v>
      </c>
      <c r="N87" s="11">
        <f>VLOOKUP(B87,'Ron Star'!$B$4:$G$18,5,FALSE)</f>
        <v>0</v>
      </c>
      <c r="O87" s="11" t="str">
        <f>IF(N87&gt;0,RANK(N87,$N$2:$N$240)+COUNTIF($N$2:N87,N87)-1,"")</f>
        <v/>
      </c>
      <c r="P87" s="11" t="str">
        <f t="shared" si="18"/>
        <v/>
      </c>
      <c r="Q87" s="11" t="str">
        <f t="shared" si="19"/>
        <v/>
      </c>
      <c r="R87" s="11" t="str">
        <f t="shared" si="20"/>
        <v/>
      </c>
      <c r="S87" s="11">
        <f>VLOOKUP(B87,'Ron Star'!$B$4:$G$18,6,FALSE)</f>
        <v>0</v>
      </c>
      <c r="T87" s="11" t="str">
        <f>IF(S87&gt;0,RANK(S87,$S$2:$S$240)+COUNTIF($S$2:S87,S87)-1,"")</f>
        <v/>
      </c>
      <c r="U87" s="11" t="str">
        <f t="shared" si="21"/>
        <v/>
      </c>
      <c r="V87" s="11" t="str">
        <f t="shared" si="22"/>
        <v/>
      </c>
      <c r="W87" s="11" t="str">
        <f t="shared" si="23"/>
        <v/>
      </c>
    </row>
    <row r="88" spans="1:23" x14ac:dyDescent="0.25">
      <c r="A88" s="17">
        <v>87</v>
      </c>
      <c r="B88" s="18" t="str">
        <f>Jugadores!F14</f>
        <v>Robin Rodríguez</v>
      </c>
      <c r="C88" s="17" t="str">
        <f>+Jugadores!$F$2</f>
        <v>Ron Star</v>
      </c>
      <c r="D88" s="11">
        <f>VLOOKUP(B88,'Ron Star'!$B$4:$G$18,3,FALSE)</f>
        <v>0</v>
      </c>
      <c r="E88" s="11" t="str">
        <f>IF(D88&gt;0,RANK(D88,$D$2:$D$241)+COUNTIF($D$2:D88,D88)-1,"")</f>
        <v/>
      </c>
      <c r="F88" s="11" t="str">
        <f t="shared" si="12"/>
        <v xml:space="preserve">Jesús Ortega Jiménez </v>
      </c>
      <c r="G88" s="11" t="str">
        <f t="shared" si="13"/>
        <v>La Unión FC</v>
      </c>
      <c r="H88" s="36">
        <f t="shared" si="14"/>
        <v>4</v>
      </c>
      <c r="I88" s="11">
        <f>VLOOKUP(B88,'Ron Star'!$B$4:$G$18,4,FALSE)</f>
        <v>0</v>
      </c>
      <c r="J88" s="11" t="str">
        <f>IF(I88&gt;0,RANK(I88,$I$2:$I$240)+COUNTIF($I$2:I88,I88)-1,"")</f>
        <v/>
      </c>
      <c r="K88" s="11" t="str">
        <f t="shared" si="15"/>
        <v>Santiago Piedrahíta</v>
      </c>
      <c r="L88" s="11" t="str">
        <f t="shared" si="16"/>
        <v>Konami</v>
      </c>
      <c r="M88" s="11">
        <f t="shared" si="17"/>
        <v>1</v>
      </c>
      <c r="N88" s="11">
        <f>VLOOKUP(B88,'Ron Star'!$B$4:$G$18,5,FALSE)</f>
        <v>0</v>
      </c>
      <c r="O88" s="11" t="str">
        <f>IF(N88&gt;0,RANK(N88,$N$2:$N$240)+COUNTIF($N$2:N88,N88)-1,"")</f>
        <v/>
      </c>
      <c r="P88" s="11" t="str">
        <f t="shared" si="18"/>
        <v/>
      </c>
      <c r="Q88" s="11" t="str">
        <f t="shared" si="19"/>
        <v/>
      </c>
      <c r="R88" s="11" t="str">
        <f t="shared" si="20"/>
        <v/>
      </c>
      <c r="S88" s="11">
        <f>VLOOKUP(B88,'Ron Star'!$B$4:$G$18,6,FALSE)</f>
        <v>0</v>
      </c>
      <c r="T88" s="11" t="str">
        <f>IF(S88&gt;0,RANK(S88,$S$2:$S$240)+COUNTIF($S$2:S88,S88)-1,"")</f>
        <v/>
      </c>
      <c r="U88" s="11" t="str">
        <f t="shared" si="21"/>
        <v/>
      </c>
      <c r="V88" s="11" t="str">
        <f t="shared" si="22"/>
        <v/>
      </c>
      <c r="W88" s="11" t="str">
        <f t="shared" si="23"/>
        <v/>
      </c>
    </row>
    <row r="89" spans="1:23" ht="14.45" customHeight="1" x14ac:dyDescent="0.25">
      <c r="A89" s="17">
        <v>88</v>
      </c>
      <c r="B89" s="18" t="str">
        <f>Jugadores!F15</f>
        <v>Wilmar García</v>
      </c>
      <c r="C89" s="17" t="str">
        <f>+Jugadores!$F$2</f>
        <v>Ron Star</v>
      </c>
      <c r="D89" s="11">
        <f>VLOOKUP(B89,'Ron Star'!$B$4:$G$18,3,FALSE)</f>
        <v>5</v>
      </c>
      <c r="E89" s="11">
        <f>IF(D89&gt;0,RANK(D89,$D$2:$D$241)+COUNTIF($D$2:D89,D89)-1,"")</f>
        <v>65</v>
      </c>
      <c r="F89" s="11" t="str">
        <f t="shared" si="12"/>
        <v xml:space="preserve">David Delgado </v>
      </c>
      <c r="G89" s="11" t="str">
        <f t="shared" si="13"/>
        <v>Atalanta</v>
      </c>
      <c r="H89" s="36">
        <f t="shared" si="14"/>
        <v>4</v>
      </c>
      <c r="I89" s="11">
        <f>VLOOKUP(B89,'Ron Star'!$B$4:$G$18,4,FALSE)</f>
        <v>0</v>
      </c>
      <c r="J89" s="11" t="str">
        <f>IF(I89&gt;0,RANK(I89,$I$2:$I$240)+COUNTIF($I$2:I89,I89)-1,"")</f>
        <v/>
      </c>
      <c r="K89" s="11" t="str">
        <f t="shared" si="15"/>
        <v>Jorge Briceño</v>
      </c>
      <c r="L89" s="11" t="str">
        <f t="shared" si="16"/>
        <v>Konami</v>
      </c>
      <c r="M89" s="11">
        <f t="shared" si="17"/>
        <v>1</v>
      </c>
      <c r="N89" s="11">
        <f>VLOOKUP(B89,'Ron Star'!$B$4:$G$18,5,FALSE)</f>
        <v>0</v>
      </c>
      <c r="O89" s="11" t="str">
        <f>IF(N89&gt;0,RANK(N89,$N$2:$N$240)+COUNTIF($N$2:N89,N89)-1,"")</f>
        <v/>
      </c>
      <c r="P89" s="11" t="str">
        <f t="shared" si="18"/>
        <v/>
      </c>
      <c r="Q89" s="11" t="str">
        <f t="shared" si="19"/>
        <v/>
      </c>
      <c r="R89" s="11" t="str">
        <f t="shared" si="20"/>
        <v/>
      </c>
      <c r="S89" s="11">
        <f>VLOOKUP(B89,'Ron Star'!$B$4:$G$18,6,FALSE)</f>
        <v>0</v>
      </c>
      <c r="T89" s="11" t="str">
        <f>IF(S89&gt;0,RANK(S89,$S$2:$S$240)+COUNTIF($S$2:S89,S89)-1,"")</f>
        <v/>
      </c>
      <c r="U89" s="11" t="str">
        <f t="shared" si="21"/>
        <v/>
      </c>
      <c r="V89" s="11" t="str">
        <f t="shared" si="22"/>
        <v/>
      </c>
      <c r="W89" s="11" t="str">
        <f t="shared" si="23"/>
        <v/>
      </c>
    </row>
    <row r="90" spans="1:23" s="25" customFormat="1" x14ac:dyDescent="0.25">
      <c r="A90" s="17">
        <v>89</v>
      </c>
      <c r="B90" s="18" t="str">
        <f>Jugadores!F16</f>
        <v>Camilo Zapata</v>
      </c>
      <c r="C90" s="17" t="str">
        <f>+Jugadores!$F$2</f>
        <v>Ron Star</v>
      </c>
      <c r="D90" s="11">
        <f>VLOOKUP(B90,'Ron Star'!$B$4:$G$18,3,FALSE)</f>
        <v>0</v>
      </c>
      <c r="E90" s="11" t="str">
        <f>IF(D90&gt;0,RANK(D90,$D$2:$D$241)+COUNTIF($D$2:D90,D90)-1,"")</f>
        <v/>
      </c>
      <c r="F90" s="11" t="str">
        <f t="shared" si="12"/>
        <v>Nilson Beltran</v>
      </c>
      <c r="G90" s="11" t="str">
        <f t="shared" si="13"/>
        <v>Atalanta</v>
      </c>
      <c r="H90" s="36">
        <f t="shared" si="14"/>
        <v>4</v>
      </c>
      <c r="I90" s="11">
        <f>VLOOKUP(B90,'Ron Star'!$B$4:$G$18,4,FALSE)</f>
        <v>1</v>
      </c>
      <c r="J90" s="11">
        <f>IF(I90&gt;0,RANK(I90,$I$2:$I$240)+COUNTIF($I$2:I90,I90)-1,"")</f>
        <v>101</v>
      </c>
      <c r="K90" s="11" t="str">
        <f t="shared" si="15"/>
        <v xml:space="preserve">Miguel Ladino </v>
      </c>
      <c r="L90" s="11" t="str">
        <f t="shared" si="16"/>
        <v>Konami</v>
      </c>
      <c r="M90" s="11">
        <f t="shared" si="17"/>
        <v>1</v>
      </c>
      <c r="N90" s="11">
        <f>VLOOKUP(B90,'Ron Star'!$B$4:$G$18,5,FALSE)</f>
        <v>0</v>
      </c>
      <c r="O90" s="11" t="str">
        <f>IF(N90&gt;0,RANK(N90,$N$2:$N$240)+COUNTIF($N$2:N90,N90)-1,"")</f>
        <v/>
      </c>
      <c r="P90" s="11" t="str">
        <f t="shared" si="18"/>
        <v/>
      </c>
      <c r="Q90" s="11" t="str">
        <f t="shared" si="19"/>
        <v/>
      </c>
      <c r="R90" s="11" t="str">
        <f t="shared" si="20"/>
        <v/>
      </c>
      <c r="S90" s="11">
        <f>VLOOKUP(B90,'Ron Star'!$B$4:$G$18,6,FALSE)</f>
        <v>0</v>
      </c>
      <c r="T90" s="11" t="str">
        <f>IF(S90&gt;0,RANK(S90,$S$2:$S$240)+COUNTIF($S$2:S90,S90)-1,"")</f>
        <v/>
      </c>
      <c r="U90" s="11" t="str">
        <f t="shared" si="21"/>
        <v/>
      </c>
      <c r="V90" s="11" t="str">
        <f t="shared" si="22"/>
        <v/>
      </c>
      <c r="W90" s="11" t="str">
        <f t="shared" si="23"/>
        <v/>
      </c>
    </row>
    <row r="91" spans="1:23" x14ac:dyDescent="0.25">
      <c r="A91" s="17">
        <v>90</v>
      </c>
      <c r="B91" s="18" t="str">
        <f>Jugadores!F17</f>
        <v>Diego Patiño</v>
      </c>
      <c r="C91" s="17" t="str">
        <f>+Jugadores!$F$2</f>
        <v>Ron Star</v>
      </c>
      <c r="D91" s="11">
        <f>VLOOKUP(B91,'Ron Star'!$B$4:$G$18,3,FALSE)</f>
        <v>1</v>
      </c>
      <c r="E91" s="11">
        <f>IF(D91&gt;0,RANK(D91,$D$2:$D$241)+COUNTIF($D$2:D91,D91)-1,"")</f>
        <v>152</v>
      </c>
      <c r="F91" s="11" t="str">
        <f t="shared" si="12"/>
        <v>Santiago Cardona</v>
      </c>
      <c r="G91" s="11" t="str">
        <f t="shared" si="13"/>
        <v>Los Amigos</v>
      </c>
      <c r="H91" s="36">
        <f t="shared" si="14"/>
        <v>3</v>
      </c>
      <c r="I91" s="11">
        <f>VLOOKUP(B91,'Ron Star'!$B$4:$G$18,4,FALSE)</f>
        <v>2</v>
      </c>
      <c r="J91" s="11">
        <f>IF(I91&gt;0,RANK(I91,$I$2:$I$240)+COUNTIF($I$2:I91,I91)-1,"")</f>
        <v>47</v>
      </c>
      <c r="K91" s="11" t="str">
        <f t="shared" si="15"/>
        <v>Cesar Vanegas</v>
      </c>
      <c r="L91" s="11" t="str">
        <f t="shared" si="16"/>
        <v>Konami</v>
      </c>
      <c r="M91" s="11">
        <f t="shared" si="17"/>
        <v>1</v>
      </c>
      <c r="N91" s="11">
        <f>VLOOKUP(B91,'Ron Star'!$B$4:$G$18,5,FALSE)</f>
        <v>0</v>
      </c>
      <c r="O91" s="11" t="str">
        <f>IF(N91&gt;0,RANK(N91,$N$2:$N$240)+COUNTIF($N$2:N91,N91)-1,"")</f>
        <v/>
      </c>
      <c r="P91" s="11" t="str">
        <f t="shared" si="18"/>
        <v/>
      </c>
      <c r="Q91" s="11" t="str">
        <f t="shared" si="19"/>
        <v/>
      </c>
      <c r="R91" s="11" t="str">
        <f t="shared" si="20"/>
        <v/>
      </c>
      <c r="S91" s="11">
        <f>VLOOKUP(B91,'Ron Star'!$B$4:$G$18,6,FALSE)</f>
        <v>0</v>
      </c>
      <c r="T91" s="11" t="str">
        <f>IF(S91&gt;0,RANK(S91,$S$2:$S$240)+COUNTIF($S$2:S91,S91)-1,"")</f>
        <v/>
      </c>
      <c r="U91" s="11" t="str">
        <f t="shared" si="21"/>
        <v/>
      </c>
      <c r="V91" s="11" t="str">
        <f t="shared" si="22"/>
        <v/>
      </c>
      <c r="W91" s="11" t="str">
        <f t="shared" si="23"/>
        <v/>
      </c>
    </row>
    <row r="92" spans="1:23" x14ac:dyDescent="0.25">
      <c r="A92" s="17">
        <v>91</v>
      </c>
      <c r="B92" s="18" t="str">
        <f>Jugadores!G3</f>
        <v>Duver Berrio</v>
      </c>
      <c r="C92" s="17" t="str">
        <f>+Jugadores!$G$2</f>
        <v>Amenadim</v>
      </c>
      <c r="D92" s="11">
        <f>VLOOKUP(B92,Amenadim!$B$4:$G$18,3,FALSE)</f>
        <v>1</v>
      </c>
      <c r="E92" s="11">
        <f>IF(D92&gt;0,RANK(D92,$D$2:$D$241)+COUNTIF($D$2:D92,D92)-1,"")</f>
        <v>153</v>
      </c>
      <c r="F92" s="11" t="str">
        <f t="shared" si="12"/>
        <v xml:space="preserve">Héctor Iván Castrillón Hernández </v>
      </c>
      <c r="G92" s="11" t="str">
        <f t="shared" si="13"/>
        <v>Los Amigos</v>
      </c>
      <c r="H92" s="36">
        <f t="shared" si="14"/>
        <v>3</v>
      </c>
      <c r="I92" s="11">
        <f>VLOOKUP(B92,Amenadim!$B$4:$G$18,4,FALSE)</f>
        <v>0</v>
      </c>
      <c r="J92" s="11" t="str">
        <f>IF(I92&gt;0,RANK(I92,$I$2:$I$240)+COUNTIF($I$2:I92,I92)-1,"")</f>
        <v/>
      </c>
      <c r="K92" s="11" t="str">
        <f t="shared" si="15"/>
        <v xml:space="preserve">Francisco Morales </v>
      </c>
      <c r="L92" s="11" t="str">
        <f t="shared" si="16"/>
        <v>Konami</v>
      </c>
      <c r="M92" s="11">
        <f t="shared" si="17"/>
        <v>1</v>
      </c>
      <c r="N92" s="11">
        <f>VLOOKUP(B92,Amenadim!$B$4:$G$18,5,FALSE)</f>
        <v>0</v>
      </c>
      <c r="O92" s="11" t="str">
        <f>IF(N92&gt;0,RANK(N92,$N$2:$N$240)+COUNTIF($N$2:N92,N92)-1,"")</f>
        <v/>
      </c>
      <c r="P92" s="11" t="str">
        <f t="shared" si="18"/>
        <v/>
      </c>
      <c r="Q92" s="11" t="str">
        <f t="shared" si="19"/>
        <v/>
      </c>
      <c r="R92" s="11" t="str">
        <f t="shared" si="20"/>
        <v/>
      </c>
      <c r="S92" s="11">
        <f>VLOOKUP(B92,Amenadim!$B$4:$G$18,6,FALSE)</f>
        <v>0</v>
      </c>
      <c r="T92" s="11" t="str">
        <f>IF(S92&gt;0,RANK(S92,$S$2:$S$240)+COUNTIF($S$2:S92,S92)-1,"")</f>
        <v/>
      </c>
      <c r="U92" s="11" t="str">
        <f t="shared" si="21"/>
        <v/>
      </c>
      <c r="V92" s="11" t="str">
        <f t="shared" si="22"/>
        <v/>
      </c>
      <c r="W92" s="11" t="str">
        <f t="shared" si="23"/>
        <v/>
      </c>
    </row>
    <row r="93" spans="1:23" x14ac:dyDescent="0.25">
      <c r="A93" s="17">
        <v>92</v>
      </c>
      <c r="B93" s="18" t="str">
        <f>Jugadores!G4</f>
        <v>José Barrios</v>
      </c>
      <c r="C93" s="17" t="str">
        <f>+Jugadores!$G$2</f>
        <v>Amenadim</v>
      </c>
      <c r="D93" s="11">
        <f>VLOOKUP(B93,Amenadim!$B$4:$G$18,3,FALSE)</f>
        <v>9</v>
      </c>
      <c r="E93" s="11">
        <f>IF(D93&gt;0,RANK(D93,$D$2:$D$241)+COUNTIF($D$2:D93,D93)-1,"")</f>
        <v>27</v>
      </c>
      <c r="F93" s="11" t="str">
        <f t="shared" si="12"/>
        <v>Diego Castrillón</v>
      </c>
      <c r="G93" s="11" t="str">
        <f t="shared" si="13"/>
        <v>Los Amigos</v>
      </c>
      <c r="H93" s="36">
        <f t="shared" si="14"/>
        <v>3</v>
      </c>
      <c r="I93" s="11">
        <f>VLOOKUP(B93,Amenadim!$B$4:$G$18,4,FALSE)</f>
        <v>0</v>
      </c>
      <c r="J93" s="11" t="str">
        <f>IF(I93&gt;0,RANK(I93,$I$2:$I$240)+COUNTIF($I$2:I93,I93)-1,"")</f>
        <v/>
      </c>
      <c r="K93" s="11" t="str">
        <f t="shared" si="15"/>
        <v>Alexander Silva</v>
      </c>
      <c r="L93" s="11" t="str">
        <f t="shared" si="16"/>
        <v>Villanueva</v>
      </c>
      <c r="M93" s="11">
        <f t="shared" si="17"/>
        <v>1</v>
      </c>
      <c r="N93" s="11">
        <f>VLOOKUP(B93,Amenadim!$B$4:$G$18,5,FALSE)</f>
        <v>0</v>
      </c>
      <c r="O93" s="11" t="str">
        <f>IF(N93&gt;0,RANK(N93,$N$2:$N$240)+COUNTIF($N$2:N93,N93)-1,"")</f>
        <v/>
      </c>
      <c r="P93" s="11" t="str">
        <f t="shared" si="18"/>
        <v/>
      </c>
      <c r="Q93" s="11" t="str">
        <f t="shared" si="19"/>
        <v/>
      </c>
      <c r="R93" s="11" t="str">
        <f t="shared" si="20"/>
        <v/>
      </c>
      <c r="S93" s="11">
        <f>VLOOKUP(B93,Amenadim!$B$4:$G$18,6,FALSE)</f>
        <v>0</v>
      </c>
      <c r="T93" s="11" t="str">
        <f>IF(S93&gt;0,RANK(S93,$S$2:$S$240)+COUNTIF($S$2:S93,S93)-1,"")</f>
        <v/>
      </c>
      <c r="U93" s="11" t="str">
        <f t="shared" si="21"/>
        <v/>
      </c>
      <c r="V93" s="11" t="str">
        <f t="shared" si="22"/>
        <v/>
      </c>
      <c r="W93" s="11" t="str">
        <f t="shared" si="23"/>
        <v/>
      </c>
    </row>
    <row r="94" spans="1:23" x14ac:dyDescent="0.25">
      <c r="A94" s="17">
        <v>93</v>
      </c>
      <c r="B94" s="18" t="str">
        <f>Jugadores!G5</f>
        <v>Sebastián Cano</v>
      </c>
      <c r="C94" s="17" t="str">
        <f>+Jugadores!$G$2</f>
        <v>Amenadim</v>
      </c>
      <c r="D94" s="11">
        <f>VLOOKUP(B94,Amenadim!$B$4:$G$18,3,FALSE)</f>
        <v>1</v>
      </c>
      <c r="E94" s="11">
        <f>IF(D94&gt;0,RANK(D94,$D$2:$D$241)+COUNTIF($D$2:D94,D94)-1,"")</f>
        <v>154</v>
      </c>
      <c r="F94" s="11" t="str">
        <f t="shared" si="12"/>
        <v>Antony Pérez Osorio</v>
      </c>
      <c r="G94" s="11" t="str">
        <f t="shared" si="13"/>
        <v>La Amistad</v>
      </c>
      <c r="H94" s="36">
        <f t="shared" si="14"/>
        <v>3</v>
      </c>
      <c r="I94" s="11">
        <f>VLOOKUP(B94,Amenadim!$B$4:$G$18,4,FALSE)</f>
        <v>0</v>
      </c>
      <c r="J94" s="11" t="str">
        <f>IF(I94&gt;0,RANK(I94,$I$2:$I$240)+COUNTIF($I$2:I94,I94)-1,"")</f>
        <v/>
      </c>
      <c r="K94" s="11" t="str">
        <f t="shared" si="15"/>
        <v>Denilson Cadena</v>
      </c>
      <c r="L94" s="11" t="str">
        <f t="shared" si="16"/>
        <v>Villanueva</v>
      </c>
      <c r="M94" s="11">
        <f t="shared" si="17"/>
        <v>1</v>
      </c>
      <c r="N94" s="11">
        <f>VLOOKUP(B94,Amenadim!$B$4:$G$18,5,FALSE)</f>
        <v>0</v>
      </c>
      <c r="O94" s="11" t="str">
        <f>IF(N94&gt;0,RANK(N94,$N$2:$N$240)+COUNTIF($N$2:N94,N94)-1,"")</f>
        <v/>
      </c>
      <c r="P94" s="11" t="str">
        <f t="shared" si="18"/>
        <v/>
      </c>
      <c r="Q94" s="11" t="str">
        <f t="shared" si="19"/>
        <v/>
      </c>
      <c r="R94" s="11" t="str">
        <f t="shared" si="20"/>
        <v/>
      </c>
      <c r="S94" s="11">
        <f>VLOOKUP(B94,Amenadim!$B$4:$G$18,6,FALSE)</f>
        <v>0</v>
      </c>
      <c r="T94" s="11" t="str">
        <f>IF(S94&gt;0,RANK(S94,$S$2:$S$240)+COUNTIF($S$2:S94,S94)-1,"")</f>
        <v/>
      </c>
      <c r="U94" s="11" t="str">
        <f t="shared" si="21"/>
        <v/>
      </c>
      <c r="V94" s="11" t="str">
        <f t="shared" si="22"/>
        <v/>
      </c>
      <c r="W94" s="11" t="str">
        <f t="shared" si="23"/>
        <v/>
      </c>
    </row>
    <row r="95" spans="1:23" x14ac:dyDescent="0.25">
      <c r="A95" s="17">
        <v>94</v>
      </c>
      <c r="B95" s="18" t="str">
        <f>Jugadores!G6</f>
        <v>Martín Angulo</v>
      </c>
      <c r="C95" s="17" t="str">
        <f>+Jugadores!$G$2</f>
        <v>Amenadim</v>
      </c>
      <c r="D95" s="11">
        <f>VLOOKUP(B95,Amenadim!$B$4:$G$18,3,FALSE)</f>
        <v>14</v>
      </c>
      <c r="E95" s="11">
        <f>IF(D95&gt;0,RANK(D95,$D$2:$D$241)+COUNTIF($D$2:D95,D95)-1,"")</f>
        <v>15</v>
      </c>
      <c r="F95" s="11" t="str">
        <f t="shared" si="12"/>
        <v>Gregory Mora</v>
      </c>
      <c r="G95" s="11" t="str">
        <f t="shared" si="13"/>
        <v>Villanueva</v>
      </c>
      <c r="H95" s="36">
        <f t="shared" si="14"/>
        <v>3</v>
      </c>
      <c r="I95" s="11">
        <f>VLOOKUP(B95,Amenadim!$B$4:$G$18,4,FALSE)</f>
        <v>4</v>
      </c>
      <c r="J95" s="11">
        <f>IF(I95&gt;0,RANK(I95,$I$2:$I$240)+COUNTIF($I$2:I95,I95)-1,"")</f>
        <v>9</v>
      </c>
      <c r="K95" s="11" t="str">
        <f t="shared" si="15"/>
        <v>Ismael Martíz</v>
      </c>
      <c r="L95" s="11" t="str">
        <f t="shared" si="16"/>
        <v>Villanueva</v>
      </c>
      <c r="M95" s="11">
        <f t="shared" si="17"/>
        <v>1</v>
      </c>
      <c r="N95" s="11">
        <f>VLOOKUP(B95,Amenadim!$B$4:$G$18,5,FALSE)</f>
        <v>2</v>
      </c>
      <c r="O95" s="11" t="e">
        <f>IF(N95&gt;0,RANK(N95,$N$2:$N$240)+COUNTIF($N$2:N95,N95)-1,"")</f>
        <v>#N/A</v>
      </c>
      <c r="P95" s="11" t="str">
        <f t="shared" si="18"/>
        <v/>
      </c>
      <c r="Q95" s="11" t="str">
        <f t="shared" si="19"/>
        <v/>
      </c>
      <c r="R95" s="11" t="str">
        <f t="shared" si="20"/>
        <v/>
      </c>
      <c r="S95" s="11">
        <f>VLOOKUP(B95,Amenadim!$B$4:$G$18,6,FALSE)</f>
        <v>1</v>
      </c>
      <c r="T95" s="11" t="e">
        <f>IF(S95&gt;0,RANK(S95,$S$2:$S$240)+COUNTIF($S$2:S95,S95)-1,"")</f>
        <v>#N/A</v>
      </c>
      <c r="U95" s="11" t="str">
        <f t="shared" si="21"/>
        <v/>
      </c>
      <c r="V95" s="11" t="str">
        <f t="shared" si="22"/>
        <v/>
      </c>
      <c r="W95" s="11" t="str">
        <f t="shared" si="23"/>
        <v/>
      </c>
    </row>
    <row r="96" spans="1:23" x14ac:dyDescent="0.25">
      <c r="A96" s="17">
        <v>95</v>
      </c>
      <c r="B96" s="18" t="str">
        <f>Jugadores!G7</f>
        <v>Daniel Zuleta</v>
      </c>
      <c r="C96" s="17" t="str">
        <f>+Jugadores!$G$2</f>
        <v>Amenadim</v>
      </c>
      <c r="D96" s="11">
        <f>VLOOKUP(B96,Amenadim!$B$4:$G$18,3,FALSE)</f>
        <v>8</v>
      </c>
      <c r="E96" s="11">
        <f>IF(D96&gt;0,RANK(D96,$D$2:$D$241)+COUNTIF($D$2:D96,D96)-1,"")</f>
        <v>37</v>
      </c>
      <c r="F96" s="11" t="str">
        <f t="shared" si="12"/>
        <v>Jorge Andrés Castellar</v>
      </c>
      <c r="G96" s="11" t="str">
        <f t="shared" si="13"/>
        <v>Villanueva</v>
      </c>
      <c r="H96" s="36">
        <f t="shared" si="14"/>
        <v>3</v>
      </c>
      <c r="I96" s="11">
        <f>VLOOKUP(B96,Amenadim!$B$4:$G$18,4,FALSE)</f>
        <v>0</v>
      </c>
      <c r="J96" s="11" t="str">
        <f>IF(I96&gt;0,RANK(I96,$I$2:$I$240)+COUNTIF($I$2:I96,I96)-1,"")</f>
        <v/>
      </c>
      <c r="K96" s="11" t="str">
        <f t="shared" si="15"/>
        <v>Derwin Villa</v>
      </c>
      <c r="L96" s="11" t="str">
        <f t="shared" si="16"/>
        <v>Villanueva</v>
      </c>
      <c r="M96" s="11">
        <f t="shared" si="17"/>
        <v>1</v>
      </c>
      <c r="N96" s="11">
        <f>VLOOKUP(B96,Amenadim!$B$4:$G$18,5,FALSE)</f>
        <v>4</v>
      </c>
      <c r="O96" s="11" t="e">
        <f>IF(N96&gt;0,RANK(N96,$N$2:$N$240)+COUNTIF($N$2:N96,N96)-1,"")</f>
        <v>#N/A</v>
      </c>
      <c r="P96" s="11" t="str">
        <f t="shared" si="18"/>
        <v/>
      </c>
      <c r="Q96" s="11" t="str">
        <f t="shared" si="19"/>
        <v/>
      </c>
      <c r="R96" s="11" t="str">
        <f t="shared" si="20"/>
        <v/>
      </c>
      <c r="S96" s="11">
        <f>VLOOKUP(B96,Amenadim!$B$4:$G$18,6,FALSE)</f>
        <v>0</v>
      </c>
      <c r="T96" s="11" t="str">
        <f>IF(S96&gt;0,RANK(S96,$S$2:$S$240)+COUNTIF($S$2:S96,S96)-1,"")</f>
        <v/>
      </c>
      <c r="U96" s="11" t="str">
        <f t="shared" si="21"/>
        <v/>
      </c>
      <c r="V96" s="11" t="str">
        <f t="shared" si="22"/>
        <v/>
      </c>
      <c r="W96" s="11" t="str">
        <f t="shared" si="23"/>
        <v/>
      </c>
    </row>
    <row r="97" spans="1:23" x14ac:dyDescent="0.25">
      <c r="A97" s="17">
        <v>96</v>
      </c>
      <c r="B97" s="18" t="str">
        <f>Jugadores!G8</f>
        <v>Humberto Ochoa</v>
      </c>
      <c r="C97" s="17" t="str">
        <f>+Jugadores!$G$2</f>
        <v>Amenadim</v>
      </c>
      <c r="D97" s="11">
        <f>VLOOKUP(B97,Amenadim!$B$4:$G$18,3,FALSE)</f>
        <v>6</v>
      </c>
      <c r="E97" s="11">
        <f>IF(D97&gt;0,RANK(D97,$D$2:$D$241)+COUNTIF($D$2:D97,D97)-1,"")</f>
        <v>56</v>
      </c>
      <c r="F97" s="11" t="str">
        <f t="shared" si="12"/>
        <v>Ángel Mora</v>
      </c>
      <c r="G97" s="11" t="str">
        <f t="shared" si="13"/>
        <v>Villanueva</v>
      </c>
      <c r="H97" s="36">
        <f t="shared" si="14"/>
        <v>3</v>
      </c>
      <c r="I97" s="11">
        <f>VLOOKUP(B97,Amenadim!$B$4:$G$18,4,FALSE)</f>
        <v>3</v>
      </c>
      <c r="J97" s="11">
        <f>IF(I97&gt;0,RANK(I97,$I$2:$I$240)+COUNTIF($I$2:I97,I97)-1,"")</f>
        <v>21</v>
      </c>
      <c r="K97" s="11" t="str">
        <f t="shared" si="15"/>
        <v>Jaime Correa</v>
      </c>
      <c r="L97" s="11" t="str">
        <f t="shared" si="16"/>
        <v>Villanueva</v>
      </c>
      <c r="M97" s="11">
        <f t="shared" si="17"/>
        <v>1</v>
      </c>
      <c r="N97" s="11">
        <f>VLOOKUP(B97,Amenadim!$B$4:$G$18,5,FALSE)</f>
        <v>1</v>
      </c>
      <c r="O97" s="11" t="e">
        <f>IF(N97&gt;0,RANK(N97,$N$2:$N$240)+COUNTIF($N$2:N97,N97)-1,"")</f>
        <v>#N/A</v>
      </c>
      <c r="P97" s="11" t="str">
        <f t="shared" si="18"/>
        <v/>
      </c>
      <c r="Q97" s="11" t="str">
        <f t="shared" si="19"/>
        <v/>
      </c>
      <c r="R97" s="11" t="str">
        <f t="shared" si="20"/>
        <v/>
      </c>
      <c r="S97" s="11">
        <f>VLOOKUP(B97,Amenadim!$B$4:$G$18,6,FALSE)</f>
        <v>0</v>
      </c>
      <c r="T97" s="11" t="str">
        <f>IF(S97&gt;0,RANK(S97,$S$2:$S$240)+COUNTIF($S$2:S97,S97)-1,"")</f>
        <v/>
      </c>
      <c r="U97" s="11" t="str">
        <f t="shared" si="21"/>
        <v/>
      </c>
      <c r="V97" s="11" t="str">
        <f t="shared" si="22"/>
        <v/>
      </c>
      <c r="W97" s="11" t="str">
        <f t="shared" si="23"/>
        <v/>
      </c>
    </row>
    <row r="98" spans="1:23" x14ac:dyDescent="0.25">
      <c r="A98" s="17">
        <v>97</v>
      </c>
      <c r="B98" s="18" t="str">
        <f>Jugadores!G9</f>
        <v>Juan David García</v>
      </c>
      <c r="C98" s="17" t="str">
        <f>+Jugadores!$G$2</f>
        <v>Amenadim</v>
      </c>
      <c r="D98" s="11">
        <f>VLOOKUP(B98,Amenadim!$B$4:$G$18,3,FALSE)</f>
        <v>11</v>
      </c>
      <c r="E98" s="11">
        <f>IF(D98&gt;0,RANK(D98,$D$2:$D$241)+COUNTIF($D$2:D98,D98)-1,"")</f>
        <v>23</v>
      </c>
      <c r="F98" s="11" t="str">
        <f t="shared" si="12"/>
        <v>Alexander Sánchez</v>
      </c>
      <c r="G98" s="11" t="str">
        <f t="shared" si="13"/>
        <v>Ron Star</v>
      </c>
      <c r="H98" s="36">
        <f t="shared" si="14"/>
        <v>3</v>
      </c>
      <c r="I98" s="11">
        <f>VLOOKUP(B98,Amenadim!$B$4:$G$18,4,FALSE)</f>
        <v>1</v>
      </c>
      <c r="J98" s="11">
        <f>IF(I98&gt;0,RANK(I98,$I$2:$I$240)+COUNTIF($I$2:I98,I98)-1,"")</f>
        <v>102</v>
      </c>
      <c r="K98" s="11" t="str">
        <f t="shared" si="15"/>
        <v>Junior Manuel Benítez</v>
      </c>
      <c r="L98" s="11" t="str">
        <f t="shared" si="16"/>
        <v>Villanueva</v>
      </c>
      <c r="M98" s="11">
        <f t="shared" si="17"/>
        <v>1</v>
      </c>
      <c r="N98" s="11">
        <f>VLOOKUP(B98,Amenadim!$B$4:$G$18,5,FALSE)</f>
        <v>0</v>
      </c>
      <c r="O98" s="11" t="str">
        <f>IF(N98&gt;0,RANK(N98,$N$2:$N$240)+COUNTIF($N$2:N98,N98)-1,"")</f>
        <v/>
      </c>
      <c r="P98" s="11" t="str">
        <f t="shared" si="18"/>
        <v/>
      </c>
      <c r="Q98" s="11" t="str">
        <f t="shared" si="19"/>
        <v/>
      </c>
      <c r="R98" s="11" t="str">
        <f t="shared" si="20"/>
        <v/>
      </c>
      <c r="S98" s="11">
        <f>VLOOKUP(B98,Amenadim!$B$4:$G$18,6,FALSE)</f>
        <v>1</v>
      </c>
      <c r="T98" s="11" t="e">
        <f>IF(S98&gt;0,RANK(S98,$S$2:$S$240)+COUNTIF($S$2:S98,S98)-1,"")</f>
        <v>#N/A</v>
      </c>
      <c r="U98" s="11" t="str">
        <f t="shared" si="21"/>
        <v/>
      </c>
      <c r="V98" s="11" t="str">
        <f t="shared" si="22"/>
        <v/>
      </c>
      <c r="W98" s="11" t="str">
        <f t="shared" si="23"/>
        <v/>
      </c>
    </row>
    <row r="99" spans="1:23" x14ac:dyDescent="0.25">
      <c r="A99" s="17">
        <v>98</v>
      </c>
      <c r="B99" s="18" t="str">
        <f>Jugadores!G10</f>
        <v>Donnis Garrido</v>
      </c>
      <c r="C99" s="17" t="str">
        <f>+Jugadores!$G$2</f>
        <v>Amenadim</v>
      </c>
      <c r="D99" s="11">
        <f>VLOOKUP(B99,Amenadim!$B$4:$G$18,3,FALSE)</f>
        <v>0</v>
      </c>
      <c r="E99" s="11" t="str">
        <f>IF(D99&gt;0,RANK(D99,$D$2:$D$241)+COUNTIF($D$2:D99,D99)-1,"")</f>
        <v/>
      </c>
      <c r="F99" s="11" t="str">
        <f t="shared" si="12"/>
        <v>Leandro Oviedo</v>
      </c>
      <c r="G99" s="11" t="str">
        <f t="shared" si="13"/>
        <v>Amenadim</v>
      </c>
      <c r="H99" s="36">
        <f t="shared" si="14"/>
        <v>3</v>
      </c>
      <c r="I99" s="11">
        <f>VLOOKUP(B99,Amenadim!$B$4:$G$18,4,FALSE)</f>
        <v>1</v>
      </c>
      <c r="J99" s="11">
        <f>IF(I99&gt;0,RANK(I99,$I$2:$I$240)+COUNTIF($I$2:I99,I99)-1,"")</f>
        <v>103</v>
      </c>
      <c r="K99" s="11" t="str">
        <f t="shared" si="15"/>
        <v>Jorge Andrés Castellar</v>
      </c>
      <c r="L99" s="11" t="str">
        <f t="shared" si="16"/>
        <v>Villanueva</v>
      </c>
      <c r="M99" s="11">
        <f t="shared" si="17"/>
        <v>1</v>
      </c>
      <c r="N99" s="11">
        <f>VLOOKUP(B99,Amenadim!$B$4:$G$18,5,FALSE)</f>
        <v>0</v>
      </c>
      <c r="O99" s="11" t="str">
        <f>IF(N99&gt;0,RANK(N99,$N$2:$N$240)+COUNTIF($N$2:N99,N99)-1,"")</f>
        <v/>
      </c>
      <c r="P99" s="11" t="str">
        <f t="shared" si="18"/>
        <v/>
      </c>
      <c r="Q99" s="11" t="str">
        <f t="shared" si="19"/>
        <v/>
      </c>
      <c r="R99" s="11" t="str">
        <f t="shared" si="20"/>
        <v/>
      </c>
      <c r="S99" s="11">
        <f>VLOOKUP(B99,Amenadim!$B$4:$G$18,6,FALSE)</f>
        <v>0</v>
      </c>
      <c r="T99" s="11" t="str">
        <f>IF(S99&gt;0,RANK(S99,$S$2:$S$240)+COUNTIF($S$2:S99,S99)-1,"")</f>
        <v/>
      </c>
      <c r="U99" s="11" t="str">
        <f t="shared" si="21"/>
        <v/>
      </c>
      <c r="V99" s="11" t="str">
        <f t="shared" si="22"/>
        <v/>
      </c>
      <c r="W99" s="11" t="str">
        <f t="shared" si="23"/>
        <v/>
      </c>
    </row>
    <row r="100" spans="1:23" x14ac:dyDescent="0.25">
      <c r="A100" s="17">
        <v>99</v>
      </c>
      <c r="B100" s="18" t="str">
        <f>Jugadores!G11</f>
        <v>Leandro Oviedo</v>
      </c>
      <c r="C100" s="17" t="str">
        <f>+Jugadores!$G$2</f>
        <v>Amenadim</v>
      </c>
      <c r="D100" s="11">
        <f>VLOOKUP(B100,Amenadim!$B$4:$G$18,3,FALSE)</f>
        <v>3</v>
      </c>
      <c r="E100" s="11">
        <f>IF(D100&gt;0,RANK(D100,$D$2:$D$241)+COUNTIF($D$2:D100,D100)-1,"")</f>
        <v>98</v>
      </c>
      <c r="F100" s="11" t="str">
        <f t="shared" si="12"/>
        <v>Juan Camilo Aritizabal</v>
      </c>
      <c r="G100" s="11" t="str">
        <f t="shared" si="13"/>
        <v>Hojas Anchas</v>
      </c>
      <c r="H100" s="36">
        <f t="shared" si="14"/>
        <v>3</v>
      </c>
      <c r="I100" s="11">
        <f>VLOOKUP(B100,Amenadim!$B$4:$G$18,4,FALSE)</f>
        <v>2</v>
      </c>
      <c r="J100" s="11">
        <f>IF(I100&gt;0,RANK(I100,$I$2:$I$240)+COUNTIF($I$2:I100,I100)-1,"")</f>
        <v>48</v>
      </c>
      <c r="K100" s="11" t="str">
        <f t="shared" si="15"/>
        <v>Julio Medina</v>
      </c>
      <c r="L100" s="11" t="str">
        <f t="shared" si="16"/>
        <v>Villanueva</v>
      </c>
      <c r="M100" s="11">
        <f t="shared" si="17"/>
        <v>1</v>
      </c>
      <c r="N100" s="11">
        <f>VLOOKUP(B100,Amenadim!$B$4:$G$18,5,FALSE)</f>
        <v>1</v>
      </c>
      <c r="O100" s="11" t="e">
        <f>IF(N100&gt;0,RANK(N100,$N$2:$N$240)+COUNTIF($N$2:N100,N100)-1,"")</f>
        <v>#N/A</v>
      </c>
      <c r="P100" s="11" t="str">
        <f t="shared" si="18"/>
        <v/>
      </c>
      <c r="Q100" s="11" t="str">
        <f t="shared" si="19"/>
        <v/>
      </c>
      <c r="R100" s="11" t="str">
        <f t="shared" si="20"/>
        <v/>
      </c>
      <c r="S100" s="11">
        <f>VLOOKUP(B100,Amenadim!$B$4:$G$18,6,FALSE)</f>
        <v>0</v>
      </c>
      <c r="T100" s="11" t="str">
        <f>IF(S100&gt;0,RANK(S100,$S$2:$S$240)+COUNTIF($S$2:S100,S100)-1,"")</f>
        <v/>
      </c>
      <c r="U100" s="11" t="str">
        <f t="shared" si="21"/>
        <v/>
      </c>
      <c r="V100" s="11" t="str">
        <f t="shared" si="22"/>
        <v/>
      </c>
      <c r="W100" s="11" t="str">
        <f t="shared" si="23"/>
        <v/>
      </c>
    </row>
    <row r="101" spans="1:23" x14ac:dyDescent="0.25">
      <c r="A101" s="17">
        <v>100</v>
      </c>
      <c r="B101" s="18" t="str">
        <f>Jugadores!G12</f>
        <v>Franklin Cuenú</v>
      </c>
      <c r="C101" s="17" t="str">
        <f>+Jugadores!$G$2</f>
        <v>Amenadim</v>
      </c>
      <c r="D101" s="11">
        <f>VLOOKUP(B101,Amenadim!$B$4:$G$18,3,FALSE)</f>
        <v>8</v>
      </c>
      <c r="E101" s="11">
        <f>IF(D101&gt;0,RANK(D101,$D$2:$D$241)+COUNTIF($D$2:D101,D101)-1,"")</f>
        <v>38</v>
      </c>
      <c r="F101" s="11" t="str">
        <f t="shared" si="12"/>
        <v>Jeferson Álvarez</v>
      </c>
      <c r="G101" s="11" t="str">
        <f t="shared" si="13"/>
        <v>Hojas Anchas</v>
      </c>
      <c r="H101" s="36">
        <f t="shared" si="14"/>
        <v>3</v>
      </c>
      <c r="I101" s="11">
        <f>VLOOKUP(B101,Amenadim!$B$4:$G$18,4,FALSE)</f>
        <v>1</v>
      </c>
      <c r="J101" s="11">
        <f>IF(I101&gt;0,RANK(I101,$I$2:$I$240)+COUNTIF($I$2:I101,I101)-1,"")</f>
        <v>104</v>
      </c>
      <c r="K101" s="11" t="str">
        <f t="shared" si="15"/>
        <v>Juan Vallejo</v>
      </c>
      <c r="L101" s="11" t="str">
        <f t="shared" si="16"/>
        <v>Ron Star</v>
      </c>
      <c r="M101" s="11">
        <f t="shared" si="17"/>
        <v>1</v>
      </c>
      <c r="N101" s="11">
        <f>VLOOKUP(B101,Amenadim!$B$4:$G$18,5,FALSE)</f>
        <v>2</v>
      </c>
      <c r="O101" s="11" t="e">
        <f>IF(N101&gt;0,RANK(N101,$N$2:$N$240)+COUNTIF($N$2:N101,N101)-1,"")</f>
        <v>#N/A</v>
      </c>
      <c r="P101" s="11" t="str">
        <f t="shared" si="18"/>
        <v/>
      </c>
      <c r="Q101" s="11" t="str">
        <f t="shared" si="19"/>
        <v/>
      </c>
      <c r="R101" s="11" t="str">
        <f t="shared" si="20"/>
        <v/>
      </c>
      <c r="S101" s="11">
        <f>VLOOKUP(B101,Amenadim!$B$4:$G$18,6,FALSE)</f>
        <v>0</v>
      </c>
      <c r="T101" s="11" t="str">
        <f>IF(S101&gt;0,RANK(S101,$S$2:$S$240)+COUNTIF($S$2:S101,S101)-1,"")</f>
        <v/>
      </c>
      <c r="U101" s="11" t="str">
        <f t="shared" si="21"/>
        <v/>
      </c>
      <c r="V101" s="11" t="str">
        <f t="shared" si="22"/>
        <v/>
      </c>
      <c r="W101" s="11" t="str">
        <f t="shared" si="23"/>
        <v/>
      </c>
    </row>
    <row r="102" spans="1:23" x14ac:dyDescent="0.25">
      <c r="A102" s="17">
        <v>101</v>
      </c>
      <c r="B102" s="18" t="str">
        <f>Jugadores!G13</f>
        <v>Nelson Enrique Velásquez</v>
      </c>
      <c r="C102" s="17" t="str">
        <f>+Jugadores!$G$2</f>
        <v>Amenadim</v>
      </c>
      <c r="D102" s="11">
        <f>VLOOKUP(B102,Amenadim!$B$4:$G$18,3,FALSE)</f>
        <v>4</v>
      </c>
      <c r="E102" s="11">
        <f>IF(D102&gt;0,RANK(D102,$D$2:$D$241)+COUNTIF($D$2:D102,D102)-1,"")</f>
        <v>77</v>
      </c>
      <c r="F102" s="11" t="str">
        <f t="shared" si="12"/>
        <v xml:space="preserve">Gonzalo Carvajal </v>
      </c>
      <c r="G102" s="11" t="str">
        <f t="shared" si="13"/>
        <v>Valentín FC</v>
      </c>
      <c r="H102" s="36">
        <f t="shared" si="14"/>
        <v>3</v>
      </c>
      <c r="I102" s="11">
        <f>VLOOKUP(B102,Amenadim!$B$4:$G$18,4,FALSE)</f>
        <v>0</v>
      </c>
      <c r="J102" s="11" t="str">
        <f>IF(I102&gt;0,RANK(I102,$I$2:$I$240)+COUNTIF($I$2:I102,I102)-1,"")</f>
        <v/>
      </c>
      <c r="K102" s="11" t="str">
        <f t="shared" si="15"/>
        <v>Camilo Zapata</v>
      </c>
      <c r="L102" s="11" t="str">
        <f t="shared" si="16"/>
        <v>Ron Star</v>
      </c>
      <c r="M102" s="11">
        <f t="shared" si="17"/>
        <v>1</v>
      </c>
      <c r="N102" s="11">
        <f>VLOOKUP(B102,Amenadim!$B$4:$G$18,5,FALSE)</f>
        <v>0</v>
      </c>
      <c r="O102" s="11" t="str">
        <f>IF(N102&gt;0,RANK(N102,$N$2:$N$240)+COUNTIF($N$2:N102,N102)-1,"")</f>
        <v/>
      </c>
      <c r="P102" s="11" t="str">
        <f t="shared" si="18"/>
        <v/>
      </c>
      <c r="Q102" s="11" t="str">
        <f t="shared" si="19"/>
        <v/>
      </c>
      <c r="R102" s="11" t="str">
        <f t="shared" si="20"/>
        <v/>
      </c>
      <c r="S102" s="11">
        <f>VLOOKUP(B102,Amenadim!$B$4:$G$18,6,FALSE)</f>
        <v>0</v>
      </c>
      <c r="T102" s="11" t="str">
        <f>IF(S102&gt;0,RANK(S102,$S$2:$S$240)+COUNTIF($S$2:S102,S102)-1,"")</f>
        <v/>
      </c>
      <c r="U102" s="11" t="str">
        <f t="shared" si="21"/>
        <v/>
      </c>
      <c r="V102" s="11" t="str">
        <f t="shared" si="22"/>
        <v/>
      </c>
      <c r="W102" s="11" t="str">
        <f t="shared" si="23"/>
        <v/>
      </c>
    </row>
    <row r="103" spans="1:23" x14ac:dyDescent="0.25">
      <c r="A103" s="17">
        <v>102</v>
      </c>
      <c r="B103" s="18" t="str">
        <f>Jugadores!G14</f>
        <v>Sebastián Sepúlveda</v>
      </c>
      <c r="C103" s="17" t="str">
        <f>+Jugadores!$G$2</f>
        <v>Amenadim</v>
      </c>
      <c r="D103" s="11">
        <f>VLOOKUP(B103,Amenadim!$B$4:$G$18,3,FALSE)</f>
        <v>0</v>
      </c>
      <c r="E103" s="11" t="str">
        <f>IF(D103&gt;0,RANK(D103,$D$2:$D$241)+COUNTIF($D$2:D103,D103)-1,"")</f>
        <v/>
      </c>
      <c r="F103" s="11" t="str">
        <f t="shared" si="12"/>
        <v>Santiago Cuervo</v>
      </c>
      <c r="G103" s="11" t="str">
        <f t="shared" si="13"/>
        <v>Valentín FC</v>
      </c>
      <c r="H103" s="36">
        <f t="shared" si="14"/>
        <v>3</v>
      </c>
      <c r="I103" s="11">
        <f>VLOOKUP(B103,Amenadim!$B$4:$G$18,4,FALSE)</f>
        <v>0</v>
      </c>
      <c r="J103" s="11" t="str">
        <f>IF(I103&gt;0,RANK(I103,$I$2:$I$240)+COUNTIF($I$2:I103,I103)-1,"")</f>
        <v/>
      </c>
      <c r="K103" s="11" t="str">
        <f t="shared" si="15"/>
        <v>Juan David García</v>
      </c>
      <c r="L103" s="11" t="str">
        <f t="shared" si="16"/>
        <v>Amenadim</v>
      </c>
      <c r="M103" s="11">
        <f t="shared" si="17"/>
        <v>1</v>
      </c>
      <c r="N103" s="11">
        <f>VLOOKUP(B103,Amenadim!$B$4:$G$18,5,FALSE)</f>
        <v>0</v>
      </c>
      <c r="O103" s="11" t="str">
        <f>IF(N103&gt;0,RANK(N103,$N$2:$N$240)+COUNTIF($N$2:N103,N103)-1,"")</f>
        <v/>
      </c>
      <c r="P103" s="11" t="str">
        <f t="shared" si="18"/>
        <v/>
      </c>
      <c r="Q103" s="11" t="str">
        <f t="shared" si="19"/>
        <v/>
      </c>
      <c r="R103" s="11" t="str">
        <f t="shared" si="20"/>
        <v/>
      </c>
      <c r="S103" s="11">
        <f>VLOOKUP(B103,Amenadim!$B$4:$G$18,6,FALSE)</f>
        <v>0</v>
      </c>
      <c r="T103" s="11" t="str">
        <f>IF(S103&gt;0,RANK(S103,$S$2:$S$240)+COUNTIF($S$2:S103,S103)-1,"")</f>
        <v/>
      </c>
      <c r="U103" s="11" t="str">
        <f t="shared" si="21"/>
        <v/>
      </c>
      <c r="V103" s="11" t="str">
        <f t="shared" si="22"/>
        <v/>
      </c>
      <c r="W103" s="11" t="str">
        <f t="shared" si="23"/>
        <v/>
      </c>
    </row>
    <row r="104" spans="1:23" x14ac:dyDescent="0.25">
      <c r="A104" s="17">
        <v>103</v>
      </c>
      <c r="B104" s="18" t="str">
        <f>Jugadores!G15</f>
        <v>Ángel Rocha</v>
      </c>
      <c r="C104" s="17" t="str">
        <f>+Jugadores!$G$2</f>
        <v>Amenadim</v>
      </c>
      <c r="D104" s="11">
        <f>VLOOKUP(B104,Amenadim!$B$4:$G$18,3,FALSE)</f>
        <v>1</v>
      </c>
      <c r="E104" s="11">
        <f>IF(D104&gt;0,RANK(D104,$D$2:$D$241)+COUNTIF($D$2:D104,D104)-1,"")</f>
        <v>155</v>
      </c>
      <c r="F104" s="11" t="str">
        <f t="shared" si="12"/>
        <v>Wilberto Gil</v>
      </c>
      <c r="G104" s="11" t="str">
        <f t="shared" si="13"/>
        <v>Boca Juniors</v>
      </c>
      <c r="H104" s="36">
        <f t="shared" si="14"/>
        <v>3</v>
      </c>
      <c r="I104" s="11">
        <f>VLOOKUP(B104,Amenadim!$B$4:$G$18,4,FALSE)</f>
        <v>0</v>
      </c>
      <c r="J104" s="11" t="str">
        <f>IF(I104&gt;0,RANK(I104,$I$2:$I$240)+COUNTIF($I$2:I104,I104)-1,"")</f>
        <v/>
      </c>
      <c r="K104" s="11" t="str">
        <f t="shared" si="15"/>
        <v>Donnis Garrido</v>
      </c>
      <c r="L104" s="11" t="str">
        <f t="shared" si="16"/>
        <v>Amenadim</v>
      </c>
      <c r="M104" s="11">
        <f t="shared" si="17"/>
        <v>1</v>
      </c>
      <c r="N104" s="11">
        <f>VLOOKUP(B104,Amenadim!$B$4:$G$18,5,FALSE)</f>
        <v>0</v>
      </c>
      <c r="O104" s="11" t="str">
        <f>IF(N104&gt;0,RANK(N104,$N$2:$N$240)+COUNTIF($N$2:N104,N104)-1,"")</f>
        <v/>
      </c>
      <c r="P104" s="11" t="str">
        <f t="shared" si="18"/>
        <v/>
      </c>
      <c r="Q104" s="11" t="str">
        <f t="shared" si="19"/>
        <v/>
      </c>
      <c r="R104" s="11" t="str">
        <f t="shared" si="20"/>
        <v/>
      </c>
      <c r="S104" s="11">
        <f>VLOOKUP(B104,Amenadim!$B$4:$G$18,6,FALSE)</f>
        <v>0</v>
      </c>
      <c r="T104" s="11" t="str">
        <f>IF(S104&gt;0,RANK(S104,$S$2:$S$240)+COUNTIF($S$2:S104,S104)-1,"")</f>
        <v/>
      </c>
      <c r="U104" s="11" t="str">
        <f t="shared" si="21"/>
        <v/>
      </c>
      <c r="V104" s="11" t="str">
        <f t="shared" si="22"/>
        <v/>
      </c>
      <c r="W104" s="11" t="str">
        <f t="shared" si="23"/>
        <v/>
      </c>
    </row>
    <row r="105" spans="1:23" s="25" customFormat="1" x14ac:dyDescent="0.25">
      <c r="A105" s="17">
        <v>104</v>
      </c>
      <c r="B105" s="18" t="str">
        <f>Jugadores!G16</f>
        <v>Francisco Angulo</v>
      </c>
      <c r="C105" s="17" t="str">
        <f>+Jugadores!$G$2</f>
        <v>Amenadim</v>
      </c>
      <c r="D105" s="11">
        <f>VLOOKUP(B105,Amenadim!$B$4:$G$18,3,FALSE)</f>
        <v>1</v>
      </c>
      <c r="E105" s="11">
        <f>IF(D105&gt;0,RANK(D105,$D$2:$D$241)+COUNTIF($D$2:D105,D105)-1,"")</f>
        <v>156</v>
      </c>
      <c r="F105" s="11" t="str">
        <f t="shared" si="12"/>
        <v>Luis Colmenares</v>
      </c>
      <c r="G105" s="11" t="str">
        <f t="shared" si="13"/>
        <v>Boca Juniors</v>
      </c>
      <c r="H105" s="36">
        <f t="shared" si="14"/>
        <v>3</v>
      </c>
      <c r="I105" s="11">
        <f>VLOOKUP(B105,Amenadim!$B$4:$G$18,4,FALSE)</f>
        <v>1</v>
      </c>
      <c r="J105" s="11">
        <f>IF(I105&gt;0,RANK(I105,$I$2:$I$240)+COUNTIF($I$2:I105,I105)-1,"")</f>
        <v>105</v>
      </c>
      <c r="K105" s="11" t="str">
        <f t="shared" si="15"/>
        <v>Franklin Cuenú</v>
      </c>
      <c r="L105" s="11" t="str">
        <f t="shared" si="16"/>
        <v>Amenadim</v>
      </c>
      <c r="M105" s="11">
        <f t="shared" si="17"/>
        <v>1</v>
      </c>
      <c r="N105" s="11">
        <f>VLOOKUP(B105,Amenadim!$B$4:$G$18,5,FALSE)</f>
        <v>1</v>
      </c>
      <c r="O105" s="11" t="e">
        <f>IF(N105&gt;0,RANK(N105,$N$2:$N$240)+COUNTIF($N$2:N105,N105)-1,"")</f>
        <v>#N/A</v>
      </c>
      <c r="P105" s="11" t="str">
        <f t="shared" si="18"/>
        <v/>
      </c>
      <c r="Q105" s="11" t="str">
        <f t="shared" si="19"/>
        <v/>
      </c>
      <c r="R105" s="11" t="str">
        <f t="shared" si="20"/>
        <v/>
      </c>
      <c r="S105" s="11">
        <f>VLOOKUP(B105,Amenadim!$B$4:$G$18,6,FALSE)</f>
        <v>1</v>
      </c>
      <c r="T105" s="11" t="e">
        <f>IF(S105&gt;0,RANK(S105,$S$2:$S$240)+COUNTIF($S$2:S105,S105)-1,"")</f>
        <v>#N/A</v>
      </c>
      <c r="U105" s="11" t="str">
        <f t="shared" si="21"/>
        <v/>
      </c>
      <c r="V105" s="11" t="str">
        <f t="shared" si="22"/>
        <v/>
      </c>
      <c r="W105" s="11" t="str">
        <f t="shared" si="23"/>
        <v/>
      </c>
    </row>
    <row r="106" spans="1:23" x14ac:dyDescent="0.25">
      <c r="A106" s="17">
        <v>105</v>
      </c>
      <c r="B106" s="18" t="str">
        <f>Jugadores!G17</f>
        <v>Duván Cárdenas</v>
      </c>
      <c r="C106" s="17" t="str">
        <f>+Jugadores!$G$2</f>
        <v>Amenadim</v>
      </c>
      <c r="D106" s="11">
        <f>VLOOKUP(B106,Amenadim!$B$4:$G$18,3,FALSE)</f>
        <v>0</v>
      </c>
      <c r="E106" s="11" t="str">
        <f>IF(D106&gt;0,RANK(D106,$D$2:$D$241)+COUNTIF($D$2:D106,D106)-1,"")</f>
        <v/>
      </c>
      <c r="F106" s="11" t="str">
        <f t="shared" si="12"/>
        <v>Arbenis Montoya</v>
      </c>
      <c r="G106" s="11" t="str">
        <f t="shared" si="13"/>
        <v>Boca Juniors</v>
      </c>
      <c r="H106" s="36">
        <f t="shared" si="14"/>
        <v>3</v>
      </c>
      <c r="I106" s="11">
        <f>VLOOKUP(B106,Amenadim!$B$4:$G$18,4,FALSE)</f>
        <v>0</v>
      </c>
      <c r="J106" s="11" t="str">
        <f>IF(I106&gt;0,RANK(I106,$I$2:$I$240)+COUNTIF($I$2:I106,I106)-1,"")</f>
        <v/>
      </c>
      <c r="K106" s="11" t="str">
        <f t="shared" si="15"/>
        <v>Francisco Angulo</v>
      </c>
      <c r="L106" s="11" t="str">
        <f t="shared" si="16"/>
        <v>Amenadim</v>
      </c>
      <c r="M106" s="11">
        <f t="shared" si="17"/>
        <v>1</v>
      </c>
      <c r="N106" s="11">
        <f>VLOOKUP(B106,Amenadim!$B$4:$G$18,5,FALSE)</f>
        <v>0</v>
      </c>
      <c r="O106" s="11" t="str">
        <f>IF(N106&gt;0,RANK(N106,$N$2:$N$240)+COUNTIF($N$2:N106,N106)-1,"")</f>
        <v/>
      </c>
      <c r="P106" s="11" t="str">
        <f t="shared" si="18"/>
        <v/>
      </c>
      <c r="Q106" s="11" t="str">
        <f t="shared" si="19"/>
        <v/>
      </c>
      <c r="R106" s="11" t="str">
        <f t="shared" si="20"/>
        <v/>
      </c>
      <c r="S106" s="11">
        <f>VLOOKUP(B106,Amenadim!$B$4:$G$18,6,FALSE)</f>
        <v>0</v>
      </c>
      <c r="T106" s="11" t="str">
        <f>IF(S106&gt;0,RANK(S106,$S$2:$S$240)+COUNTIF($S$2:S106,S106)-1,"")</f>
        <v/>
      </c>
      <c r="U106" s="11" t="str">
        <f t="shared" si="21"/>
        <v/>
      </c>
      <c r="V106" s="11" t="str">
        <f t="shared" si="22"/>
        <v/>
      </c>
      <c r="W106" s="11" t="str">
        <f t="shared" si="23"/>
        <v/>
      </c>
    </row>
    <row r="107" spans="1:23" x14ac:dyDescent="0.25">
      <c r="A107" s="17">
        <v>106</v>
      </c>
      <c r="B107" s="18" t="str">
        <f>Jugadores!H3</f>
        <v>Edwar Jaramillo</v>
      </c>
      <c r="C107" s="17" t="str">
        <f>+Jugadores!$H$2</f>
        <v>Hojas Anchas</v>
      </c>
      <c r="D107" s="11">
        <f>VLOOKUP(B107,'Hojas Anchas'!$B$4:$G$18,3,FALSE)</f>
        <v>0</v>
      </c>
      <c r="E107" s="11" t="str">
        <f>IF(D107&gt;0,RANK(D107,$D$2:$D$241)+COUNTIF($D$2:D107,D107)-1,"")</f>
        <v/>
      </c>
      <c r="F107" s="11" t="str">
        <f t="shared" si="12"/>
        <v>Luis Fernando Madera</v>
      </c>
      <c r="G107" s="11" t="str">
        <f t="shared" si="13"/>
        <v>La Unión FC</v>
      </c>
      <c r="H107" s="36">
        <f t="shared" si="14"/>
        <v>3</v>
      </c>
      <c r="I107" s="11">
        <f>VLOOKUP(B107,'Hojas Anchas'!$B$4:$G$18,4,FALSE)</f>
        <v>3</v>
      </c>
      <c r="J107" s="11">
        <f>IF(I107&gt;0,RANK(I107,$I$2:$I$240)+COUNTIF($I$2:I107,I107)-1,"")</f>
        <v>22</v>
      </c>
      <c r="K107" s="11" t="str">
        <f t="shared" si="15"/>
        <v>Edisón Gavíria</v>
      </c>
      <c r="L107" s="11" t="str">
        <f t="shared" si="16"/>
        <v>Hojas Anchas</v>
      </c>
      <c r="M107" s="11">
        <f t="shared" si="17"/>
        <v>1</v>
      </c>
      <c r="N107" s="11">
        <f>VLOOKUP(B107,'Hojas Anchas'!$B$4:$G$18,5,FALSE)</f>
        <v>0</v>
      </c>
      <c r="O107" s="11" t="str">
        <f>IF(N107&gt;0,RANK(N107,$N$2:$N$240)+COUNTIF($N$2:N107,N107)-1,"")</f>
        <v/>
      </c>
      <c r="P107" s="11" t="str">
        <f t="shared" si="18"/>
        <v/>
      </c>
      <c r="Q107" s="11" t="str">
        <f t="shared" si="19"/>
        <v/>
      </c>
      <c r="R107" s="11" t="str">
        <f t="shared" si="20"/>
        <v/>
      </c>
      <c r="S107" s="11">
        <f>VLOOKUP(B107,'Hojas Anchas'!$B$4:$G$18,6,FALSE)</f>
        <v>1</v>
      </c>
      <c r="T107" s="11" t="e">
        <f>IF(S107&gt;0,RANK(S107,$S$2:$S$240)+COUNTIF($S$2:S107,S107)-1,"")</f>
        <v>#N/A</v>
      </c>
      <c r="U107" s="11" t="str">
        <f t="shared" si="21"/>
        <v/>
      </c>
      <c r="V107" s="11" t="str">
        <f t="shared" si="22"/>
        <v/>
      </c>
      <c r="W107" s="11" t="str">
        <f t="shared" si="23"/>
        <v/>
      </c>
    </row>
    <row r="108" spans="1:23" x14ac:dyDescent="0.25">
      <c r="A108" s="17">
        <v>107</v>
      </c>
      <c r="B108" s="18" t="str">
        <f>Jugadores!H4</f>
        <v>Julián Esteban Gil</v>
      </c>
      <c r="C108" s="17" t="str">
        <f>+Jugadores!$H$2</f>
        <v>Hojas Anchas</v>
      </c>
      <c r="D108" s="11">
        <f>VLOOKUP(B108,'Hojas Anchas'!$B$4:$G$18,3,FALSE)</f>
        <v>4</v>
      </c>
      <c r="E108" s="11">
        <f>IF(D108&gt;0,RANK(D108,$D$2:$D$241)+COUNTIF($D$2:D108,D108)-1,"")</f>
        <v>78</v>
      </c>
      <c r="F108" s="11" t="str">
        <f t="shared" si="12"/>
        <v>Luis Fernando Cabrera</v>
      </c>
      <c r="G108" s="11" t="str">
        <f t="shared" si="13"/>
        <v>La Unión FC</v>
      </c>
      <c r="H108" s="36">
        <f t="shared" si="14"/>
        <v>3</v>
      </c>
      <c r="I108" s="11">
        <f>VLOOKUP(B108,'Hojas Anchas'!$B$4:$G$18,4,FALSE)</f>
        <v>7</v>
      </c>
      <c r="J108" s="11">
        <f>IF(I108&gt;0,RANK(I108,$I$2:$I$240)+COUNTIF($I$2:I108,I108)-1,"")</f>
        <v>2</v>
      </c>
      <c r="K108" s="11" t="str">
        <f t="shared" si="15"/>
        <v>Daniel Gil</v>
      </c>
      <c r="L108" s="11" t="str">
        <f t="shared" si="16"/>
        <v>Hojas Anchas</v>
      </c>
      <c r="M108" s="11">
        <f t="shared" si="17"/>
        <v>1</v>
      </c>
      <c r="N108" s="11">
        <f>VLOOKUP(B108,'Hojas Anchas'!$B$4:$G$18,5,FALSE)</f>
        <v>1</v>
      </c>
      <c r="O108" s="11" t="e">
        <f>IF(N108&gt;0,RANK(N108,$N$2:$N$240)+COUNTIF($N$2:N108,N108)-1,"")</f>
        <v>#N/A</v>
      </c>
      <c r="P108" s="11" t="str">
        <f t="shared" si="18"/>
        <v/>
      </c>
      <c r="Q108" s="11" t="str">
        <f t="shared" si="19"/>
        <v/>
      </c>
      <c r="R108" s="11" t="str">
        <f t="shared" si="20"/>
        <v/>
      </c>
      <c r="S108" s="11">
        <f>VLOOKUP(B108,'Hojas Anchas'!$B$4:$G$18,6,FALSE)</f>
        <v>1</v>
      </c>
      <c r="T108" s="11" t="e">
        <f>IF(S108&gt;0,RANK(S108,$S$2:$S$240)+COUNTIF($S$2:S108,S108)-1,"")</f>
        <v>#N/A</v>
      </c>
      <c r="U108" s="11" t="str">
        <f t="shared" si="21"/>
        <v/>
      </c>
      <c r="V108" s="11" t="str">
        <f t="shared" si="22"/>
        <v/>
      </c>
      <c r="W108" s="11" t="str">
        <f t="shared" si="23"/>
        <v/>
      </c>
    </row>
    <row r="109" spans="1:23" x14ac:dyDescent="0.25">
      <c r="A109" s="17">
        <v>108</v>
      </c>
      <c r="B109" s="18" t="str">
        <f>Jugadores!H5</f>
        <v>Jaider Londoño</v>
      </c>
      <c r="C109" s="17" t="str">
        <f>+Jugadores!$H$2</f>
        <v>Hojas Anchas</v>
      </c>
      <c r="D109" s="11">
        <f>VLOOKUP(B109,'Hojas Anchas'!$B$4:$G$18,3,FALSE)</f>
        <v>6</v>
      </c>
      <c r="E109" s="11">
        <f>IF(D109&gt;0,RANK(D109,$D$2:$D$241)+COUNTIF($D$2:D109,D109)-1,"")</f>
        <v>57</v>
      </c>
      <c r="F109" s="11" t="str">
        <f t="shared" si="12"/>
        <v>Luis Fernando Hernández</v>
      </c>
      <c r="G109" s="11" t="str">
        <f t="shared" si="13"/>
        <v>La Unión FC</v>
      </c>
      <c r="H109" s="36">
        <f t="shared" si="14"/>
        <v>3</v>
      </c>
      <c r="I109" s="11">
        <f>VLOOKUP(B109,'Hojas Anchas'!$B$4:$G$18,4,FALSE)</f>
        <v>3</v>
      </c>
      <c r="J109" s="11">
        <f>IF(I109&gt;0,RANK(I109,$I$2:$I$240)+COUNTIF($I$2:I109,I109)-1,"")</f>
        <v>23</v>
      </c>
      <c r="K109" s="11" t="str">
        <f t="shared" si="15"/>
        <v>Juan Camilo Aritizabal</v>
      </c>
      <c r="L109" s="11" t="str">
        <f t="shared" si="16"/>
        <v>Hojas Anchas</v>
      </c>
      <c r="M109" s="11">
        <f t="shared" si="17"/>
        <v>1</v>
      </c>
      <c r="N109" s="11">
        <f>VLOOKUP(B109,'Hojas Anchas'!$B$4:$G$18,5,FALSE)</f>
        <v>1</v>
      </c>
      <c r="O109" s="11" t="e">
        <f>IF(N109&gt;0,RANK(N109,$N$2:$N$240)+COUNTIF($N$2:N109,N109)-1,"")</f>
        <v>#N/A</v>
      </c>
      <c r="P109" s="11" t="str">
        <f t="shared" si="18"/>
        <v/>
      </c>
      <c r="Q109" s="11" t="str">
        <f t="shared" si="19"/>
        <v/>
      </c>
      <c r="R109" s="11" t="str">
        <f t="shared" si="20"/>
        <v/>
      </c>
      <c r="S109" s="11">
        <f>VLOOKUP(B109,'Hojas Anchas'!$B$4:$G$18,6,FALSE)</f>
        <v>0</v>
      </c>
      <c r="T109" s="11" t="str">
        <f>IF(S109&gt;0,RANK(S109,$S$2:$S$240)+COUNTIF($S$2:S109,S109)-1,"")</f>
        <v/>
      </c>
      <c r="U109" s="11" t="str">
        <f t="shared" si="21"/>
        <v/>
      </c>
      <c r="V109" s="11" t="str">
        <f t="shared" si="22"/>
        <v/>
      </c>
      <c r="W109" s="11" t="str">
        <f t="shared" si="23"/>
        <v/>
      </c>
    </row>
    <row r="110" spans="1:23" x14ac:dyDescent="0.25">
      <c r="A110" s="17">
        <v>109</v>
      </c>
      <c r="B110" s="18" t="str">
        <f>Jugadores!H6</f>
        <v>Edisón Gavíria</v>
      </c>
      <c r="C110" s="17" t="str">
        <f>+Jugadores!$H$2</f>
        <v>Hojas Anchas</v>
      </c>
      <c r="D110" s="11">
        <f>VLOOKUP(B110,'Hojas Anchas'!$B$4:$G$18,3,FALSE)</f>
        <v>0</v>
      </c>
      <c r="E110" s="11" t="str">
        <f>IF(D110&gt;0,RANK(D110,$D$2:$D$241)+COUNTIF($D$2:D110,D110)-1,"")</f>
        <v/>
      </c>
      <c r="F110" s="11" t="str">
        <f t="shared" si="12"/>
        <v xml:space="preserve">Jhonatan Andrés Morales </v>
      </c>
      <c r="G110" s="11" t="str">
        <f t="shared" si="13"/>
        <v>Los Aliados</v>
      </c>
      <c r="H110" s="36">
        <f t="shared" si="14"/>
        <v>3</v>
      </c>
      <c r="I110" s="11">
        <f>VLOOKUP(B110,'Hojas Anchas'!$B$4:$G$18,4,FALSE)</f>
        <v>1</v>
      </c>
      <c r="J110" s="11">
        <f>IF(I110&gt;0,RANK(I110,$I$2:$I$240)+COUNTIF($I$2:I110,I110)-1,"")</f>
        <v>106</v>
      </c>
      <c r="K110" s="11" t="str">
        <f t="shared" si="15"/>
        <v>Lucas Zuluaga</v>
      </c>
      <c r="L110" s="11" t="str">
        <f t="shared" si="16"/>
        <v>Hojas Anchas</v>
      </c>
      <c r="M110" s="11">
        <f t="shared" si="17"/>
        <v>1</v>
      </c>
      <c r="N110" s="11">
        <f>VLOOKUP(B110,'Hojas Anchas'!$B$4:$G$18,5,FALSE)</f>
        <v>0</v>
      </c>
      <c r="O110" s="11" t="str">
        <f>IF(N110&gt;0,RANK(N110,$N$2:$N$240)+COUNTIF($N$2:N110,N110)-1,"")</f>
        <v/>
      </c>
      <c r="P110" s="11" t="str">
        <f t="shared" si="18"/>
        <v/>
      </c>
      <c r="Q110" s="11" t="str">
        <f t="shared" si="19"/>
        <v/>
      </c>
      <c r="R110" s="11" t="str">
        <f t="shared" si="20"/>
        <v/>
      </c>
      <c r="S110" s="11">
        <f>VLOOKUP(B110,'Hojas Anchas'!$B$4:$G$18,6,FALSE)</f>
        <v>0</v>
      </c>
      <c r="T110" s="11" t="str">
        <f>IF(S110&gt;0,RANK(S110,$S$2:$S$240)+COUNTIF($S$2:S110,S110)-1,"")</f>
        <v/>
      </c>
      <c r="U110" s="11" t="str">
        <f t="shared" si="21"/>
        <v/>
      </c>
      <c r="V110" s="11" t="str">
        <f t="shared" si="22"/>
        <v/>
      </c>
      <c r="W110" s="11" t="str">
        <f t="shared" si="23"/>
        <v/>
      </c>
    </row>
    <row r="111" spans="1:23" x14ac:dyDescent="0.25">
      <c r="A111" s="17">
        <v>110</v>
      </c>
      <c r="B111" s="18" t="str">
        <f>Jugadores!H7</f>
        <v>Jimy Manrique</v>
      </c>
      <c r="C111" s="17" t="str">
        <f>+Jugadores!$H$2</f>
        <v>Hojas Anchas</v>
      </c>
      <c r="D111" s="11">
        <f>VLOOKUP(B111,'Hojas Anchas'!$B$4:$G$18,3,FALSE)</f>
        <v>9</v>
      </c>
      <c r="E111" s="11">
        <f>IF(D111&gt;0,RANK(D111,$D$2:$D$241)+COUNTIF($D$2:D111,D111)-1,"")</f>
        <v>28</v>
      </c>
      <c r="F111" s="11" t="str">
        <f t="shared" si="12"/>
        <v>Rafael Santos</v>
      </c>
      <c r="G111" s="11" t="str">
        <f t="shared" si="13"/>
        <v>Atalanta</v>
      </c>
      <c r="H111" s="36">
        <f t="shared" si="14"/>
        <v>3</v>
      </c>
      <c r="I111" s="11">
        <f>VLOOKUP(B111,'Hojas Anchas'!$B$4:$G$18,4,FALSE)</f>
        <v>2</v>
      </c>
      <c r="J111" s="11">
        <f>IF(I111&gt;0,RANK(I111,$I$2:$I$240)+COUNTIF($I$2:I111,I111)-1,"")</f>
        <v>49</v>
      </c>
      <c r="K111" s="11" t="str">
        <f t="shared" si="15"/>
        <v>Santos FC 15</v>
      </c>
      <c r="L111" s="11" t="str">
        <f t="shared" si="16"/>
        <v>Valentín FC</v>
      </c>
      <c r="M111" s="11">
        <f t="shared" si="17"/>
        <v>1</v>
      </c>
      <c r="N111" s="11">
        <f>VLOOKUP(B111,'Hojas Anchas'!$B$4:$G$18,5,FALSE)</f>
        <v>3</v>
      </c>
      <c r="O111" s="11" t="e">
        <f>IF(N111&gt;0,RANK(N111,$N$2:$N$240)+COUNTIF($N$2:N111,N111)-1,"")</f>
        <v>#N/A</v>
      </c>
      <c r="P111" s="11" t="str">
        <f t="shared" si="18"/>
        <v/>
      </c>
      <c r="Q111" s="11" t="str">
        <f t="shared" si="19"/>
        <v/>
      </c>
      <c r="R111" s="11" t="str">
        <f t="shared" si="20"/>
        <v/>
      </c>
      <c r="S111" s="11">
        <f>VLOOKUP(B111,'Hojas Anchas'!$B$4:$G$18,6,FALSE)</f>
        <v>1</v>
      </c>
      <c r="T111" s="11" t="e">
        <f>IF(S111&gt;0,RANK(S111,$S$2:$S$240)+COUNTIF($S$2:S111,S111)-1,"")</f>
        <v>#N/A</v>
      </c>
      <c r="U111" s="11" t="str">
        <f t="shared" si="21"/>
        <v/>
      </c>
      <c r="V111" s="11" t="str">
        <f t="shared" si="22"/>
        <v/>
      </c>
      <c r="W111" s="11" t="str">
        <f t="shared" si="23"/>
        <v/>
      </c>
    </row>
    <row r="112" spans="1:23" x14ac:dyDescent="0.25">
      <c r="A112" s="17">
        <v>111</v>
      </c>
      <c r="B112" s="18" t="str">
        <f>Jugadores!H8</f>
        <v xml:space="preserve">Jeison Londoño </v>
      </c>
      <c r="C112" s="17" t="str">
        <f>+Jugadores!$H$2</f>
        <v>Hojas Anchas</v>
      </c>
      <c r="D112" s="11">
        <f>VLOOKUP(B112,'Hojas Anchas'!$B$4:$G$18,3,FALSE)</f>
        <v>0</v>
      </c>
      <c r="E112" s="11" t="str">
        <f>IF(D112&gt;0,RANK(D112,$D$2:$D$241)+COUNTIF($D$2:D112,D112)-1,"")</f>
        <v/>
      </c>
      <c r="F112" s="11" t="str">
        <f t="shared" si="12"/>
        <v>José Pedroso</v>
      </c>
      <c r="G112" s="11" t="str">
        <f t="shared" si="13"/>
        <v>Atalanta</v>
      </c>
      <c r="H112" s="36">
        <f t="shared" si="14"/>
        <v>3</v>
      </c>
      <c r="I112" s="11">
        <f>VLOOKUP(B112,'Hojas Anchas'!$B$4:$G$18,4,FALSE)</f>
        <v>2</v>
      </c>
      <c r="J112" s="11">
        <f>IF(I112&gt;0,RANK(I112,$I$2:$I$240)+COUNTIF($I$2:I112,I112)-1,"")</f>
        <v>50</v>
      </c>
      <c r="K112" s="11" t="str">
        <f t="shared" si="15"/>
        <v>Silvio Celins</v>
      </c>
      <c r="L112" s="11" t="str">
        <f t="shared" si="16"/>
        <v>Boca Juniors</v>
      </c>
      <c r="M112" s="11">
        <f t="shared" si="17"/>
        <v>1</v>
      </c>
      <c r="N112" s="11">
        <f>VLOOKUP(B112,'Hojas Anchas'!$B$4:$G$18,5,FALSE)</f>
        <v>0</v>
      </c>
      <c r="O112" s="11" t="str">
        <f>IF(N112&gt;0,RANK(N112,$N$2:$N$240)+COUNTIF($N$2:N112,N112)-1,"")</f>
        <v/>
      </c>
      <c r="P112" s="11" t="str">
        <f t="shared" si="18"/>
        <v/>
      </c>
      <c r="Q112" s="11" t="str">
        <f t="shared" si="19"/>
        <v/>
      </c>
      <c r="R112" s="11" t="str">
        <f t="shared" si="20"/>
        <v/>
      </c>
      <c r="S112" s="11">
        <f>VLOOKUP(B112,'Hojas Anchas'!$B$4:$G$18,6,FALSE)</f>
        <v>0</v>
      </c>
      <c r="T112" s="11" t="str">
        <f>IF(S112&gt;0,RANK(S112,$S$2:$S$240)+COUNTIF($S$2:S112,S112)-1,"")</f>
        <v/>
      </c>
      <c r="U112" s="11" t="str">
        <f t="shared" si="21"/>
        <v/>
      </c>
      <c r="V112" s="11" t="str">
        <f t="shared" si="22"/>
        <v/>
      </c>
      <c r="W112" s="11" t="str">
        <f t="shared" si="23"/>
        <v/>
      </c>
    </row>
    <row r="113" spans="1:23" x14ac:dyDescent="0.25">
      <c r="A113" s="17">
        <v>112</v>
      </c>
      <c r="B113" s="18" t="str">
        <f>Jugadores!H9</f>
        <v xml:space="preserve">Julio Gaviria </v>
      </c>
      <c r="C113" s="17" t="str">
        <f>+Jugadores!$H$2</f>
        <v>Hojas Anchas</v>
      </c>
      <c r="D113" s="11">
        <f>VLOOKUP(B113,'Hojas Anchas'!$B$4:$G$18,3,FALSE)</f>
        <v>0</v>
      </c>
      <c r="E113" s="11" t="str">
        <f>IF(D113&gt;0,RANK(D113,$D$2:$D$241)+COUNTIF($D$2:D113,D113)-1,"")</f>
        <v/>
      </c>
      <c r="F113" s="11" t="str">
        <f t="shared" si="12"/>
        <v>Osneider Benítez Feria</v>
      </c>
      <c r="G113" s="11" t="str">
        <f t="shared" si="13"/>
        <v>CD El Corozo</v>
      </c>
      <c r="H113" s="36">
        <f t="shared" si="14"/>
        <v>3</v>
      </c>
      <c r="I113" s="11">
        <f>VLOOKUP(B113,'Hojas Anchas'!$B$4:$G$18,4,FALSE)</f>
        <v>0</v>
      </c>
      <c r="J113" s="11" t="str">
        <f>IF(I113&gt;0,RANK(I113,$I$2:$I$240)+COUNTIF($I$2:I113,I113)-1,"")</f>
        <v/>
      </c>
      <c r="K113" s="11" t="str">
        <f t="shared" si="15"/>
        <v xml:space="preserve">Hilmer León </v>
      </c>
      <c r="L113" s="11" t="str">
        <f t="shared" si="16"/>
        <v>Boca Juniors</v>
      </c>
      <c r="M113" s="11">
        <f t="shared" si="17"/>
        <v>1</v>
      </c>
      <c r="N113" s="11">
        <f>VLOOKUP(B113,'Hojas Anchas'!$B$4:$G$18,5,FALSE)</f>
        <v>0</v>
      </c>
      <c r="O113" s="11" t="str">
        <f>IF(N113&gt;0,RANK(N113,$N$2:$N$240)+COUNTIF($N$2:N113,N113)-1,"")</f>
        <v/>
      </c>
      <c r="P113" s="11" t="str">
        <f t="shared" si="18"/>
        <v/>
      </c>
      <c r="Q113" s="11" t="str">
        <f t="shared" si="19"/>
        <v/>
      </c>
      <c r="R113" s="11" t="str">
        <f t="shared" si="20"/>
        <v/>
      </c>
      <c r="S113" s="11">
        <f>VLOOKUP(B113,'Hojas Anchas'!$B$4:$G$18,6,FALSE)</f>
        <v>0</v>
      </c>
      <c r="T113" s="11" t="str">
        <f>IF(S113&gt;0,RANK(S113,$S$2:$S$240)+COUNTIF($S$2:S113,S113)-1,"")</f>
        <v/>
      </c>
      <c r="U113" s="11" t="str">
        <f t="shared" si="21"/>
        <v/>
      </c>
      <c r="V113" s="11" t="str">
        <f t="shared" si="22"/>
        <v/>
      </c>
      <c r="W113" s="11" t="str">
        <f t="shared" si="23"/>
        <v/>
      </c>
    </row>
    <row r="114" spans="1:23" x14ac:dyDescent="0.25">
      <c r="A114" s="17">
        <v>113</v>
      </c>
      <c r="B114" s="18" t="str">
        <f>Jugadores!H10</f>
        <v>José Ángel Londoño</v>
      </c>
      <c r="C114" s="17" t="str">
        <f>+Jugadores!$H$2</f>
        <v>Hojas Anchas</v>
      </c>
      <c r="D114" s="11">
        <f>VLOOKUP(B114,'Hojas Anchas'!$B$4:$G$18,3,FALSE)</f>
        <v>7</v>
      </c>
      <c r="E114" s="11">
        <f>IF(D114&gt;0,RANK(D114,$D$2:$D$241)+COUNTIF($D$2:D114,D114)-1,"")</f>
        <v>42</v>
      </c>
      <c r="F114" s="11" t="str">
        <f t="shared" si="12"/>
        <v>Juan Felipe Hincapié</v>
      </c>
      <c r="G114" s="11" t="str">
        <f t="shared" si="13"/>
        <v>Los Amigos</v>
      </c>
      <c r="H114" s="36">
        <f t="shared" si="14"/>
        <v>2</v>
      </c>
      <c r="I114" s="11">
        <f>VLOOKUP(B114,'Hojas Anchas'!$B$4:$G$18,4,FALSE)</f>
        <v>3</v>
      </c>
      <c r="J114" s="11">
        <f>IF(I114&gt;0,RANK(I114,$I$2:$I$240)+COUNTIF($I$2:I114,I114)-1,"")</f>
        <v>24</v>
      </c>
      <c r="K114" s="11" t="str">
        <f t="shared" si="15"/>
        <v xml:space="preserve">Raudi Villa </v>
      </c>
      <c r="L114" s="11" t="str">
        <f t="shared" si="16"/>
        <v>Deportivo Fénix</v>
      </c>
      <c r="M114" s="11">
        <f t="shared" si="17"/>
        <v>1</v>
      </c>
      <c r="N114" s="11">
        <f>VLOOKUP(B114,'Hojas Anchas'!$B$4:$G$18,5,FALSE)</f>
        <v>4</v>
      </c>
      <c r="O114" s="11" t="e">
        <f>IF(N114&gt;0,RANK(N114,$N$2:$N$240)+COUNTIF($N$2:N114,N114)-1,"")</f>
        <v>#N/A</v>
      </c>
      <c r="P114" s="11" t="str">
        <f t="shared" si="18"/>
        <v/>
      </c>
      <c r="Q114" s="11" t="str">
        <f t="shared" si="19"/>
        <v/>
      </c>
      <c r="R114" s="11" t="str">
        <f t="shared" si="20"/>
        <v/>
      </c>
      <c r="S114" s="11">
        <f>VLOOKUP(B114,'Hojas Anchas'!$B$4:$G$18,6,FALSE)</f>
        <v>1</v>
      </c>
      <c r="T114" s="11" t="e">
        <f>IF(S114&gt;0,RANK(S114,$S$2:$S$240)+COUNTIF($S$2:S114,S114)-1,"")</f>
        <v>#N/A</v>
      </c>
      <c r="U114" s="11" t="str">
        <f t="shared" si="21"/>
        <v/>
      </c>
      <c r="V114" s="11" t="str">
        <f t="shared" si="22"/>
        <v/>
      </c>
      <c r="W114" s="11" t="str">
        <f t="shared" si="23"/>
        <v/>
      </c>
    </row>
    <row r="115" spans="1:23" x14ac:dyDescent="0.25">
      <c r="A115" s="17">
        <v>114</v>
      </c>
      <c r="B115" s="18" t="str">
        <f>Jugadores!H11</f>
        <v>Daniel Gil</v>
      </c>
      <c r="C115" s="17" t="str">
        <f>+Jugadores!$H$2</f>
        <v>Hojas Anchas</v>
      </c>
      <c r="D115" s="11">
        <f>VLOOKUP(B115,'Hojas Anchas'!$B$4:$G$18,3,FALSE)</f>
        <v>0</v>
      </c>
      <c r="E115" s="11" t="str">
        <f>IF(D115&gt;0,RANK(D115,$D$2:$D$241)+COUNTIF($D$2:D115,D115)-1,"")</f>
        <v/>
      </c>
      <c r="F115" s="11" t="str">
        <f t="shared" si="12"/>
        <v>Juan Felipe Ayala</v>
      </c>
      <c r="G115" s="11" t="str">
        <f t="shared" si="13"/>
        <v>Los Amigos</v>
      </c>
      <c r="H115" s="36">
        <f t="shared" si="14"/>
        <v>2</v>
      </c>
      <c r="I115" s="11">
        <f>VLOOKUP(B115,'Hojas Anchas'!$B$4:$G$18,4,FALSE)</f>
        <v>1</v>
      </c>
      <c r="J115" s="11">
        <f>IF(I115&gt;0,RANK(I115,$I$2:$I$240)+COUNTIF($I$2:I115,I115)-1,"")</f>
        <v>107</v>
      </c>
      <c r="K115" s="11" t="str">
        <f t="shared" si="15"/>
        <v>Francisco Hiturriaga Gutiérrez</v>
      </c>
      <c r="L115" s="11" t="str">
        <f t="shared" si="16"/>
        <v>Deportivo Fénix</v>
      </c>
      <c r="M115" s="11">
        <f t="shared" si="17"/>
        <v>1</v>
      </c>
      <c r="N115" s="11">
        <f>VLOOKUP(B115,'Hojas Anchas'!$B$4:$G$18,5,FALSE)</f>
        <v>0</v>
      </c>
      <c r="O115" s="11" t="str">
        <f>IF(N115&gt;0,RANK(N115,$N$2:$N$240)+COUNTIF($N$2:N115,N115)-1,"")</f>
        <v/>
      </c>
      <c r="P115" s="11" t="str">
        <f t="shared" si="18"/>
        <v/>
      </c>
      <c r="Q115" s="11" t="str">
        <f t="shared" si="19"/>
        <v/>
      </c>
      <c r="R115" s="11" t="str">
        <f t="shared" si="20"/>
        <v/>
      </c>
      <c r="S115" s="11">
        <f>VLOOKUP(B115,'Hojas Anchas'!$B$4:$G$18,6,FALSE)</f>
        <v>0</v>
      </c>
      <c r="T115" s="11" t="str">
        <f>IF(S115&gt;0,RANK(S115,$S$2:$S$240)+COUNTIF($S$2:S115,S115)-1,"")</f>
        <v/>
      </c>
      <c r="U115" s="11" t="str">
        <f t="shared" si="21"/>
        <v/>
      </c>
      <c r="V115" s="11" t="str">
        <f t="shared" si="22"/>
        <v/>
      </c>
      <c r="W115" s="11" t="str">
        <f t="shared" si="23"/>
        <v/>
      </c>
    </row>
    <row r="116" spans="1:23" x14ac:dyDescent="0.25">
      <c r="A116" s="17">
        <v>115</v>
      </c>
      <c r="B116" s="18" t="str">
        <f>Jugadores!H12</f>
        <v>Juan Camilo Aritizabal</v>
      </c>
      <c r="C116" s="17" t="str">
        <f>+Jugadores!$H$2</f>
        <v>Hojas Anchas</v>
      </c>
      <c r="D116" s="11">
        <f>VLOOKUP(B116,'Hojas Anchas'!$B$4:$G$18,3,FALSE)</f>
        <v>3</v>
      </c>
      <c r="E116" s="11">
        <f>IF(D116&gt;0,RANK(D116,$D$2:$D$241)+COUNTIF($D$2:D116,D116)-1,"")</f>
        <v>99</v>
      </c>
      <c r="F116" s="11" t="str">
        <f t="shared" si="12"/>
        <v>Juan José Gaviría</v>
      </c>
      <c r="G116" s="11" t="str">
        <f t="shared" si="13"/>
        <v>La Nueva Era</v>
      </c>
      <c r="H116" s="36">
        <f t="shared" si="14"/>
        <v>2</v>
      </c>
      <c r="I116" s="11">
        <f>VLOOKUP(B116,'Hojas Anchas'!$B$4:$G$18,4,FALSE)</f>
        <v>1</v>
      </c>
      <c r="J116" s="11">
        <f>IF(I116&gt;0,RANK(I116,$I$2:$I$240)+COUNTIF($I$2:I116,I116)-1,"")</f>
        <v>108</v>
      </c>
      <c r="K116" s="11" t="str">
        <f t="shared" si="15"/>
        <v>Sebastián Zapata</v>
      </c>
      <c r="L116" s="11" t="str">
        <f t="shared" si="16"/>
        <v>Deportivo Fénix</v>
      </c>
      <c r="M116" s="11">
        <f t="shared" si="17"/>
        <v>1</v>
      </c>
      <c r="N116" s="11">
        <f>VLOOKUP(B116,'Hojas Anchas'!$B$4:$G$18,5,FALSE)</f>
        <v>0</v>
      </c>
      <c r="O116" s="11" t="str">
        <f>IF(N116&gt;0,RANK(N116,$N$2:$N$240)+COUNTIF($N$2:N116,N116)-1,"")</f>
        <v/>
      </c>
      <c r="P116" s="11" t="str">
        <f t="shared" si="18"/>
        <v/>
      </c>
      <c r="Q116" s="11" t="str">
        <f t="shared" si="19"/>
        <v/>
      </c>
      <c r="R116" s="11" t="str">
        <f t="shared" si="20"/>
        <v/>
      </c>
      <c r="S116" s="11">
        <f>VLOOKUP(B116,'Hojas Anchas'!$B$4:$G$18,6,FALSE)</f>
        <v>0</v>
      </c>
      <c r="T116" s="11" t="str">
        <f>IF(S116&gt;0,RANK(S116,$S$2:$S$240)+COUNTIF($S$2:S116,S116)-1,"")</f>
        <v/>
      </c>
      <c r="U116" s="11" t="str">
        <f t="shared" si="21"/>
        <v/>
      </c>
      <c r="V116" s="11" t="str">
        <f t="shared" si="22"/>
        <v/>
      </c>
      <c r="W116" s="11" t="str">
        <f t="shared" si="23"/>
        <v/>
      </c>
    </row>
    <row r="117" spans="1:23" x14ac:dyDescent="0.25">
      <c r="A117" s="17">
        <v>116</v>
      </c>
      <c r="B117" s="18" t="str">
        <f>Jugadores!H13</f>
        <v>Lucas Zuluaga</v>
      </c>
      <c r="C117" s="17" t="str">
        <f>+Jugadores!$H$2</f>
        <v>Hojas Anchas</v>
      </c>
      <c r="D117" s="11">
        <f>VLOOKUP(B117,'Hojas Anchas'!$B$4:$G$18,3,FALSE)</f>
        <v>13</v>
      </c>
      <c r="E117" s="11">
        <f>IF(D117&gt;0,RANK(D117,$D$2:$D$241)+COUNTIF($D$2:D117,D117)-1,"")</f>
        <v>17</v>
      </c>
      <c r="F117" s="11" t="str">
        <f t="shared" si="12"/>
        <v xml:space="preserve">Deivid Jaramillo </v>
      </c>
      <c r="G117" s="11" t="str">
        <f t="shared" si="13"/>
        <v>La Amistad</v>
      </c>
      <c r="H117" s="36">
        <f t="shared" si="14"/>
        <v>2</v>
      </c>
      <c r="I117" s="11">
        <f>VLOOKUP(B117,'Hojas Anchas'!$B$4:$G$18,4,FALSE)</f>
        <v>1</v>
      </c>
      <c r="J117" s="11">
        <f>IF(I117&gt;0,RANK(I117,$I$2:$I$240)+COUNTIF($I$2:I117,I117)-1,"")</f>
        <v>109</v>
      </c>
      <c r="K117" s="11" t="str">
        <f t="shared" si="15"/>
        <v>Jesús Batista</v>
      </c>
      <c r="L117" s="11" t="str">
        <f t="shared" si="16"/>
        <v>Rayos FC</v>
      </c>
      <c r="M117" s="11">
        <f t="shared" si="17"/>
        <v>1</v>
      </c>
      <c r="N117" s="11">
        <f>VLOOKUP(B117,'Hojas Anchas'!$B$4:$G$18,5,FALSE)</f>
        <v>4</v>
      </c>
      <c r="O117" s="11" t="e">
        <f>IF(N117&gt;0,RANK(N117,$N$2:$N$240)+COUNTIF($N$2:N117,N117)-1,"")</f>
        <v>#N/A</v>
      </c>
      <c r="P117" s="11" t="str">
        <f t="shared" si="18"/>
        <v/>
      </c>
      <c r="Q117" s="11" t="str">
        <f t="shared" si="19"/>
        <v/>
      </c>
      <c r="R117" s="11" t="str">
        <f t="shared" si="20"/>
        <v/>
      </c>
      <c r="S117" s="11">
        <f>VLOOKUP(B117,'Hojas Anchas'!$B$4:$G$18,6,FALSE)</f>
        <v>0</v>
      </c>
      <c r="T117" s="11" t="str">
        <f>IF(S117&gt;0,RANK(S117,$S$2:$S$240)+COUNTIF($S$2:S117,S117)-1,"")</f>
        <v/>
      </c>
      <c r="U117" s="11" t="str">
        <f t="shared" si="21"/>
        <v/>
      </c>
      <c r="V117" s="11" t="str">
        <f t="shared" si="22"/>
        <v/>
      </c>
      <c r="W117" s="11" t="str">
        <f t="shared" si="23"/>
        <v/>
      </c>
    </row>
    <row r="118" spans="1:23" x14ac:dyDescent="0.25">
      <c r="A118" s="17">
        <v>117</v>
      </c>
      <c r="B118" s="18" t="str">
        <f>Jugadores!H14</f>
        <v xml:space="preserve">Juan Pablo Valencia </v>
      </c>
      <c r="C118" s="17" t="str">
        <f>+Jugadores!$H$2</f>
        <v>Hojas Anchas</v>
      </c>
      <c r="D118" s="11">
        <f>VLOOKUP(B118,'Hojas Anchas'!$B$4:$G$18,3,FALSE)</f>
        <v>1</v>
      </c>
      <c r="E118" s="11">
        <f>IF(D118&gt;0,RANK(D118,$D$2:$D$241)+COUNTIF($D$2:D118,D118)-1,"")</f>
        <v>157</v>
      </c>
      <c r="F118" s="11" t="str">
        <f t="shared" si="12"/>
        <v xml:space="preserve">Miguel Ángel Patiño </v>
      </c>
      <c r="G118" s="11" t="str">
        <f t="shared" si="13"/>
        <v>La Amistad</v>
      </c>
      <c r="H118" s="36">
        <f t="shared" si="14"/>
        <v>2</v>
      </c>
      <c r="I118" s="11">
        <f>VLOOKUP(B118,'Hojas Anchas'!$B$4:$G$18,4,FALSE)</f>
        <v>0</v>
      </c>
      <c r="J118" s="11" t="str">
        <f>IF(I118&gt;0,RANK(I118,$I$2:$I$240)+COUNTIF($I$2:I118,I118)-1,"")</f>
        <v/>
      </c>
      <c r="K118" s="11" t="str">
        <f t="shared" si="15"/>
        <v>Carlos Rodríguez</v>
      </c>
      <c r="L118" s="11" t="str">
        <f t="shared" si="16"/>
        <v>Rayos FC</v>
      </c>
      <c r="M118" s="11">
        <f t="shared" si="17"/>
        <v>1</v>
      </c>
      <c r="N118" s="11">
        <f>VLOOKUP(B118,'Hojas Anchas'!$B$4:$G$18,5,FALSE)</f>
        <v>0</v>
      </c>
      <c r="O118" s="11" t="str">
        <f>IF(N118&gt;0,RANK(N118,$N$2:$N$240)+COUNTIF($N$2:N118,N118)-1,"")</f>
        <v/>
      </c>
      <c r="P118" s="11" t="str">
        <f t="shared" si="18"/>
        <v/>
      </c>
      <c r="Q118" s="11" t="str">
        <f t="shared" si="19"/>
        <v/>
      </c>
      <c r="R118" s="11" t="str">
        <f t="shared" si="20"/>
        <v/>
      </c>
      <c r="S118" s="11">
        <f>VLOOKUP(B118,'Hojas Anchas'!$B$4:$G$18,6,FALSE)</f>
        <v>0</v>
      </c>
      <c r="T118" s="11" t="str">
        <f>IF(S118&gt;0,RANK(S118,$S$2:$S$240)+COUNTIF($S$2:S118,S118)-1,"")</f>
        <v/>
      </c>
      <c r="U118" s="11" t="str">
        <f t="shared" si="21"/>
        <v/>
      </c>
      <c r="V118" s="11" t="str">
        <f t="shared" si="22"/>
        <v/>
      </c>
      <c r="W118" s="11" t="str">
        <f t="shared" si="23"/>
        <v/>
      </c>
    </row>
    <row r="119" spans="1:23" x14ac:dyDescent="0.25">
      <c r="A119" s="17">
        <v>118</v>
      </c>
      <c r="B119" s="18" t="str">
        <f>Jugadores!H15</f>
        <v>Juan de Dios Duque</v>
      </c>
      <c r="C119" s="17" t="str">
        <f>+Jugadores!$H$2</f>
        <v>Hojas Anchas</v>
      </c>
      <c r="D119" s="11">
        <f>VLOOKUP(B119,'Hojas Anchas'!$B$4:$G$18,3,FALSE)</f>
        <v>12</v>
      </c>
      <c r="E119" s="11">
        <f>IF(D119&gt;0,RANK(D119,$D$2:$D$241)+COUNTIF($D$2:D119,D119)-1,"")</f>
        <v>22</v>
      </c>
      <c r="F119" s="11" t="str">
        <f t="shared" si="12"/>
        <v>Jorge Briceño</v>
      </c>
      <c r="G119" s="11" t="str">
        <f t="shared" si="13"/>
        <v>Konami</v>
      </c>
      <c r="H119" s="36">
        <f t="shared" si="14"/>
        <v>2</v>
      </c>
      <c r="I119" s="11">
        <f>VLOOKUP(B119,'Hojas Anchas'!$B$4:$G$18,4,FALSE)</f>
        <v>0</v>
      </c>
      <c r="J119" s="11" t="str">
        <f>IF(I119&gt;0,RANK(I119,$I$2:$I$240)+COUNTIF($I$2:I119,I119)-1,"")</f>
        <v/>
      </c>
      <c r="K119" s="11" t="str">
        <f t="shared" si="15"/>
        <v>Ricardo Peralta</v>
      </c>
      <c r="L119" s="11" t="str">
        <f t="shared" si="16"/>
        <v>La Unión FC</v>
      </c>
      <c r="M119" s="11">
        <f t="shared" si="17"/>
        <v>1</v>
      </c>
      <c r="N119" s="11">
        <f>VLOOKUP(B119,'Hojas Anchas'!$B$4:$G$18,5,FALSE)</f>
        <v>3</v>
      </c>
      <c r="O119" s="11" t="e">
        <f>IF(N119&gt;0,RANK(N119,$N$2:$N$240)+COUNTIF($N$2:N119,N119)-1,"")</f>
        <v>#N/A</v>
      </c>
      <c r="P119" s="11" t="str">
        <f t="shared" si="18"/>
        <v/>
      </c>
      <c r="Q119" s="11" t="str">
        <f t="shared" si="19"/>
        <v/>
      </c>
      <c r="R119" s="11" t="str">
        <f t="shared" si="20"/>
        <v/>
      </c>
      <c r="S119" s="11">
        <f>VLOOKUP(B119,'Hojas Anchas'!$B$4:$G$18,6,FALSE)</f>
        <v>0</v>
      </c>
      <c r="T119" s="11" t="str">
        <f>IF(S119&gt;0,RANK(S119,$S$2:$S$240)+COUNTIF($S$2:S119,S119)-1,"")</f>
        <v/>
      </c>
      <c r="U119" s="11" t="str">
        <f t="shared" si="21"/>
        <v/>
      </c>
      <c r="V119" s="11" t="str">
        <f t="shared" si="22"/>
        <v/>
      </c>
      <c r="W119" s="11" t="str">
        <f t="shared" si="23"/>
        <v/>
      </c>
    </row>
    <row r="120" spans="1:23" s="25" customFormat="1" x14ac:dyDescent="0.25">
      <c r="A120" s="17">
        <v>119</v>
      </c>
      <c r="B120" s="18" t="str">
        <f>Jugadores!H16</f>
        <v>Jeferson Álvarez</v>
      </c>
      <c r="C120" s="17" t="str">
        <f>+Jugadores!$H$2</f>
        <v>Hojas Anchas</v>
      </c>
      <c r="D120" s="11">
        <f>VLOOKUP(B120,'Hojas Anchas'!$B$4:$G$18,3,FALSE)</f>
        <v>3</v>
      </c>
      <c r="E120" s="11">
        <f>IF(D120&gt;0,RANK(D120,$D$2:$D$241)+COUNTIF($D$2:D120,D120)-1,"")</f>
        <v>100</v>
      </c>
      <c r="F120" s="11" t="str">
        <f t="shared" si="12"/>
        <v>Robinson Rivera</v>
      </c>
      <c r="G120" s="11" t="str">
        <f t="shared" si="13"/>
        <v>Konami</v>
      </c>
      <c r="H120" s="36">
        <f t="shared" si="14"/>
        <v>2</v>
      </c>
      <c r="I120" s="11">
        <f>VLOOKUP(B120,'Hojas Anchas'!$B$4:$G$18,4,FALSE)</f>
        <v>3</v>
      </c>
      <c r="J120" s="11">
        <f>IF(I120&gt;0,RANK(I120,$I$2:$I$240)+COUNTIF($I$2:I120,I120)-1,"")</f>
        <v>25</v>
      </c>
      <c r="K120" s="11" t="str">
        <f t="shared" si="15"/>
        <v>Edinsón Molina</v>
      </c>
      <c r="L120" s="11" t="str">
        <f t="shared" si="16"/>
        <v>La Unión FC</v>
      </c>
      <c r="M120" s="11">
        <f t="shared" si="17"/>
        <v>1</v>
      </c>
      <c r="N120" s="11">
        <f>VLOOKUP(B120,'Hojas Anchas'!$B$4:$G$18,5,FALSE)</f>
        <v>1</v>
      </c>
      <c r="O120" s="11" t="e">
        <f>IF(N120&gt;0,RANK(N120,$N$2:$N$240)+COUNTIF($N$2:N120,N120)-1,"")</f>
        <v>#N/A</v>
      </c>
      <c r="P120" s="11" t="str">
        <f t="shared" si="18"/>
        <v/>
      </c>
      <c r="Q120" s="11" t="str">
        <f t="shared" si="19"/>
        <v/>
      </c>
      <c r="R120" s="11" t="str">
        <f t="shared" si="20"/>
        <v/>
      </c>
      <c r="S120" s="11">
        <f>VLOOKUP(B120,'Hojas Anchas'!$B$4:$G$18,6,FALSE)</f>
        <v>0</v>
      </c>
      <c r="T120" s="11" t="str">
        <f>IF(S120&gt;0,RANK(S120,$S$2:$S$240)+COUNTIF($S$2:S120,S120)-1,"")</f>
        <v/>
      </c>
      <c r="U120" s="11" t="str">
        <f t="shared" si="21"/>
        <v/>
      </c>
      <c r="V120" s="11" t="str">
        <f t="shared" si="22"/>
        <v/>
      </c>
      <c r="W120" s="11" t="str">
        <f t="shared" si="23"/>
        <v/>
      </c>
    </row>
    <row r="121" spans="1:23" x14ac:dyDescent="0.25">
      <c r="A121" s="17">
        <v>120</v>
      </c>
      <c r="B121" s="18" t="str">
        <f>Jugadores!H17</f>
        <v xml:space="preserve">Jorge Iván Gaviria </v>
      </c>
      <c r="C121" s="17" t="str">
        <f>+Jugadores!$H$2</f>
        <v>Hojas Anchas</v>
      </c>
      <c r="D121" s="11">
        <f>VLOOKUP(B121,'Hojas Anchas'!$B$4:$G$18,3,FALSE)</f>
        <v>4</v>
      </c>
      <c r="E121" s="11">
        <f>IF(D121&gt;0,RANK(D121,$D$2:$D$241)+COUNTIF($D$2:D121,D121)-1,"")</f>
        <v>79</v>
      </c>
      <c r="F121" s="11" t="str">
        <f t="shared" si="12"/>
        <v>Norbey Marín</v>
      </c>
      <c r="G121" s="11" t="str">
        <f t="shared" si="13"/>
        <v>Konami</v>
      </c>
      <c r="H121" s="36">
        <f t="shared" si="14"/>
        <v>2</v>
      </c>
      <c r="I121" s="11">
        <f>VLOOKUP(B121,'Hojas Anchas'!$B$4:$G$18,4,FALSE)</f>
        <v>0</v>
      </c>
      <c r="J121" s="11" t="str">
        <f>IF(I121&gt;0,RANK(I121,$I$2:$I$240)+COUNTIF($I$2:I121,I121)-1,"")</f>
        <v/>
      </c>
      <c r="K121" s="11" t="str">
        <f t="shared" si="15"/>
        <v xml:space="preserve">Daniel Ospina </v>
      </c>
      <c r="L121" s="11" t="str">
        <f t="shared" si="16"/>
        <v>Los Aliados</v>
      </c>
      <c r="M121" s="11">
        <f t="shared" si="17"/>
        <v>1</v>
      </c>
      <c r="N121" s="11">
        <f>VLOOKUP(B121,'Hojas Anchas'!$B$4:$G$18,5,FALSE)</f>
        <v>1</v>
      </c>
      <c r="O121" s="11" t="e">
        <f>IF(N121&gt;0,RANK(N121,$N$2:$N$240)+COUNTIF($N$2:N121,N121)-1,"")</f>
        <v>#N/A</v>
      </c>
      <c r="P121" s="11" t="str">
        <f t="shared" si="18"/>
        <v/>
      </c>
      <c r="Q121" s="11" t="str">
        <f t="shared" si="19"/>
        <v/>
      </c>
      <c r="R121" s="11" t="str">
        <f t="shared" si="20"/>
        <v/>
      </c>
      <c r="S121" s="11">
        <f>VLOOKUP(B121,'Hojas Anchas'!$B$4:$G$18,6,FALSE)</f>
        <v>0</v>
      </c>
      <c r="T121" s="11" t="str">
        <f>IF(S121&gt;0,RANK(S121,$S$2:$S$240)+COUNTIF($S$2:S121,S121)-1,"")</f>
        <v/>
      </c>
      <c r="U121" s="11" t="str">
        <f t="shared" si="21"/>
        <v/>
      </c>
      <c r="V121" s="11" t="str">
        <f t="shared" si="22"/>
        <v/>
      </c>
      <c r="W121" s="11" t="str">
        <f t="shared" si="23"/>
        <v/>
      </c>
    </row>
    <row r="122" spans="1:23" x14ac:dyDescent="0.25">
      <c r="A122" s="17">
        <v>121</v>
      </c>
      <c r="B122" s="18" t="str">
        <f>Jugadores!I3</f>
        <v>Jaider Carvajal Ríos</v>
      </c>
      <c r="C122" s="17" t="str">
        <f>+Jugadores!$I$2</f>
        <v>Valentín FC</v>
      </c>
      <c r="D122" s="11">
        <f>VLOOKUP(B122,'Valentín FC'!$B$4:$G$18,3,FALSE)</f>
        <v>27</v>
      </c>
      <c r="E122" s="11">
        <f>IF(D122&gt;0,RANK(D122,$D$2:$D$241)+COUNTIF($D$2:D122,D122)-1,"")</f>
        <v>4</v>
      </c>
      <c r="F122" s="11" t="str">
        <f t="shared" si="12"/>
        <v>Omar Salazar</v>
      </c>
      <c r="G122" s="11" t="str">
        <f t="shared" si="13"/>
        <v>Ron Star</v>
      </c>
      <c r="H122" s="36">
        <f t="shared" si="14"/>
        <v>2</v>
      </c>
      <c r="I122" s="11">
        <f>VLOOKUP(B122,'Valentín FC'!$B$4:$G$18,4,FALSE)</f>
        <v>5</v>
      </c>
      <c r="J122" s="11">
        <f>IF(I122&gt;0,RANK(I122,$I$2:$I$240)+COUNTIF($I$2:I122,I122)-1,"")</f>
        <v>4</v>
      </c>
      <c r="K122" s="11" t="str">
        <f t="shared" si="15"/>
        <v xml:space="preserve">Cristian Alejandro Chavarría </v>
      </c>
      <c r="L122" s="11" t="str">
        <f t="shared" si="16"/>
        <v>Los Aliados</v>
      </c>
      <c r="M122" s="11">
        <f t="shared" si="17"/>
        <v>1</v>
      </c>
      <c r="N122" s="11">
        <f>VLOOKUP(B122,'Valentín FC'!$B$4:$G$18,5,FALSE)</f>
        <v>8</v>
      </c>
      <c r="O122" s="11" t="e">
        <f>IF(N122&gt;0,RANK(N122,$N$2:$N$240)+COUNTIF($N$2:N122,N122)-1,"")</f>
        <v>#N/A</v>
      </c>
      <c r="P122" s="11" t="str">
        <f t="shared" si="18"/>
        <v/>
      </c>
      <c r="Q122" s="11" t="str">
        <f t="shared" si="19"/>
        <v/>
      </c>
      <c r="R122" s="11" t="str">
        <f t="shared" si="20"/>
        <v/>
      </c>
      <c r="S122" s="11">
        <f>VLOOKUP(B122,'Valentín FC'!$B$4:$G$18,6,FALSE)</f>
        <v>2</v>
      </c>
      <c r="T122" s="11" t="e">
        <f>IF(S122&gt;0,RANK(S122,$S$2:$S$240)+COUNTIF($S$2:S122,S122)-1,"")</f>
        <v>#N/A</v>
      </c>
      <c r="U122" s="11" t="str">
        <f t="shared" si="21"/>
        <v/>
      </c>
      <c r="V122" s="11" t="str">
        <f t="shared" si="22"/>
        <v/>
      </c>
      <c r="W122" s="11" t="str">
        <f t="shared" si="23"/>
        <v/>
      </c>
    </row>
    <row r="123" spans="1:23" x14ac:dyDescent="0.25">
      <c r="A123" s="17">
        <v>122</v>
      </c>
      <c r="B123" s="18" t="str">
        <f>Jugadores!I4</f>
        <v>Matias Montoya</v>
      </c>
      <c r="C123" s="17" t="str">
        <f>+Jugadores!$I$2</f>
        <v>Valentín FC</v>
      </c>
      <c r="D123" s="11">
        <f>VLOOKUP(B123,'Valentín FC'!$B$4:$G$18,3,FALSE)</f>
        <v>4</v>
      </c>
      <c r="E123" s="11">
        <f>IF(D123&gt;0,RANK(D123,$D$2:$D$241)+COUNTIF($D$2:D123,D123)-1,"")</f>
        <v>80</v>
      </c>
      <c r="F123" s="11" t="str">
        <f t="shared" si="12"/>
        <v>Stiven Álzate</v>
      </c>
      <c r="G123" s="11" t="str">
        <f t="shared" si="13"/>
        <v>Valentín FC</v>
      </c>
      <c r="H123" s="36">
        <f t="shared" si="14"/>
        <v>2</v>
      </c>
      <c r="I123" s="11">
        <f>VLOOKUP(B123,'Valentín FC'!$B$4:$G$18,4,FALSE)</f>
        <v>4</v>
      </c>
      <c r="J123" s="11">
        <f>IF(I123&gt;0,RANK(I123,$I$2:$I$240)+COUNTIF($I$2:I123,I123)-1,"")</f>
        <v>10</v>
      </c>
      <c r="K123" s="11" t="str">
        <f t="shared" si="15"/>
        <v>Antony Sánchez</v>
      </c>
      <c r="L123" s="11" t="str">
        <f t="shared" si="16"/>
        <v>Atalanta</v>
      </c>
      <c r="M123" s="11">
        <f t="shared" si="17"/>
        <v>1</v>
      </c>
      <c r="N123" s="11">
        <f>VLOOKUP(B123,'Valentín FC'!$B$4:$G$18,5,FALSE)</f>
        <v>2</v>
      </c>
      <c r="O123" s="11" t="e">
        <f>IF(N123&gt;0,RANK(N123,$N$2:$N$240)+COUNTIF($N$2:N123,N123)-1,"")</f>
        <v>#N/A</v>
      </c>
      <c r="P123" s="11" t="str">
        <f t="shared" si="18"/>
        <v/>
      </c>
      <c r="Q123" s="11" t="str">
        <f t="shared" si="19"/>
        <v/>
      </c>
      <c r="R123" s="11" t="str">
        <f t="shared" si="20"/>
        <v/>
      </c>
      <c r="S123" s="11">
        <f>VLOOKUP(B123,'Valentín FC'!$B$4:$G$18,6,FALSE)</f>
        <v>1</v>
      </c>
      <c r="T123" s="11" t="e">
        <f>IF(S123&gt;0,RANK(S123,$S$2:$S$240)+COUNTIF($S$2:S123,S123)-1,"")</f>
        <v>#N/A</v>
      </c>
      <c r="U123" s="11" t="str">
        <f t="shared" si="21"/>
        <v/>
      </c>
      <c r="V123" s="11" t="str">
        <f t="shared" si="22"/>
        <v/>
      </c>
      <c r="W123" s="11" t="str">
        <f t="shared" si="23"/>
        <v/>
      </c>
    </row>
    <row r="124" spans="1:23" x14ac:dyDescent="0.25">
      <c r="A124" s="17">
        <v>123</v>
      </c>
      <c r="B124" s="18" t="str">
        <f>Jugadores!I5</f>
        <v>Jeison Martínez</v>
      </c>
      <c r="C124" s="17" t="str">
        <f>+Jugadores!$I$2</f>
        <v>Valentín FC</v>
      </c>
      <c r="D124" s="11">
        <f>VLOOKUP(B124,'Valentín FC'!$B$4:$G$18,3,FALSE)</f>
        <v>4</v>
      </c>
      <c r="E124" s="11">
        <f>IF(D124&gt;0,RANK(D124,$D$2:$D$241)+COUNTIF($D$2:D124,D124)-1,"")</f>
        <v>81</v>
      </c>
      <c r="F124" s="11" t="str">
        <f t="shared" si="12"/>
        <v>Nelson  Plaza</v>
      </c>
      <c r="G124" s="11" t="str">
        <f t="shared" si="13"/>
        <v>Boca Juniors</v>
      </c>
      <c r="H124" s="36">
        <f t="shared" si="14"/>
        <v>2</v>
      </c>
      <c r="I124" s="11">
        <f>VLOOKUP(B124,'Valentín FC'!$B$4:$G$18,4,FALSE)</f>
        <v>0</v>
      </c>
      <c r="J124" s="11" t="str">
        <f>IF(I124&gt;0,RANK(I124,$I$2:$I$240)+COUNTIF($I$2:I124,I124)-1,"")</f>
        <v/>
      </c>
      <c r="K124" s="11" t="str">
        <f t="shared" si="15"/>
        <v>Iván Betancourt</v>
      </c>
      <c r="L124" s="11" t="str">
        <f t="shared" si="16"/>
        <v>Atalanta</v>
      </c>
      <c r="M124" s="11">
        <f t="shared" si="17"/>
        <v>1</v>
      </c>
      <c r="N124" s="11">
        <f>VLOOKUP(B124,'Valentín FC'!$B$4:$G$18,5,FALSE)</f>
        <v>0</v>
      </c>
      <c r="O124" s="11" t="str">
        <f>IF(N124&gt;0,RANK(N124,$N$2:$N$240)+COUNTIF($N$2:N124,N124)-1,"")</f>
        <v/>
      </c>
      <c r="P124" s="11" t="str">
        <f t="shared" si="18"/>
        <v/>
      </c>
      <c r="Q124" s="11" t="str">
        <f t="shared" si="19"/>
        <v/>
      </c>
      <c r="R124" s="11" t="str">
        <f t="shared" si="20"/>
        <v/>
      </c>
      <c r="S124" s="11">
        <f>VLOOKUP(B124,'Valentín FC'!$B$4:$G$18,6,FALSE)</f>
        <v>0</v>
      </c>
      <c r="T124" s="11" t="str">
        <f>IF(S124&gt;0,RANK(S124,$S$2:$S$240)+COUNTIF($S$2:S124,S124)-1,"")</f>
        <v/>
      </c>
      <c r="U124" s="11" t="str">
        <f t="shared" si="21"/>
        <v/>
      </c>
      <c r="V124" s="11" t="str">
        <f t="shared" si="22"/>
        <v/>
      </c>
      <c r="W124" s="11" t="str">
        <f t="shared" si="23"/>
        <v/>
      </c>
    </row>
    <row r="125" spans="1:23" x14ac:dyDescent="0.25">
      <c r="A125" s="17">
        <v>124</v>
      </c>
      <c r="B125" s="18" t="str">
        <f>Jugadores!I6</f>
        <v>Carlos Andrés Berrio</v>
      </c>
      <c r="C125" s="17" t="str">
        <f>+Jugadores!$I$2</f>
        <v>Valentín FC</v>
      </c>
      <c r="D125" s="11">
        <f>VLOOKUP(B125,'Valentín FC'!$B$4:$G$18,3,FALSE)</f>
        <v>5</v>
      </c>
      <c r="E125" s="11">
        <f>IF(D125&gt;0,RANK(D125,$D$2:$D$241)+COUNTIF($D$2:D125,D125)-1,"")</f>
        <v>66</v>
      </c>
      <c r="F125" s="11" t="str">
        <f t="shared" si="12"/>
        <v>Temístocles Polo</v>
      </c>
      <c r="G125" s="11" t="str">
        <f t="shared" si="13"/>
        <v>Boca Juniors</v>
      </c>
      <c r="H125" s="36">
        <f t="shared" si="14"/>
        <v>2</v>
      </c>
      <c r="I125" s="11">
        <f>VLOOKUP(B125,'Valentín FC'!$B$4:$G$18,4,FALSE)</f>
        <v>9</v>
      </c>
      <c r="J125" s="11">
        <f>IF(I125&gt;0,RANK(I125,$I$2:$I$240)+COUNTIF($I$2:I125,I125)-1,"")</f>
        <v>1</v>
      </c>
      <c r="K125" s="11" t="str">
        <f t="shared" si="15"/>
        <v>Andy Urango Viloria</v>
      </c>
      <c r="L125" s="11" t="str">
        <f t="shared" si="16"/>
        <v>CD El Corozo</v>
      </c>
      <c r="M125" s="11">
        <f t="shared" si="17"/>
        <v>1</v>
      </c>
      <c r="N125" s="11">
        <f>VLOOKUP(B125,'Valentín FC'!$B$4:$G$18,5,FALSE)</f>
        <v>1</v>
      </c>
      <c r="O125" s="11" t="e">
        <f>IF(N125&gt;0,RANK(N125,$N$2:$N$240)+COUNTIF($N$2:N125,N125)-1,"")</f>
        <v>#N/A</v>
      </c>
      <c r="P125" s="11" t="str">
        <f t="shared" si="18"/>
        <v/>
      </c>
      <c r="Q125" s="11" t="str">
        <f t="shared" si="19"/>
        <v/>
      </c>
      <c r="R125" s="11" t="str">
        <f t="shared" si="20"/>
        <v/>
      </c>
      <c r="S125" s="11">
        <f>VLOOKUP(B125,'Valentín FC'!$B$4:$G$18,6,FALSE)</f>
        <v>2</v>
      </c>
      <c r="T125" s="11" t="e">
        <f>IF(S125&gt;0,RANK(S125,$S$2:$S$240)+COUNTIF($S$2:S125,S125)-1,"")</f>
        <v>#N/A</v>
      </c>
      <c r="U125" s="11" t="str">
        <f t="shared" si="21"/>
        <v/>
      </c>
      <c r="V125" s="11" t="str">
        <f t="shared" si="22"/>
        <v/>
      </c>
      <c r="W125" s="11" t="str">
        <f t="shared" si="23"/>
        <v/>
      </c>
    </row>
    <row r="126" spans="1:23" x14ac:dyDescent="0.25">
      <c r="A126" s="17">
        <v>125</v>
      </c>
      <c r="B126" s="18" t="str">
        <f>Jugadores!I7</f>
        <v xml:space="preserve">Gonzalo Carvajal </v>
      </c>
      <c r="C126" s="17" t="str">
        <f>+Jugadores!$I$2</f>
        <v>Valentín FC</v>
      </c>
      <c r="D126" s="11">
        <f>VLOOKUP(B126,'Valentín FC'!$B$4:$G$18,3,FALSE)</f>
        <v>3</v>
      </c>
      <c r="E126" s="11">
        <f>IF(D126&gt;0,RANK(D126,$D$2:$D$241)+COUNTIF($D$2:D126,D126)-1,"")</f>
        <v>101</v>
      </c>
      <c r="F126" s="11" t="str">
        <f t="shared" si="12"/>
        <v xml:space="preserve">Raudi Villa </v>
      </c>
      <c r="G126" s="11" t="str">
        <f t="shared" si="13"/>
        <v>Deportivo Fénix</v>
      </c>
      <c r="H126" s="36">
        <f t="shared" si="14"/>
        <v>2</v>
      </c>
      <c r="I126" s="11">
        <f>VLOOKUP(B126,'Valentín FC'!$B$4:$G$18,4,FALSE)</f>
        <v>0</v>
      </c>
      <c r="J126" s="11" t="str">
        <f>IF(I126&gt;0,RANK(I126,$I$2:$I$240)+COUNTIF($I$2:I126,I126)-1,"")</f>
        <v/>
      </c>
      <c r="K126" s="11" t="str">
        <f t="shared" si="15"/>
        <v>Andrés Suárez Martínez</v>
      </c>
      <c r="L126" s="11" t="str">
        <f t="shared" si="16"/>
        <v>CD El Corozo</v>
      </c>
      <c r="M126" s="11">
        <f t="shared" si="17"/>
        <v>1</v>
      </c>
      <c r="N126" s="11">
        <f>VLOOKUP(B126,'Valentín FC'!$B$4:$G$18,5,FALSE)</f>
        <v>1</v>
      </c>
      <c r="O126" s="11" t="e">
        <f>IF(N126&gt;0,RANK(N126,$N$2:$N$240)+COUNTIF($N$2:N126,N126)-1,"")</f>
        <v>#N/A</v>
      </c>
      <c r="P126" s="11" t="str">
        <f t="shared" si="18"/>
        <v/>
      </c>
      <c r="Q126" s="11" t="str">
        <f t="shared" si="19"/>
        <v/>
      </c>
      <c r="R126" s="11" t="str">
        <f t="shared" si="20"/>
        <v/>
      </c>
      <c r="S126" s="11">
        <f>VLOOKUP(B126,'Valentín FC'!$B$4:$G$18,6,FALSE)</f>
        <v>0</v>
      </c>
      <c r="T126" s="11" t="str">
        <f>IF(S126&gt;0,RANK(S126,$S$2:$S$240)+COUNTIF($S$2:S126,S126)-1,"")</f>
        <v/>
      </c>
      <c r="U126" s="11" t="str">
        <f t="shared" si="21"/>
        <v/>
      </c>
      <c r="V126" s="11" t="str">
        <f t="shared" si="22"/>
        <v/>
      </c>
      <c r="W126" s="11" t="str">
        <f t="shared" si="23"/>
        <v/>
      </c>
    </row>
    <row r="127" spans="1:23" x14ac:dyDescent="0.25">
      <c r="A127" s="17">
        <v>126</v>
      </c>
      <c r="B127" s="18" t="str">
        <f>Jugadores!I8</f>
        <v>Stiven Álzate</v>
      </c>
      <c r="C127" s="17" t="str">
        <f>+Jugadores!$I$2</f>
        <v>Valentín FC</v>
      </c>
      <c r="D127" s="11">
        <f>VLOOKUP(B127,'Valentín FC'!$B$4:$G$18,3,FALSE)</f>
        <v>2</v>
      </c>
      <c r="E127" s="11">
        <f>IF(D127&gt;0,RANK(D127,$D$2:$D$241)+COUNTIF($D$2:D127,D127)-1,"")</f>
        <v>122</v>
      </c>
      <c r="F127" s="11" t="str">
        <f t="shared" si="12"/>
        <v xml:space="preserve">Amín Ortega </v>
      </c>
      <c r="G127" s="11" t="str">
        <f t="shared" si="13"/>
        <v>Deportivo Fénix</v>
      </c>
      <c r="H127" s="36">
        <f t="shared" si="14"/>
        <v>2</v>
      </c>
      <c r="I127" s="11">
        <f>VLOOKUP(B127,'Valentín FC'!$B$4:$G$18,4,FALSE)</f>
        <v>0</v>
      </c>
      <c r="J127" s="11" t="str">
        <f>IF(I127&gt;0,RANK(I127,$I$2:$I$240)+COUNTIF($I$2:I127,I127)-1,"")</f>
        <v/>
      </c>
      <c r="K127" s="11" t="str">
        <f t="shared" si="15"/>
        <v>Lucas Urango Viloria</v>
      </c>
      <c r="L127" s="11" t="str">
        <f t="shared" si="16"/>
        <v>CD El Corozo</v>
      </c>
      <c r="M127" s="11">
        <f t="shared" si="17"/>
        <v>1</v>
      </c>
      <c r="N127" s="11">
        <f>VLOOKUP(B127,'Valentín FC'!$B$4:$G$18,5,FALSE)</f>
        <v>0</v>
      </c>
      <c r="O127" s="11" t="str">
        <f>IF(N127&gt;0,RANK(N127,$N$2:$N$240)+COUNTIF($N$2:N127,N127)-1,"")</f>
        <v/>
      </c>
      <c r="P127" s="11" t="str">
        <f t="shared" si="18"/>
        <v/>
      </c>
      <c r="Q127" s="11" t="str">
        <f t="shared" si="19"/>
        <v/>
      </c>
      <c r="R127" s="11" t="str">
        <f t="shared" si="20"/>
        <v/>
      </c>
      <c r="S127" s="11">
        <f>VLOOKUP(B127,'Valentín FC'!$B$4:$G$18,6,FALSE)</f>
        <v>0</v>
      </c>
      <c r="T127" s="11" t="str">
        <f>IF(S127&gt;0,RANK(S127,$S$2:$S$240)+COUNTIF($S$2:S127,S127)-1,"")</f>
        <v/>
      </c>
      <c r="U127" s="11" t="str">
        <f t="shared" si="21"/>
        <v/>
      </c>
      <c r="V127" s="11" t="str">
        <f t="shared" si="22"/>
        <v/>
      </c>
      <c r="W127" s="11" t="str">
        <f t="shared" si="23"/>
        <v/>
      </c>
    </row>
    <row r="128" spans="1:23" x14ac:dyDescent="0.25">
      <c r="A128" s="17">
        <v>127</v>
      </c>
      <c r="B128" s="18" t="str">
        <f>Jugadores!I9</f>
        <v>Simón Flórez</v>
      </c>
      <c r="C128" s="17" t="str">
        <f>+Jugadores!$I$2</f>
        <v>Valentín FC</v>
      </c>
      <c r="D128" s="11">
        <f>VLOOKUP(B128,'Valentín FC'!$B$4:$G$18,3,FALSE)</f>
        <v>4</v>
      </c>
      <c r="E128" s="11">
        <f>IF(D128&gt;0,RANK(D128,$D$2:$D$241)+COUNTIF($D$2:D128,D128)-1,"")</f>
        <v>82</v>
      </c>
      <c r="F128" s="11" t="str">
        <f t="shared" si="12"/>
        <v>Eduardo Miche</v>
      </c>
      <c r="G128" s="11" t="str">
        <f t="shared" si="13"/>
        <v>Deportivo Fénix</v>
      </c>
      <c r="H128" s="36">
        <f t="shared" si="14"/>
        <v>2</v>
      </c>
      <c r="I128" s="11">
        <f>VLOOKUP(B128,'Valentín FC'!$B$4:$G$18,4,FALSE)</f>
        <v>2</v>
      </c>
      <c r="J128" s="11">
        <f>IF(I128&gt;0,RANK(I128,$I$2:$I$240)+COUNTIF($I$2:I128,I128)-1,"")</f>
        <v>51</v>
      </c>
      <c r="K128" s="11" t="str">
        <f t="shared" si="15"/>
        <v xml:space="preserve">Jhonys Chávez </v>
      </c>
      <c r="L128" s="11" t="str">
        <f t="shared" si="16"/>
        <v>CD El Corozo</v>
      </c>
      <c r="M128" s="11">
        <f t="shared" si="17"/>
        <v>1</v>
      </c>
      <c r="N128" s="11">
        <f>VLOOKUP(B128,'Valentín FC'!$B$4:$G$18,5,FALSE)</f>
        <v>1</v>
      </c>
      <c r="O128" s="11" t="e">
        <f>IF(N128&gt;0,RANK(N128,$N$2:$N$240)+COUNTIF($N$2:N128,N128)-1,"")</f>
        <v>#N/A</v>
      </c>
      <c r="P128" s="11" t="str">
        <f t="shared" si="18"/>
        <v/>
      </c>
      <c r="Q128" s="11" t="str">
        <f t="shared" si="19"/>
        <v/>
      </c>
      <c r="R128" s="11" t="str">
        <f t="shared" si="20"/>
        <v/>
      </c>
      <c r="S128" s="11">
        <f>VLOOKUP(B128,'Valentín FC'!$B$4:$G$18,6,FALSE)</f>
        <v>1</v>
      </c>
      <c r="T128" s="11" t="e">
        <f>IF(S128&gt;0,RANK(S128,$S$2:$S$240)+COUNTIF($S$2:S128,S128)-1,"")</f>
        <v>#N/A</v>
      </c>
      <c r="U128" s="11" t="str">
        <f t="shared" si="21"/>
        <v/>
      </c>
      <c r="V128" s="11" t="str">
        <f t="shared" si="22"/>
        <v/>
      </c>
      <c r="W128" s="11" t="str">
        <f t="shared" si="23"/>
        <v/>
      </c>
    </row>
    <row r="129" spans="1:23" x14ac:dyDescent="0.25">
      <c r="A129" s="17">
        <v>128</v>
      </c>
      <c r="B129" s="18" t="str">
        <f>Jugadores!I10</f>
        <v>Alejandro Acevedo</v>
      </c>
      <c r="C129" s="17" t="str">
        <f>+Jugadores!$I$2</f>
        <v>Valentín FC</v>
      </c>
      <c r="D129" s="11">
        <f>VLOOKUP(B129,'Valentín FC'!$B$4:$G$18,3,FALSE)</f>
        <v>1</v>
      </c>
      <c r="E129" s="11">
        <f>IF(D129&gt;0,RANK(D129,$D$2:$D$241)+COUNTIF($D$2:D129,D129)-1,"")</f>
        <v>158</v>
      </c>
      <c r="F129" s="11" t="str">
        <f t="shared" si="12"/>
        <v xml:space="preserve">Dorlys Torres </v>
      </c>
      <c r="G129" s="11" t="str">
        <f t="shared" si="13"/>
        <v>Deportivo Fénix</v>
      </c>
      <c r="H129" s="36">
        <f t="shared" si="14"/>
        <v>2</v>
      </c>
      <c r="I129" s="11">
        <f>VLOOKUP(B129,'Valentín FC'!$B$4:$G$18,4,FALSE)</f>
        <v>3</v>
      </c>
      <c r="J129" s="11">
        <f>IF(I129&gt;0,RANK(I129,$I$2:$I$240)+COUNTIF($I$2:I129,I129)-1,"")</f>
        <v>26</v>
      </c>
      <c r="K129" s="11" t="str">
        <f t="shared" si="15"/>
        <v>Jhoser Pastrana</v>
      </c>
      <c r="L129" s="11" t="str">
        <f t="shared" si="16"/>
        <v>CD El Corozo</v>
      </c>
      <c r="M129" s="11">
        <f t="shared" si="17"/>
        <v>1</v>
      </c>
      <c r="N129" s="11">
        <f>VLOOKUP(B129,'Valentín FC'!$B$4:$G$18,5,FALSE)</f>
        <v>0</v>
      </c>
      <c r="O129" s="11" t="str">
        <f>IF(N129&gt;0,RANK(N129,$N$2:$N$240)+COUNTIF($N$2:N129,N129)-1,"")</f>
        <v/>
      </c>
      <c r="P129" s="11" t="str">
        <f t="shared" si="18"/>
        <v/>
      </c>
      <c r="Q129" s="11" t="str">
        <f t="shared" si="19"/>
        <v/>
      </c>
      <c r="R129" s="11" t="str">
        <f t="shared" si="20"/>
        <v/>
      </c>
      <c r="S129" s="11">
        <f>VLOOKUP(B129,'Valentín FC'!$B$4:$G$18,6,FALSE)</f>
        <v>1</v>
      </c>
      <c r="T129" s="11" t="e">
        <f>IF(S129&gt;0,RANK(S129,$S$2:$S$240)+COUNTIF($S$2:S129,S129)-1,"")</f>
        <v>#N/A</v>
      </c>
      <c r="U129" s="11" t="str">
        <f t="shared" si="21"/>
        <v/>
      </c>
      <c r="V129" s="11" t="str">
        <f t="shared" si="22"/>
        <v/>
      </c>
      <c r="W129" s="11" t="str">
        <f t="shared" si="23"/>
        <v/>
      </c>
    </row>
    <row r="130" spans="1:23" x14ac:dyDescent="0.25">
      <c r="A130" s="17">
        <v>129</v>
      </c>
      <c r="B130" s="18" t="str">
        <f>Jugadores!I11</f>
        <v>Victor Sierra</v>
      </c>
      <c r="C130" s="17" t="str">
        <f>+Jugadores!$I$2</f>
        <v>Valentín FC</v>
      </c>
      <c r="D130" s="11">
        <f>VLOOKUP(B130,'Valentín FC'!$B$4:$G$18,3,FALSE)</f>
        <v>1</v>
      </c>
      <c r="E130" s="11">
        <f>IF(D130&gt;0,RANK(D130,$D$2:$D$241)+COUNTIF($D$2:D130,D130)-1,"")</f>
        <v>159</v>
      </c>
      <c r="F130" s="11" t="str">
        <f t="shared" si="12"/>
        <v>Leider Padilla</v>
      </c>
      <c r="G130" s="11" t="str">
        <f t="shared" si="13"/>
        <v>Deportivo Fénix</v>
      </c>
      <c r="H130" s="36">
        <f t="shared" si="14"/>
        <v>2</v>
      </c>
      <c r="I130" s="11">
        <f>VLOOKUP(B130,'Valentín FC'!$B$4:$G$18,4,FALSE)</f>
        <v>3</v>
      </c>
      <c r="J130" s="11">
        <f>IF(I130&gt;0,RANK(I130,$I$2:$I$240)+COUNTIF($I$2:I130,I130)-1,"")</f>
        <v>27</v>
      </c>
      <c r="K130" s="11" t="str">
        <f t="shared" si="15"/>
        <v/>
      </c>
      <c r="L130" s="11" t="str">
        <f t="shared" si="16"/>
        <v/>
      </c>
      <c r="M130" s="11" t="str">
        <f t="shared" si="17"/>
        <v/>
      </c>
      <c r="N130" s="11">
        <f>VLOOKUP(B130,'Valentín FC'!$B$4:$G$18,5,FALSE)</f>
        <v>0</v>
      </c>
      <c r="O130" s="11" t="str">
        <f>IF(N130&gt;0,RANK(N130,$N$2:$N$240)+COUNTIF($N$2:N130,N130)-1,"")</f>
        <v/>
      </c>
      <c r="P130" s="11" t="str">
        <f t="shared" si="18"/>
        <v/>
      </c>
      <c r="Q130" s="11" t="str">
        <f t="shared" si="19"/>
        <v/>
      </c>
      <c r="R130" s="11" t="str">
        <f t="shared" si="20"/>
        <v/>
      </c>
      <c r="S130" s="11">
        <f>VLOOKUP(B130,'Valentín FC'!$B$4:$G$18,6,FALSE)</f>
        <v>1</v>
      </c>
      <c r="T130" s="11" t="e">
        <f>IF(S130&gt;0,RANK(S130,$S$2:$S$240)+COUNTIF($S$2:S130,S130)-1,"")</f>
        <v>#N/A</v>
      </c>
      <c r="U130" s="11" t="str">
        <f t="shared" si="21"/>
        <v/>
      </c>
      <c r="V130" s="11" t="str">
        <f t="shared" si="22"/>
        <v/>
      </c>
      <c r="W130" s="11" t="str">
        <f t="shared" si="23"/>
        <v/>
      </c>
    </row>
    <row r="131" spans="1:23" x14ac:dyDescent="0.25">
      <c r="A131" s="17">
        <v>130</v>
      </c>
      <c r="B131" s="18" t="str">
        <f>Jugadores!I12</f>
        <v>Santiago Grisales</v>
      </c>
      <c r="C131" s="17" t="str">
        <f>+Jugadores!$I$2</f>
        <v>Valentín FC</v>
      </c>
      <c r="D131" s="11">
        <f>VLOOKUP(B131,'Valentín FC'!$B$4:$G$18,3,FALSE)</f>
        <v>6</v>
      </c>
      <c r="E131" s="11">
        <f>IF(D131&gt;0,RANK(D131,$D$2:$D$241)+COUNTIF($D$2:D131,D131)-1,"")</f>
        <v>58</v>
      </c>
      <c r="F131" s="11" t="str">
        <f t="shared" ref="F131:F194" si="24">IFERROR(INDEX(B$2:B$240,MATCH($A131,$E$2:$E$240,0)),"")</f>
        <v>Jesús Batista</v>
      </c>
      <c r="G131" s="11" t="str">
        <f t="shared" ref="G131:G194" si="25">IFERROR(INDEX(C$2:C$240,MATCH($F131,$B$2:$B$240,0)),"")</f>
        <v>Rayos FC</v>
      </c>
      <c r="H131" s="36">
        <f t="shared" ref="H131:H194" si="26">IFERROR(INDEX(D$2:D$240,MATCH($F131,$B$2:$B$240,0)),"")</f>
        <v>2</v>
      </c>
      <c r="I131" s="11">
        <f>VLOOKUP(B131,'Valentín FC'!$B$4:$G$18,4,FALSE)</f>
        <v>2</v>
      </c>
      <c r="J131" s="11">
        <f>IF(I131&gt;0,RANK(I131,$I$2:$I$240)+COUNTIF($I$2:I131,I131)-1,"")</f>
        <v>52</v>
      </c>
      <c r="K131" s="11" t="str">
        <f t="shared" ref="K131:K194" si="27">IFERROR(INDEX(B$2:B$240,MATCH($A131,$J$2:$J$240,0)),"")</f>
        <v/>
      </c>
      <c r="L131" s="11" t="str">
        <f t="shared" ref="L131:L194" si="28">IFERROR(INDEX(C$2:C$240,MATCH($K131,$B$2:$B$240,0)),"")</f>
        <v/>
      </c>
      <c r="M131" s="11" t="str">
        <f t="shared" ref="M131:M194" si="29">IFERROR(INDEX(I$2:I$240,MATCH($K131,$B$2:$B$240,0)),"")</f>
        <v/>
      </c>
      <c r="N131" s="11">
        <f>VLOOKUP(B131,'Valentín FC'!$B$4:$G$18,5,FALSE)</f>
        <v>2</v>
      </c>
      <c r="O131" s="11" t="e">
        <f>IF(N131&gt;0,RANK(N131,$N$2:$N$240)+COUNTIF($N$2:N131,N131)-1,"")</f>
        <v>#N/A</v>
      </c>
      <c r="P131" s="11" t="str">
        <f t="shared" ref="P131:P194" si="30">IFERROR(INDEX(B$2:B$240,MATCH($A131,$O$2:$O$240,0)),"")</f>
        <v/>
      </c>
      <c r="Q131" s="11" t="str">
        <f t="shared" ref="Q131:Q194" si="31">IFERROR(INDEX(C$2:C$240,MATCH($P131,$B$2:$B$240,0)),"")</f>
        <v/>
      </c>
      <c r="R131" s="11" t="str">
        <f t="shared" ref="R131:R194" si="32">IFERROR(INDEX(N$2:N$240,MATCH($P131,$B$2:$B$240,0)),"")</f>
        <v/>
      </c>
      <c r="S131" s="11">
        <f>VLOOKUP(B131,'Valentín FC'!$B$4:$G$18,6,FALSE)</f>
        <v>0</v>
      </c>
      <c r="T131" s="11" t="str">
        <f>IF(S131&gt;0,RANK(S131,$S$2:$S$240)+COUNTIF($S$2:S131,S131)-1,"")</f>
        <v/>
      </c>
      <c r="U131" s="11" t="str">
        <f t="shared" ref="U131:U194" si="33">IFERROR(INDEX(B$2:B$240,MATCH($A131,$T$2:$T$240,0)),"")</f>
        <v/>
      </c>
      <c r="V131" s="11" t="str">
        <f t="shared" ref="V131:V194" si="34">IFERROR(INDEX(C$2:C$240,MATCH($U131,$B$2:$B$240,0)),"")</f>
        <v/>
      </c>
      <c r="W131" s="11" t="str">
        <f t="shared" ref="W131:W194" si="35">IFERROR(INDEX(S$2:S$226,MATCH($U131,$B$2:$B$226,0)),"")</f>
        <v/>
      </c>
    </row>
    <row r="132" spans="1:23" x14ac:dyDescent="0.25">
      <c r="A132" s="17">
        <v>131</v>
      </c>
      <c r="B132" s="18" t="str">
        <f>Jugadores!I13</f>
        <v>Juan Esteban Otalvaro</v>
      </c>
      <c r="C132" s="17" t="str">
        <f>+Jugadores!$I$2</f>
        <v>Valentín FC</v>
      </c>
      <c r="D132" s="11">
        <f>VLOOKUP(B132,'Valentín FC'!$B$4:$G$18,3,FALSE)</f>
        <v>0</v>
      </c>
      <c r="E132" s="11" t="str">
        <f>IF(D132&gt;0,RANK(D132,$D$2:$D$241)+COUNTIF($D$2:D132,D132)-1,"")</f>
        <v/>
      </c>
      <c r="F132" s="11" t="str">
        <f t="shared" si="24"/>
        <v>Cristián Alejandro Chavarría</v>
      </c>
      <c r="G132" s="11" t="str">
        <f t="shared" si="25"/>
        <v>Los Aliados</v>
      </c>
      <c r="H132" s="36">
        <f t="shared" si="26"/>
        <v>2</v>
      </c>
      <c r="I132" s="11">
        <f>VLOOKUP(B132,'Valentín FC'!$B$4:$G$18,4,FALSE)</f>
        <v>0</v>
      </c>
      <c r="J132" s="11" t="str">
        <f>IF(I132&gt;0,RANK(I132,$I$2:$I$240)+COUNTIF($I$2:I132,I132)-1,"")</f>
        <v/>
      </c>
      <c r="K132" s="11" t="str">
        <f t="shared" si="27"/>
        <v/>
      </c>
      <c r="L132" s="11" t="str">
        <f t="shared" si="28"/>
        <v/>
      </c>
      <c r="M132" s="11" t="str">
        <f t="shared" si="29"/>
        <v/>
      </c>
      <c r="N132" s="11">
        <f>VLOOKUP(B132,'Valentín FC'!$B$4:$G$18,5,FALSE)</f>
        <v>0</v>
      </c>
      <c r="O132" s="11" t="str">
        <f>IF(N132&gt;0,RANK(N132,$N$2:$N$240)+COUNTIF($N$2:N132,N132)-1,"")</f>
        <v/>
      </c>
      <c r="P132" s="11" t="str">
        <f t="shared" si="30"/>
        <v/>
      </c>
      <c r="Q132" s="11" t="str">
        <f t="shared" si="31"/>
        <v/>
      </c>
      <c r="R132" s="11" t="str">
        <f t="shared" si="32"/>
        <v/>
      </c>
      <c r="S132" s="11">
        <f>VLOOKUP(B132,'Valentín FC'!$B$4:$G$18,6,FALSE)</f>
        <v>0</v>
      </c>
      <c r="T132" s="11" t="str">
        <f>IF(S132&gt;0,RANK(S132,$S$2:$S$240)+COUNTIF($S$2:S132,S132)-1,"")</f>
        <v/>
      </c>
      <c r="U132" s="11" t="str">
        <f t="shared" si="33"/>
        <v/>
      </c>
      <c r="V132" s="11" t="str">
        <f t="shared" si="34"/>
        <v/>
      </c>
      <c r="W132" s="11" t="str">
        <f t="shared" si="35"/>
        <v/>
      </c>
    </row>
    <row r="133" spans="1:23" x14ac:dyDescent="0.25">
      <c r="A133" s="17">
        <v>132</v>
      </c>
      <c r="B133" s="18" t="str">
        <f>Jugadores!I14</f>
        <v>Cristián Duque</v>
      </c>
      <c r="C133" s="17" t="str">
        <f>+Jugadores!$I$2</f>
        <v>Valentín FC</v>
      </c>
      <c r="D133" s="11">
        <f>VLOOKUP(B133,'Valentín FC'!$B$4:$G$18,3,FALSE)</f>
        <v>7</v>
      </c>
      <c r="E133" s="11">
        <f>IF(D133&gt;0,RANK(D133,$D$2:$D$241)+COUNTIF($D$2:D133,D133)-1,"")</f>
        <v>43</v>
      </c>
      <c r="F133" s="11" t="str">
        <f t="shared" si="24"/>
        <v>Jhoan Sebastián Ossa</v>
      </c>
      <c r="G133" s="11" t="str">
        <f t="shared" si="25"/>
        <v>Los Aliados</v>
      </c>
      <c r="H133" s="36">
        <f t="shared" si="26"/>
        <v>2</v>
      </c>
      <c r="I133" s="11">
        <f>VLOOKUP(B133,'Valentín FC'!$B$4:$G$18,4,FALSE)</f>
        <v>4</v>
      </c>
      <c r="J133" s="11">
        <f>IF(I133&gt;0,RANK(I133,$I$2:$I$240)+COUNTIF($I$2:I133,I133)-1,"")</f>
        <v>11</v>
      </c>
      <c r="K133" s="11" t="str">
        <f t="shared" si="27"/>
        <v/>
      </c>
      <c r="L133" s="11" t="str">
        <f t="shared" si="28"/>
        <v/>
      </c>
      <c r="M133" s="11" t="str">
        <f t="shared" si="29"/>
        <v/>
      </c>
      <c r="N133" s="11">
        <f>VLOOKUP(B133,'Valentín FC'!$B$4:$G$18,5,FALSE)</f>
        <v>3</v>
      </c>
      <c r="O133" s="11" t="e">
        <f>IF(N133&gt;0,RANK(N133,$N$2:$N$240)+COUNTIF($N$2:N133,N133)-1,"")</f>
        <v>#N/A</v>
      </c>
      <c r="P133" s="11" t="str">
        <f t="shared" si="30"/>
        <v/>
      </c>
      <c r="Q133" s="11" t="str">
        <f t="shared" si="31"/>
        <v/>
      </c>
      <c r="R133" s="11" t="str">
        <f t="shared" si="32"/>
        <v/>
      </c>
      <c r="S133" s="11">
        <f>VLOOKUP(B133,'Valentín FC'!$B$4:$G$18,6,FALSE)</f>
        <v>0</v>
      </c>
      <c r="T133" s="11" t="str">
        <f>IF(S133&gt;0,RANK(S133,$S$2:$S$240)+COUNTIF($S$2:S133,S133)-1,"")</f>
        <v/>
      </c>
      <c r="U133" s="11" t="str">
        <f t="shared" si="33"/>
        <v/>
      </c>
      <c r="V133" s="11" t="str">
        <f t="shared" si="34"/>
        <v/>
      </c>
      <c r="W133" s="11" t="str">
        <f t="shared" si="35"/>
        <v/>
      </c>
    </row>
    <row r="134" spans="1:23" x14ac:dyDescent="0.25">
      <c r="A134" s="17">
        <v>133</v>
      </c>
      <c r="B134" s="18" t="str">
        <f>Jugadores!I15</f>
        <v>Cristian Carvajal Ríos</v>
      </c>
      <c r="C134" s="17" t="str">
        <f>+Jugadores!$I$2</f>
        <v>Valentín FC</v>
      </c>
      <c r="D134" s="11">
        <f>VLOOKUP(B134,'Valentín FC'!$B$4:$G$18,3,FALSE)</f>
        <v>10</v>
      </c>
      <c r="E134" s="11">
        <f>IF(D134&gt;0,RANK(D134,$D$2:$D$241)+COUNTIF($D$2:D134,D134)-1,"")</f>
        <v>26</v>
      </c>
      <c r="F134" s="11" t="str">
        <f t="shared" si="24"/>
        <v xml:space="preserve">Wilson Arango </v>
      </c>
      <c r="G134" s="11" t="str">
        <f t="shared" si="25"/>
        <v>Los Aliados</v>
      </c>
      <c r="H134" s="36">
        <f t="shared" si="26"/>
        <v>2</v>
      </c>
      <c r="I134" s="11">
        <f>VLOOKUP(B134,'Valentín FC'!$B$4:$G$18,4,FALSE)</f>
        <v>0</v>
      </c>
      <c r="J134" s="11" t="str">
        <f>IF(I134&gt;0,RANK(I134,$I$2:$I$240)+COUNTIF($I$2:I134,I134)-1,"")</f>
        <v/>
      </c>
      <c r="K134" s="11" t="str">
        <f t="shared" si="27"/>
        <v/>
      </c>
      <c r="L134" s="11" t="str">
        <f t="shared" si="28"/>
        <v/>
      </c>
      <c r="M134" s="11" t="str">
        <f t="shared" si="29"/>
        <v/>
      </c>
      <c r="N134" s="11">
        <f>VLOOKUP(B134,'Valentín FC'!$B$4:$G$18,5,FALSE)</f>
        <v>10</v>
      </c>
      <c r="O134" s="11" t="e">
        <f>IF(N134&gt;0,RANK(N134,$N$2:$N$240)+COUNTIF($N$2:N134,N134)-1,"")</f>
        <v>#N/A</v>
      </c>
      <c r="P134" s="11" t="str">
        <f t="shared" si="30"/>
        <v/>
      </c>
      <c r="Q134" s="11" t="str">
        <f t="shared" si="31"/>
        <v/>
      </c>
      <c r="R134" s="11" t="str">
        <f t="shared" si="32"/>
        <v/>
      </c>
      <c r="S134" s="11">
        <f>VLOOKUP(B134,'Valentín FC'!$B$4:$G$18,6,FALSE)</f>
        <v>0</v>
      </c>
      <c r="T134" s="11" t="str">
        <f>IF(S134&gt;0,RANK(S134,$S$2:$S$240)+COUNTIF($S$2:S134,S134)-1,"")</f>
        <v/>
      </c>
      <c r="U134" s="11" t="str">
        <f t="shared" si="33"/>
        <v/>
      </c>
      <c r="V134" s="11" t="str">
        <f t="shared" si="34"/>
        <v/>
      </c>
      <c r="W134" s="11" t="str">
        <f t="shared" si="35"/>
        <v/>
      </c>
    </row>
    <row r="135" spans="1:23" s="25" customFormat="1" x14ac:dyDescent="0.25">
      <c r="A135" s="17">
        <v>134</v>
      </c>
      <c r="B135" s="18" t="str">
        <f>Jugadores!I16</f>
        <v>Santiago Cuervo</v>
      </c>
      <c r="C135" s="17" t="str">
        <f>+Jugadores!$I$2</f>
        <v>Valentín FC</v>
      </c>
      <c r="D135" s="11">
        <f>VLOOKUP(B135,'Valentín FC'!$B$4:$G$18,3,FALSE)</f>
        <v>3</v>
      </c>
      <c r="E135" s="11">
        <f>IF(D135&gt;0,RANK(D135,$D$2:$D$241)+COUNTIF($D$2:D135,D135)-1,"")</f>
        <v>102</v>
      </c>
      <c r="F135" s="11" t="str">
        <f t="shared" si="24"/>
        <v xml:space="preserve">Luis Rodríguez </v>
      </c>
      <c r="G135" s="11" t="str">
        <f t="shared" si="25"/>
        <v>Atalanta</v>
      </c>
      <c r="H135" s="36">
        <f t="shared" si="26"/>
        <v>2</v>
      </c>
      <c r="I135" s="11">
        <f>VLOOKUP(B135,'Valentín FC'!$B$4:$G$18,4,FALSE)</f>
        <v>0</v>
      </c>
      <c r="J135" s="11" t="str">
        <f>IF(I135&gt;0,RANK(I135,$I$2:$I$240)+COUNTIF($I$2:I135,I135)-1,"")</f>
        <v/>
      </c>
      <c r="K135" s="11" t="str">
        <f t="shared" si="27"/>
        <v/>
      </c>
      <c r="L135" s="11" t="str">
        <f t="shared" si="28"/>
        <v/>
      </c>
      <c r="M135" s="11" t="str">
        <f t="shared" si="29"/>
        <v/>
      </c>
      <c r="N135" s="11">
        <f>VLOOKUP(B135,'Valentín FC'!$B$4:$G$18,5,FALSE)</f>
        <v>0</v>
      </c>
      <c r="O135" s="11" t="str">
        <f>IF(N135&gt;0,RANK(N135,$N$2:$N$240)+COUNTIF($N$2:N135,N135)-1,"")</f>
        <v/>
      </c>
      <c r="P135" s="11" t="str">
        <f t="shared" si="30"/>
        <v/>
      </c>
      <c r="Q135" s="11" t="str">
        <f t="shared" si="31"/>
        <v/>
      </c>
      <c r="R135" s="11" t="str">
        <f t="shared" si="32"/>
        <v/>
      </c>
      <c r="S135" s="11">
        <f>VLOOKUP(B135,'Valentín FC'!$B$4:$G$18,6,FALSE)</f>
        <v>0</v>
      </c>
      <c r="T135" s="11" t="str">
        <f>IF(S135&gt;0,RANK(S135,$S$2:$S$240)+COUNTIF($S$2:S135,S135)-1,"")</f>
        <v/>
      </c>
      <c r="U135" s="11" t="str">
        <f t="shared" si="33"/>
        <v/>
      </c>
      <c r="V135" s="11" t="str">
        <f t="shared" si="34"/>
        <v/>
      </c>
      <c r="W135" s="11" t="str">
        <f t="shared" si="35"/>
        <v/>
      </c>
    </row>
    <row r="136" spans="1:23" x14ac:dyDescent="0.25">
      <c r="A136" s="17">
        <v>135</v>
      </c>
      <c r="B136" s="18" t="str">
        <f>Jugadores!I17</f>
        <v>Santos FC 15</v>
      </c>
      <c r="C136" s="17" t="str">
        <f>+Jugadores!$I$2</f>
        <v>Valentín FC</v>
      </c>
      <c r="D136" s="11">
        <f>VLOOKUP(B136,'Valentín FC'!$B$4:$G$18,3,FALSE)</f>
        <v>8</v>
      </c>
      <c r="E136" s="11">
        <f>IF(D136&gt;0,RANK(D136,$D$2:$D$241)+COUNTIF($D$2:D136,D136)-1,"")</f>
        <v>39</v>
      </c>
      <c r="F136" s="11" t="str">
        <f t="shared" si="24"/>
        <v/>
      </c>
      <c r="G136" s="11" t="str">
        <f t="shared" si="25"/>
        <v/>
      </c>
      <c r="H136" s="36" t="str">
        <f t="shared" si="26"/>
        <v/>
      </c>
      <c r="I136" s="11">
        <f>VLOOKUP(B136,'Valentín FC'!$B$4:$G$18,4,FALSE)</f>
        <v>1</v>
      </c>
      <c r="J136" s="11">
        <f>IF(I136&gt;0,RANK(I136,$I$2:$I$240)+COUNTIF($I$2:I136,I136)-1,"")</f>
        <v>110</v>
      </c>
      <c r="K136" s="11" t="str">
        <f t="shared" si="27"/>
        <v/>
      </c>
      <c r="L136" s="11" t="str">
        <f t="shared" si="28"/>
        <v/>
      </c>
      <c r="M136" s="11" t="str">
        <f t="shared" si="29"/>
        <v/>
      </c>
      <c r="N136" s="11">
        <f>VLOOKUP(B136,'Valentín FC'!$B$4:$G$18,5,FALSE)</f>
        <v>5</v>
      </c>
      <c r="O136" s="11" t="e">
        <f>IF(N136&gt;0,RANK(N136,$N$2:$N$240)+COUNTIF($N$2:N136,N136)-1,"")</f>
        <v>#N/A</v>
      </c>
      <c r="P136" s="11" t="str">
        <f t="shared" si="30"/>
        <v/>
      </c>
      <c r="Q136" s="11" t="str">
        <f t="shared" si="31"/>
        <v/>
      </c>
      <c r="R136" s="11" t="str">
        <f t="shared" si="32"/>
        <v/>
      </c>
      <c r="S136" s="11">
        <f>VLOOKUP(B136,'Valentín FC'!$B$4:$G$18,6,FALSE)</f>
        <v>0</v>
      </c>
      <c r="T136" s="11" t="str">
        <f>IF(S136&gt;0,RANK(S136,$S$2:$S$240)+COUNTIF($S$2:S136,S136)-1,"")</f>
        <v/>
      </c>
      <c r="U136" s="11" t="str">
        <f t="shared" si="33"/>
        <v/>
      </c>
      <c r="V136" s="11" t="str">
        <f t="shared" si="34"/>
        <v/>
      </c>
      <c r="W136" s="11" t="str">
        <f t="shared" si="35"/>
        <v/>
      </c>
    </row>
    <row r="137" spans="1:23" x14ac:dyDescent="0.25">
      <c r="A137" s="17">
        <v>136</v>
      </c>
      <c r="B137" s="18" t="str">
        <f>Jugadores!J3</f>
        <v>Orlando Montiel</v>
      </c>
      <c r="C137" s="17" t="str">
        <f>+Jugadores!$J$2</f>
        <v>Boca Juniors</v>
      </c>
      <c r="D137" s="11">
        <f>VLOOKUP(B137,'Boca Juniors'!$B$4:$G$18,3,FALSE)</f>
        <v>9</v>
      </c>
      <c r="E137" s="11">
        <f>IF(D137&gt;0,RANK(D137,$D$2:$D$241)+COUNTIF($D$2:D137,D137)-1,"")</f>
        <v>29</v>
      </c>
      <c r="F137" s="11" t="str">
        <f t="shared" si="24"/>
        <v xml:space="preserve">Alejandro Ospina </v>
      </c>
      <c r="G137" s="11" t="str">
        <f t="shared" si="25"/>
        <v>La Nueva Era</v>
      </c>
      <c r="H137" s="36">
        <f t="shared" si="26"/>
        <v>1</v>
      </c>
      <c r="I137" s="11">
        <f>VLOOKUP(B137,'Boca Juniors'!$B$4:$G$18,4,FALSE)</f>
        <v>3</v>
      </c>
      <c r="J137" s="11">
        <f>IF(I137&gt;0,RANK(I137,$I$2:$I$240)+COUNTIF($I$2:I137,I137)-1,"")</f>
        <v>28</v>
      </c>
      <c r="K137" s="11" t="str">
        <f t="shared" si="27"/>
        <v/>
      </c>
      <c r="L137" s="11" t="str">
        <f t="shared" si="28"/>
        <v/>
      </c>
      <c r="M137" s="11" t="str">
        <f t="shared" si="29"/>
        <v/>
      </c>
      <c r="N137" s="11">
        <f>VLOOKUP(B137,'Boca Juniors'!$B$4:$G$18,5,FALSE)</f>
        <v>0</v>
      </c>
      <c r="O137" s="11" t="str">
        <f>IF(N137&gt;0,RANK(N137,$N$2:$N$240)+COUNTIF($N$2:N137,N137)-1,"")</f>
        <v/>
      </c>
      <c r="P137" s="11" t="str">
        <f t="shared" si="30"/>
        <v/>
      </c>
      <c r="Q137" s="11" t="str">
        <f t="shared" si="31"/>
        <v/>
      </c>
      <c r="R137" s="11" t="str">
        <f t="shared" si="32"/>
        <v/>
      </c>
      <c r="S137" s="11">
        <f>VLOOKUP(B137,'Boca Juniors'!$B$4:$G$18,6,FALSE)</f>
        <v>0</v>
      </c>
      <c r="T137" s="11" t="str">
        <f>IF(S137&gt;0,RANK(S137,$S$2:$S$240)+COUNTIF($S$2:S137,S137)-1,"")</f>
        <v/>
      </c>
      <c r="U137" s="11" t="str">
        <f t="shared" si="33"/>
        <v/>
      </c>
      <c r="V137" s="11" t="str">
        <f t="shared" si="34"/>
        <v/>
      </c>
      <c r="W137" s="11" t="str">
        <f t="shared" si="35"/>
        <v/>
      </c>
    </row>
    <row r="138" spans="1:23" x14ac:dyDescent="0.25">
      <c r="A138" s="17">
        <v>137</v>
      </c>
      <c r="B138" s="18" t="str">
        <f>Jugadores!J4</f>
        <v>Wilberto Gil</v>
      </c>
      <c r="C138" s="17" t="str">
        <f>+Jugadores!$J$2</f>
        <v>Boca Juniors</v>
      </c>
      <c r="D138" s="11">
        <f>VLOOKUP(B138,'Boca Juniors'!$B$4:$G$18,3,FALSE)</f>
        <v>3</v>
      </c>
      <c r="E138" s="11">
        <f>IF(D138&gt;0,RANK(D138,$D$2:$D$241)+COUNTIF($D$2:D138,D138)-1,"")</f>
        <v>103</v>
      </c>
      <c r="F138" s="11" t="str">
        <f t="shared" si="24"/>
        <v xml:space="preserve">Luis Lima </v>
      </c>
      <c r="G138" s="11" t="str">
        <f t="shared" si="25"/>
        <v>La Nueva Era</v>
      </c>
      <c r="H138" s="36">
        <f t="shared" si="26"/>
        <v>1</v>
      </c>
      <c r="I138" s="11">
        <f>VLOOKUP(B138,'Boca Juniors'!$B$4:$G$18,4,FALSE)</f>
        <v>0</v>
      </c>
      <c r="J138" s="11" t="str">
        <f>IF(I138&gt;0,RANK(I138,$I$2:$I$240)+COUNTIF($I$2:I138,I138)-1,"")</f>
        <v/>
      </c>
      <c r="K138" s="11" t="str">
        <f t="shared" si="27"/>
        <v/>
      </c>
      <c r="L138" s="11" t="str">
        <f t="shared" si="28"/>
        <v/>
      </c>
      <c r="M138" s="11" t="str">
        <f t="shared" si="29"/>
        <v/>
      </c>
      <c r="N138" s="11">
        <f>VLOOKUP(B138,'Boca Juniors'!$B$4:$G$18,5,FALSE)</f>
        <v>0</v>
      </c>
      <c r="O138" s="11" t="str">
        <f>IF(N138&gt;0,RANK(N138,$N$2:$N$240)+COUNTIF($N$2:N138,N138)-1,"")</f>
        <v/>
      </c>
      <c r="P138" s="11" t="str">
        <f t="shared" si="30"/>
        <v/>
      </c>
      <c r="Q138" s="11" t="str">
        <f t="shared" si="31"/>
        <v/>
      </c>
      <c r="R138" s="11" t="str">
        <f t="shared" si="32"/>
        <v/>
      </c>
      <c r="S138" s="11">
        <f>VLOOKUP(B138,'Boca Juniors'!$B$4:$G$18,6,FALSE)</f>
        <v>0</v>
      </c>
      <c r="T138" s="11" t="str">
        <f>IF(S138&gt;0,RANK(S138,$S$2:$S$240)+COUNTIF($S$2:S138,S138)-1,"")</f>
        <v/>
      </c>
      <c r="U138" s="11" t="str">
        <f t="shared" si="33"/>
        <v/>
      </c>
      <c r="V138" s="11" t="str">
        <f t="shared" si="34"/>
        <v/>
      </c>
      <c r="W138" s="11" t="str">
        <f t="shared" si="35"/>
        <v/>
      </c>
    </row>
    <row r="139" spans="1:23" x14ac:dyDescent="0.25">
      <c r="A139" s="17">
        <v>138</v>
      </c>
      <c r="B139" s="18" t="str">
        <f>Jugadores!J5</f>
        <v>Daniel Garcia</v>
      </c>
      <c r="C139" s="17" t="str">
        <f>+Jugadores!$J$2</f>
        <v>Boca Juniors</v>
      </c>
      <c r="D139" s="11">
        <f>VLOOKUP(B139,'Boca Juniors'!$B$4:$G$18,3,FALSE)</f>
        <v>7</v>
      </c>
      <c r="E139" s="11">
        <f>IF(D139&gt;0,RANK(D139,$D$2:$D$241)+COUNTIF($D$2:D139,D139)-1,"")</f>
        <v>44</v>
      </c>
      <c r="F139" s="11" t="str">
        <f t="shared" si="24"/>
        <v xml:space="preserve">Yeiner Muñeton </v>
      </c>
      <c r="G139" s="11" t="str">
        <f t="shared" si="25"/>
        <v>La Nueva Era</v>
      </c>
      <c r="H139" s="36">
        <f t="shared" si="26"/>
        <v>1</v>
      </c>
      <c r="I139" s="11">
        <f>VLOOKUP(B139,'Boca Juniors'!$B$4:$G$18,4,FALSE)</f>
        <v>4</v>
      </c>
      <c r="J139" s="11">
        <f>IF(I139&gt;0,RANK(I139,$I$2:$I$240)+COUNTIF($I$2:I139,I139)-1,"")</f>
        <v>12</v>
      </c>
      <c r="K139" s="11" t="str">
        <f t="shared" si="27"/>
        <v/>
      </c>
      <c r="L139" s="11" t="str">
        <f t="shared" si="28"/>
        <v/>
      </c>
      <c r="M139" s="11" t="str">
        <f t="shared" si="29"/>
        <v/>
      </c>
      <c r="N139" s="11">
        <f>VLOOKUP(B139,'Boca Juniors'!$B$4:$G$18,5,FALSE)</f>
        <v>0</v>
      </c>
      <c r="O139" s="11" t="str">
        <f>IF(N139&gt;0,RANK(N139,$N$2:$N$240)+COUNTIF($N$2:N139,N139)-1,"")</f>
        <v/>
      </c>
      <c r="P139" s="11" t="str">
        <f t="shared" si="30"/>
        <v/>
      </c>
      <c r="Q139" s="11" t="str">
        <f t="shared" si="31"/>
        <v/>
      </c>
      <c r="R139" s="11" t="str">
        <f t="shared" si="32"/>
        <v/>
      </c>
      <c r="S139" s="11">
        <f>VLOOKUP(B139,'Boca Juniors'!$B$4:$G$18,6,FALSE)</f>
        <v>0</v>
      </c>
      <c r="T139" s="11" t="str">
        <f>IF(S139&gt;0,RANK(S139,$S$2:$S$240)+COUNTIF($S$2:S139,S139)-1,"")</f>
        <v/>
      </c>
      <c r="U139" s="11" t="str">
        <f t="shared" si="33"/>
        <v/>
      </c>
      <c r="V139" s="11" t="str">
        <f t="shared" si="34"/>
        <v/>
      </c>
      <c r="W139" s="11" t="str">
        <f t="shared" si="35"/>
        <v/>
      </c>
    </row>
    <row r="140" spans="1:23" x14ac:dyDescent="0.25">
      <c r="A140" s="17">
        <v>139</v>
      </c>
      <c r="B140" s="18" t="str">
        <f>Jugadores!J6</f>
        <v>Nelson  Plaza</v>
      </c>
      <c r="C140" s="17" t="str">
        <f>+Jugadores!$J$2</f>
        <v>Boca Juniors</v>
      </c>
      <c r="D140" s="11">
        <f>VLOOKUP(B140,'Boca Juniors'!$B$4:$G$18,3,FALSE)</f>
        <v>2</v>
      </c>
      <c r="E140" s="11">
        <f>IF(D140&gt;0,RANK(D140,$D$2:$D$241)+COUNTIF($D$2:D140,D140)-1,"")</f>
        <v>123</v>
      </c>
      <c r="F140" s="11" t="str">
        <f t="shared" si="24"/>
        <v>José Santoya</v>
      </c>
      <c r="G140" s="11" t="str">
        <f t="shared" si="25"/>
        <v>La Nueva Era</v>
      </c>
      <c r="H140" s="36">
        <f t="shared" si="26"/>
        <v>1</v>
      </c>
      <c r="I140" s="11">
        <f>VLOOKUP(B140,'Boca Juniors'!$B$4:$G$18,4,FALSE)</f>
        <v>0</v>
      </c>
      <c r="J140" s="11" t="str">
        <f>IF(I140&gt;0,RANK(I140,$I$2:$I$240)+COUNTIF($I$2:I140,I140)-1,"")</f>
        <v/>
      </c>
      <c r="K140" s="11" t="str">
        <f t="shared" si="27"/>
        <v/>
      </c>
      <c r="L140" s="11" t="str">
        <f t="shared" si="28"/>
        <v/>
      </c>
      <c r="M140" s="11" t="str">
        <f t="shared" si="29"/>
        <v/>
      </c>
      <c r="N140" s="11">
        <f>VLOOKUP(B140,'Boca Juniors'!$B$4:$G$18,5,FALSE)</f>
        <v>0</v>
      </c>
      <c r="O140" s="11" t="str">
        <f>IF(N140&gt;0,RANK(N140,$N$2:$N$240)+COUNTIF($N$2:N140,N140)-1,"")</f>
        <v/>
      </c>
      <c r="P140" s="11" t="str">
        <f t="shared" si="30"/>
        <v/>
      </c>
      <c r="Q140" s="11" t="str">
        <f t="shared" si="31"/>
        <v/>
      </c>
      <c r="R140" s="11" t="str">
        <f t="shared" si="32"/>
        <v/>
      </c>
      <c r="S140" s="11">
        <f>VLOOKUP(B140,'Boca Juniors'!$B$4:$G$18,6,FALSE)</f>
        <v>0</v>
      </c>
      <c r="T140" s="11" t="str">
        <f>IF(S140&gt;0,RANK(S140,$S$2:$S$240)+COUNTIF($S$2:S140,S140)-1,"")</f>
        <v/>
      </c>
      <c r="U140" s="11" t="str">
        <f t="shared" si="33"/>
        <v/>
      </c>
      <c r="V140" s="11" t="str">
        <f t="shared" si="34"/>
        <v/>
      </c>
      <c r="W140" s="11" t="str">
        <f t="shared" si="35"/>
        <v/>
      </c>
    </row>
    <row r="141" spans="1:23" x14ac:dyDescent="0.25">
      <c r="A141" s="17">
        <v>140</v>
      </c>
      <c r="B141" s="18" t="str">
        <f>Jugadores!J7</f>
        <v>Silvio Celins</v>
      </c>
      <c r="C141" s="17" t="str">
        <f>+Jugadores!$J$2</f>
        <v>Boca Juniors</v>
      </c>
      <c r="D141" s="11">
        <f>VLOOKUP(B141,'Boca Juniors'!$B$4:$G$18,3,FALSE)</f>
        <v>1</v>
      </c>
      <c r="E141" s="11">
        <f>IF(D141&gt;0,RANK(D141,$D$2:$D$241)+COUNTIF($D$2:D141,D141)-1,"")</f>
        <v>160</v>
      </c>
      <c r="F141" s="11" t="str">
        <f t="shared" si="24"/>
        <v>Julián Botero Carvajal</v>
      </c>
      <c r="G141" s="11" t="str">
        <f t="shared" si="25"/>
        <v>La Nueva Era</v>
      </c>
      <c r="H141" s="36">
        <f t="shared" si="26"/>
        <v>1</v>
      </c>
      <c r="I141" s="11">
        <f>VLOOKUP(B141,'Boca Juniors'!$B$4:$G$18,4,FALSE)</f>
        <v>1</v>
      </c>
      <c r="J141" s="11">
        <f>IF(I141&gt;0,RANK(I141,$I$2:$I$240)+COUNTIF($I$2:I141,I141)-1,"")</f>
        <v>111</v>
      </c>
      <c r="K141" s="11" t="str">
        <f t="shared" si="27"/>
        <v/>
      </c>
      <c r="L141" s="11" t="str">
        <f t="shared" si="28"/>
        <v/>
      </c>
      <c r="M141" s="11" t="str">
        <f t="shared" si="29"/>
        <v/>
      </c>
      <c r="N141" s="11">
        <f>VLOOKUP(B141,'Boca Juniors'!$B$4:$G$18,5,FALSE)</f>
        <v>0</v>
      </c>
      <c r="O141" s="11" t="str">
        <f>IF(N141&gt;0,RANK(N141,$N$2:$N$240)+COUNTIF($N$2:N141,N141)-1,"")</f>
        <v/>
      </c>
      <c r="P141" s="11" t="str">
        <f t="shared" si="30"/>
        <v/>
      </c>
      <c r="Q141" s="11" t="str">
        <f t="shared" si="31"/>
        <v/>
      </c>
      <c r="R141" s="11" t="str">
        <f t="shared" si="32"/>
        <v/>
      </c>
      <c r="S141" s="11">
        <f>VLOOKUP(B141,'Boca Juniors'!$B$4:$G$18,6,FALSE)</f>
        <v>0</v>
      </c>
      <c r="T141" s="11" t="str">
        <f>IF(S141&gt;0,RANK(S141,$S$2:$S$240)+COUNTIF($S$2:S141,S141)-1,"")</f>
        <v/>
      </c>
      <c r="U141" s="11" t="str">
        <f t="shared" si="33"/>
        <v/>
      </c>
      <c r="V141" s="11" t="str">
        <f t="shared" si="34"/>
        <v/>
      </c>
      <c r="W141" s="11" t="str">
        <f t="shared" si="35"/>
        <v/>
      </c>
    </row>
    <row r="142" spans="1:23" x14ac:dyDescent="0.25">
      <c r="A142" s="17">
        <v>141</v>
      </c>
      <c r="B142" s="18" t="str">
        <f>Jugadores!J8</f>
        <v>Luis Colmenares</v>
      </c>
      <c r="C142" s="17" t="str">
        <f>+Jugadores!$J$2</f>
        <v>Boca Juniors</v>
      </c>
      <c r="D142" s="11">
        <f>VLOOKUP(B142,'Boca Juniors'!$B$4:$G$18,3,FALSE)</f>
        <v>3</v>
      </c>
      <c r="E142" s="11">
        <f>IF(D142&gt;0,RANK(D142,$D$2:$D$241)+COUNTIF($D$2:D142,D142)-1,"")</f>
        <v>104</v>
      </c>
      <c r="F142" s="11" t="str">
        <f t="shared" si="24"/>
        <v>Alejandro Castro Quiroz</v>
      </c>
      <c r="G142" s="11" t="str">
        <f t="shared" si="25"/>
        <v>La Amistad</v>
      </c>
      <c r="H142" s="36">
        <f t="shared" si="26"/>
        <v>1</v>
      </c>
      <c r="I142" s="11">
        <f>VLOOKUP(B142,'Boca Juniors'!$B$4:$G$18,4,FALSE)</f>
        <v>2</v>
      </c>
      <c r="J142" s="11">
        <f>IF(I142&gt;0,RANK(I142,$I$2:$I$240)+COUNTIF($I$2:I142,I142)-1,"")</f>
        <v>53</v>
      </c>
      <c r="K142" s="11" t="str">
        <f t="shared" si="27"/>
        <v/>
      </c>
      <c r="L142" s="11" t="str">
        <f t="shared" si="28"/>
        <v/>
      </c>
      <c r="M142" s="11" t="str">
        <f t="shared" si="29"/>
        <v/>
      </c>
      <c r="N142" s="11">
        <f>VLOOKUP(B142,'Boca Juniors'!$B$4:$G$18,5,FALSE)</f>
        <v>2</v>
      </c>
      <c r="O142" s="11" t="e">
        <f>IF(N142&gt;0,RANK(N142,$N$2:$N$240)+COUNTIF($N$2:N142,N142)-1,"")</f>
        <v>#N/A</v>
      </c>
      <c r="P142" s="11" t="str">
        <f t="shared" si="30"/>
        <v/>
      </c>
      <c r="Q142" s="11" t="str">
        <f t="shared" si="31"/>
        <v/>
      </c>
      <c r="R142" s="11" t="str">
        <f t="shared" si="32"/>
        <v/>
      </c>
      <c r="S142" s="11">
        <f>VLOOKUP(B142,'Boca Juniors'!$B$4:$G$18,6,FALSE)</f>
        <v>0</v>
      </c>
      <c r="T142" s="11" t="str">
        <f>IF(S142&gt;0,RANK(S142,$S$2:$S$240)+COUNTIF($S$2:S142,S142)-1,"")</f>
        <v/>
      </c>
      <c r="U142" s="11" t="str">
        <f t="shared" si="33"/>
        <v/>
      </c>
      <c r="V142" s="11" t="str">
        <f t="shared" si="34"/>
        <v/>
      </c>
      <c r="W142" s="11" t="str">
        <f t="shared" si="35"/>
        <v/>
      </c>
    </row>
    <row r="143" spans="1:23" x14ac:dyDescent="0.25">
      <c r="A143" s="17">
        <v>142</v>
      </c>
      <c r="B143" s="18" t="str">
        <f>Jugadores!J9</f>
        <v>Yehis Pacheco</v>
      </c>
      <c r="C143" s="17" t="str">
        <f>+Jugadores!$J$2</f>
        <v>Boca Juniors</v>
      </c>
      <c r="D143" s="11">
        <f>VLOOKUP(B143,'Boca Juniors'!$B$4:$G$18,3,FALSE)</f>
        <v>20</v>
      </c>
      <c r="E143" s="11">
        <f>IF(D143&gt;0,RANK(D143,$D$2:$D$241)+COUNTIF($D$2:D143,D143)-1,"")</f>
        <v>8</v>
      </c>
      <c r="F143" s="11" t="str">
        <f t="shared" si="24"/>
        <v xml:space="preserve">Jhonatan Jaramillo </v>
      </c>
      <c r="G143" s="11" t="str">
        <f t="shared" si="25"/>
        <v>La Amistad</v>
      </c>
      <c r="H143" s="36">
        <f t="shared" si="26"/>
        <v>1</v>
      </c>
      <c r="I143" s="11">
        <f>VLOOKUP(B143,'Boca Juniors'!$B$4:$G$18,4,FALSE)</f>
        <v>2</v>
      </c>
      <c r="J143" s="11">
        <f>IF(I143&gt;0,RANK(I143,$I$2:$I$240)+COUNTIF($I$2:I143,I143)-1,"")</f>
        <v>54</v>
      </c>
      <c r="K143" s="11" t="str">
        <f t="shared" si="27"/>
        <v/>
      </c>
      <c r="L143" s="11" t="str">
        <f t="shared" si="28"/>
        <v/>
      </c>
      <c r="M143" s="11" t="str">
        <f t="shared" si="29"/>
        <v/>
      </c>
      <c r="N143" s="11">
        <f>VLOOKUP(B143,'Boca Juniors'!$B$4:$G$18,5,FALSE)</f>
        <v>3</v>
      </c>
      <c r="O143" s="11" t="e">
        <f>IF(N143&gt;0,RANK(N143,$N$2:$N$240)+COUNTIF($N$2:N143,N143)-1,"")</f>
        <v>#N/A</v>
      </c>
      <c r="P143" s="11" t="str">
        <f t="shared" si="30"/>
        <v/>
      </c>
      <c r="Q143" s="11" t="str">
        <f t="shared" si="31"/>
        <v/>
      </c>
      <c r="R143" s="11" t="str">
        <f t="shared" si="32"/>
        <v/>
      </c>
      <c r="S143" s="11">
        <f>VLOOKUP(B143,'Boca Juniors'!$B$4:$G$18,6,FALSE)</f>
        <v>0</v>
      </c>
      <c r="T143" s="11" t="str">
        <f>IF(S143&gt;0,RANK(S143,$S$2:$S$240)+COUNTIF($S$2:S143,S143)-1,"")</f>
        <v/>
      </c>
      <c r="U143" s="11" t="str">
        <f t="shared" si="33"/>
        <v/>
      </c>
      <c r="V143" s="11" t="str">
        <f t="shared" si="34"/>
        <v/>
      </c>
      <c r="W143" s="11" t="str">
        <f t="shared" si="35"/>
        <v/>
      </c>
    </row>
    <row r="144" spans="1:23" x14ac:dyDescent="0.25">
      <c r="A144" s="17">
        <v>143</v>
      </c>
      <c r="B144" s="18" t="str">
        <f>Jugadores!J10</f>
        <v>Arbenis Montoya</v>
      </c>
      <c r="C144" s="17" t="str">
        <f>+Jugadores!$J$2</f>
        <v>Boca Juniors</v>
      </c>
      <c r="D144" s="11">
        <f>VLOOKUP(B144,'Boca Juniors'!$B$4:$G$18,3,FALSE)</f>
        <v>3</v>
      </c>
      <c r="E144" s="11">
        <f>IF(D144&gt;0,RANK(D144,$D$2:$D$241)+COUNTIF($D$2:D144,D144)-1,"")</f>
        <v>105</v>
      </c>
      <c r="F144" s="11" t="str">
        <f t="shared" si="24"/>
        <v xml:space="preserve">Samuel Isaza Hincapié </v>
      </c>
      <c r="G144" s="11" t="str">
        <f t="shared" si="25"/>
        <v>La Amistad</v>
      </c>
      <c r="H144" s="36">
        <f t="shared" si="26"/>
        <v>1</v>
      </c>
      <c r="I144" s="11">
        <f>VLOOKUP(B144,'Boca Juniors'!$B$4:$G$18,4,FALSE)</f>
        <v>4</v>
      </c>
      <c r="J144" s="11">
        <f>IF(I144&gt;0,RANK(I144,$I$2:$I$240)+COUNTIF($I$2:I144,I144)-1,"")</f>
        <v>13</v>
      </c>
      <c r="K144" s="11" t="str">
        <f t="shared" si="27"/>
        <v/>
      </c>
      <c r="L144" s="11" t="str">
        <f t="shared" si="28"/>
        <v/>
      </c>
      <c r="M144" s="11" t="str">
        <f t="shared" si="29"/>
        <v/>
      </c>
      <c r="N144" s="11">
        <f>VLOOKUP(B144,'Boca Juniors'!$B$4:$G$18,5,FALSE)</f>
        <v>0</v>
      </c>
      <c r="O144" s="11" t="str">
        <f>IF(N144&gt;0,RANK(N144,$N$2:$N$240)+COUNTIF($N$2:N144,N144)-1,"")</f>
        <v/>
      </c>
      <c r="P144" s="11" t="str">
        <f t="shared" si="30"/>
        <v/>
      </c>
      <c r="Q144" s="11" t="str">
        <f t="shared" si="31"/>
        <v/>
      </c>
      <c r="R144" s="11" t="str">
        <f t="shared" si="32"/>
        <v/>
      </c>
      <c r="S144" s="11">
        <f>VLOOKUP(B144,'Boca Juniors'!$B$4:$G$18,6,FALSE)</f>
        <v>1</v>
      </c>
      <c r="T144" s="11" t="e">
        <f>IF(S144&gt;0,RANK(S144,$S$2:$S$240)+COUNTIF($S$2:S144,S144)-1,"")</f>
        <v>#N/A</v>
      </c>
      <c r="U144" s="11" t="str">
        <f t="shared" si="33"/>
        <v/>
      </c>
      <c r="V144" s="11" t="str">
        <f t="shared" si="34"/>
        <v/>
      </c>
      <c r="W144" s="11" t="str">
        <f t="shared" si="35"/>
        <v/>
      </c>
    </row>
    <row r="145" spans="1:23" x14ac:dyDescent="0.25">
      <c r="A145" s="17">
        <v>144</v>
      </c>
      <c r="B145" s="18" t="str">
        <f>Jugadores!J11</f>
        <v>Andry Jhoan Rivera</v>
      </c>
      <c r="C145" s="17" t="str">
        <f>+Jugadores!$J$2</f>
        <v>Boca Juniors</v>
      </c>
      <c r="D145" s="11">
        <f>VLOOKUP(B145,'Boca Juniors'!$B$4:$G$18,3,FALSE)</f>
        <v>4</v>
      </c>
      <c r="E145" s="11">
        <f>IF(D145&gt;0,RANK(D145,$D$2:$D$241)+COUNTIF($D$2:D145,D145)-1,"")</f>
        <v>83</v>
      </c>
      <c r="F145" s="11" t="str">
        <f t="shared" si="24"/>
        <v xml:space="preserve">Andrés Cifuentes </v>
      </c>
      <c r="G145" s="11" t="str">
        <f t="shared" si="25"/>
        <v>Konami</v>
      </c>
      <c r="H145" s="36">
        <f t="shared" si="26"/>
        <v>1</v>
      </c>
      <c r="I145" s="11">
        <f>VLOOKUP(B145,'Boca Juniors'!$B$4:$G$18,4,FALSE)</f>
        <v>3</v>
      </c>
      <c r="J145" s="11">
        <f>IF(I145&gt;0,RANK(I145,$I$2:$I$240)+COUNTIF($I$2:I145,I145)-1,"")</f>
        <v>29</v>
      </c>
      <c r="K145" s="11" t="str">
        <f t="shared" si="27"/>
        <v/>
      </c>
      <c r="L145" s="11" t="str">
        <f t="shared" si="28"/>
        <v/>
      </c>
      <c r="M145" s="11" t="str">
        <f t="shared" si="29"/>
        <v/>
      </c>
      <c r="N145" s="11">
        <f>VLOOKUP(B145,'Boca Juniors'!$B$4:$G$18,5,FALSE)</f>
        <v>0</v>
      </c>
      <c r="O145" s="11" t="str">
        <f>IF(N145&gt;0,RANK(N145,$N$2:$N$240)+COUNTIF($N$2:N145,N145)-1,"")</f>
        <v/>
      </c>
      <c r="P145" s="11" t="str">
        <f t="shared" si="30"/>
        <v/>
      </c>
      <c r="Q145" s="11" t="str">
        <f t="shared" si="31"/>
        <v/>
      </c>
      <c r="R145" s="11" t="str">
        <f t="shared" si="32"/>
        <v/>
      </c>
      <c r="S145" s="11">
        <f>VLOOKUP(B145,'Boca Juniors'!$B$4:$G$18,6,FALSE)</f>
        <v>0</v>
      </c>
      <c r="T145" s="11" t="str">
        <f>IF(S145&gt;0,RANK(S145,$S$2:$S$240)+COUNTIF($S$2:S145,S145)-1,"")</f>
        <v/>
      </c>
      <c r="U145" s="11" t="str">
        <f t="shared" si="33"/>
        <v/>
      </c>
      <c r="V145" s="11" t="str">
        <f t="shared" si="34"/>
        <v/>
      </c>
      <c r="W145" s="11" t="str">
        <f t="shared" si="35"/>
        <v/>
      </c>
    </row>
    <row r="146" spans="1:23" x14ac:dyDescent="0.25">
      <c r="A146" s="17">
        <v>145</v>
      </c>
      <c r="B146" s="18" t="str">
        <f>Jugadores!J12</f>
        <v>Oscar Torín</v>
      </c>
      <c r="C146" s="17" t="str">
        <f>+Jugadores!$J$2</f>
        <v>Boca Juniors</v>
      </c>
      <c r="D146" s="11">
        <f>VLOOKUP(B146,'Boca Juniors'!$B$4:$G$18,3,FALSE)</f>
        <v>1</v>
      </c>
      <c r="E146" s="11">
        <f>IF(D146&gt;0,RANK(D146,$D$2:$D$241)+COUNTIF($D$2:D146,D146)-1,"")</f>
        <v>161</v>
      </c>
      <c r="F146" s="11" t="str">
        <f t="shared" si="24"/>
        <v>Santiago Piedrahíta</v>
      </c>
      <c r="G146" s="11" t="str">
        <f t="shared" si="25"/>
        <v>Konami</v>
      </c>
      <c r="H146" s="36">
        <f t="shared" si="26"/>
        <v>1</v>
      </c>
      <c r="I146" s="11">
        <f>VLOOKUP(B146,'Boca Juniors'!$B$4:$G$18,4,FALSE)</f>
        <v>4</v>
      </c>
      <c r="J146" s="11">
        <f>IF(I146&gt;0,RANK(I146,$I$2:$I$240)+COUNTIF($I$2:I146,I146)-1,"")</f>
        <v>14</v>
      </c>
      <c r="K146" s="11" t="str">
        <f t="shared" si="27"/>
        <v/>
      </c>
      <c r="L146" s="11" t="str">
        <f t="shared" si="28"/>
        <v/>
      </c>
      <c r="M146" s="11" t="str">
        <f t="shared" si="29"/>
        <v/>
      </c>
      <c r="N146" s="11">
        <f>VLOOKUP(B146,'Boca Juniors'!$B$4:$G$18,5,FALSE)</f>
        <v>1</v>
      </c>
      <c r="O146" s="11" t="e">
        <f>IF(N146&gt;0,RANK(N146,$N$2:$N$240)+COUNTIF($N$2:N146,N146)-1,"")</f>
        <v>#N/A</v>
      </c>
      <c r="P146" s="11" t="str">
        <f t="shared" si="30"/>
        <v/>
      </c>
      <c r="Q146" s="11" t="str">
        <f t="shared" si="31"/>
        <v/>
      </c>
      <c r="R146" s="11" t="str">
        <f t="shared" si="32"/>
        <v/>
      </c>
      <c r="S146" s="11">
        <f>VLOOKUP(B146,'Boca Juniors'!$B$4:$G$18,6,FALSE)</f>
        <v>0</v>
      </c>
      <c r="T146" s="11" t="str">
        <f>IF(S146&gt;0,RANK(S146,$S$2:$S$240)+COUNTIF($S$2:S146,S146)-1,"")</f>
        <v/>
      </c>
      <c r="U146" s="11" t="str">
        <f t="shared" si="33"/>
        <v/>
      </c>
      <c r="V146" s="11" t="str">
        <f t="shared" si="34"/>
        <v/>
      </c>
      <c r="W146" s="11" t="str">
        <f t="shared" si="35"/>
        <v/>
      </c>
    </row>
    <row r="147" spans="1:23" x14ac:dyDescent="0.25">
      <c r="A147" s="17">
        <v>146</v>
      </c>
      <c r="B147" s="18" t="str">
        <f>Jugadores!J13</f>
        <v xml:space="preserve">Eduar Rodríguez </v>
      </c>
      <c r="C147" s="17" t="str">
        <f>+Jugadores!$J$2</f>
        <v>Boca Juniors</v>
      </c>
      <c r="D147" s="11">
        <f>VLOOKUP(B147,'Boca Juniors'!$B$4:$G$18,3,FALSE)</f>
        <v>0</v>
      </c>
      <c r="E147" s="11" t="str">
        <f>IF(D147&gt;0,RANK(D147,$D$2:$D$241)+COUNTIF($D$2:D147,D147)-1,"")</f>
        <v/>
      </c>
      <c r="F147" s="11" t="str">
        <f t="shared" si="24"/>
        <v xml:space="preserve">Jorge Estrada </v>
      </c>
      <c r="G147" s="11" t="str">
        <f t="shared" si="25"/>
        <v>Konami</v>
      </c>
      <c r="H147" s="36">
        <f t="shared" si="26"/>
        <v>1</v>
      </c>
      <c r="I147" s="11">
        <f>VLOOKUP(B147,'Boca Juniors'!$B$4:$G$18,4,FALSE)</f>
        <v>0</v>
      </c>
      <c r="J147" s="11" t="str">
        <f>IF(I147&gt;0,RANK(I147,$I$2:$I$240)+COUNTIF($I$2:I147,I147)-1,"")</f>
        <v/>
      </c>
      <c r="K147" s="11" t="str">
        <f t="shared" si="27"/>
        <v/>
      </c>
      <c r="L147" s="11" t="str">
        <f t="shared" si="28"/>
        <v/>
      </c>
      <c r="M147" s="11" t="str">
        <f t="shared" si="29"/>
        <v/>
      </c>
      <c r="N147" s="11">
        <f>VLOOKUP(B147,'Boca Juniors'!$B$4:$G$18,5,FALSE)</f>
        <v>0</v>
      </c>
      <c r="O147" s="11" t="str">
        <f>IF(N147&gt;0,RANK(N147,$N$2:$N$240)+COUNTIF($N$2:N147,N147)-1,"")</f>
        <v/>
      </c>
      <c r="P147" s="11" t="str">
        <f t="shared" si="30"/>
        <v/>
      </c>
      <c r="Q147" s="11" t="str">
        <f t="shared" si="31"/>
        <v/>
      </c>
      <c r="R147" s="11" t="str">
        <f t="shared" si="32"/>
        <v/>
      </c>
      <c r="S147" s="11">
        <f>VLOOKUP(B147,'Boca Juniors'!$B$4:$G$18,6,FALSE)</f>
        <v>0</v>
      </c>
      <c r="T147" s="11" t="str">
        <f>IF(S147&gt;0,RANK(S147,$S$2:$S$240)+COUNTIF($S$2:S147,S147)-1,"")</f>
        <v/>
      </c>
      <c r="U147" s="11" t="str">
        <f t="shared" si="33"/>
        <v/>
      </c>
      <c r="V147" s="11" t="str">
        <f t="shared" si="34"/>
        <v/>
      </c>
      <c r="W147" s="11" t="str">
        <f t="shared" si="35"/>
        <v/>
      </c>
    </row>
    <row r="148" spans="1:23" x14ac:dyDescent="0.25">
      <c r="A148" s="17">
        <v>147</v>
      </c>
      <c r="B148" s="18" t="str">
        <f>Jugadores!J14</f>
        <v xml:space="preserve">Sergio Ruiz </v>
      </c>
      <c r="C148" s="17" t="str">
        <f>+Jugadores!$J$2</f>
        <v>Boca Juniors</v>
      </c>
      <c r="D148" s="11">
        <f>VLOOKUP(B148,'Boca Juniors'!$B$4:$G$18,3,FALSE)</f>
        <v>0</v>
      </c>
      <c r="E148" s="11" t="str">
        <f>IF(D148&gt;0,RANK(D148,$D$2:$D$241)+COUNTIF($D$2:D148,D148)-1,"")</f>
        <v/>
      </c>
      <c r="F148" s="11" t="str">
        <f t="shared" si="24"/>
        <v>Cesar Vanegas</v>
      </c>
      <c r="G148" s="11" t="str">
        <f t="shared" si="25"/>
        <v>Konami</v>
      </c>
      <c r="H148" s="36">
        <f t="shared" si="26"/>
        <v>1</v>
      </c>
      <c r="I148" s="11">
        <f>VLOOKUP(B148,'Boca Juniors'!$B$4:$G$18,4,FALSE)</f>
        <v>0</v>
      </c>
      <c r="J148" s="11" t="str">
        <f>IF(I148&gt;0,RANK(I148,$I$2:$I$240)+COUNTIF($I$2:I148,I148)-1,"")</f>
        <v/>
      </c>
      <c r="K148" s="11" t="str">
        <f t="shared" si="27"/>
        <v/>
      </c>
      <c r="L148" s="11" t="str">
        <f t="shared" si="28"/>
        <v/>
      </c>
      <c r="M148" s="11" t="str">
        <f t="shared" si="29"/>
        <v/>
      </c>
      <c r="N148" s="11">
        <f>VLOOKUP(B148,'Boca Juniors'!$B$4:$G$18,5,FALSE)</f>
        <v>0</v>
      </c>
      <c r="O148" s="11" t="str">
        <f>IF(N148&gt;0,RANK(N148,$N$2:$N$240)+COUNTIF($N$2:N148,N148)-1,"")</f>
        <v/>
      </c>
      <c r="P148" s="11" t="str">
        <f t="shared" si="30"/>
        <v/>
      </c>
      <c r="Q148" s="11" t="str">
        <f t="shared" si="31"/>
        <v/>
      </c>
      <c r="R148" s="11" t="str">
        <f t="shared" si="32"/>
        <v/>
      </c>
      <c r="S148" s="11">
        <f>VLOOKUP(B148,'Boca Juniors'!$B$4:$G$18,6,FALSE)</f>
        <v>0</v>
      </c>
      <c r="T148" s="11" t="str">
        <f>IF(S148&gt;0,RANK(S148,$S$2:$S$240)+COUNTIF($S$2:S148,S148)-1,"")</f>
        <v/>
      </c>
      <c r="U148" s="11" t="str">
        <f t="shared" si="33"/>
        <v/>
      </c>
      <c r="V148" s="11" t="str">
        <f t="shared" si="34"/>
        <v/>
      </c>
      <c r="W148" s="11" t="str">
        <f t="shared" si="35"/>
        <v/>
      </c>
    </row>
    <row r="149" spans="1:23" x14ac:dyDescent="0.25">
      <c r="A149" s="17">
        <v>148</v>
      </c>
      <c r="B149" s="18" t="str">
        <f>Jugadores!J15</f>
        <v>Segundo Polo</v>
      </c>
      <c r="C149" s="17" t="str">
        <f>+Jugadores!$J$2</f>
        <v>Boca Juniors</v>
      </c>
      <c r="D149" s="11">
        <f>VLOOKUP(B149,'Boca Juniors'!$B$4:$G$18,3,FALSE)</f>
        <v>1</v>
      </c>
      <c r="E149" s="11">
        <f>IF(D149&gt;0,RANK(D149,$D$2:$D$241)+COUNTIF($D$2:D149,D149)-1,"")</f>
        <v>162</v>
      </c>
      <c r="F149" s="11" t="str">
        <f t="shared" si="24"/>
        <v xml:space="preserve">Francisco Morales </v>
      </c>
      <c r="G149" s="11" t="str">
        <f t="shared" si="25"/>
        <v>Konami</v>
      </c>
      <c r="H149" s="36">
        <f t="shared" si="26"/>
        <v>1</v>
      </c>
      <c r="I149" s="11">
        <f>VLOOKUP(B149,'Boca Juniors'!$B$4:$G$18,4,FALSE)</f>
        <v>2</v>
      </c>
      <c r="J149" s="11">
        <f>IF(I149&gt;0,RANK(I149,$I$2:$I$240)+COUNTIF($I$2:I149,I149)-1,"")</f>
        <v>55</v>
      </c>
      <c r="K149" s="11" t="str">
        <f t="shared" si="27"/>
        <v/>
      </c>
      <c r="L149" s="11" t="str">
        <f t="shared" si="28"/>
        <v/>
      </c>
      <c r="M149" s="11" t="str">
        <f t="shared" si="29"/>
        <v/>
      </c>
      <c r="N149" s="11">
        <f>VLOOKUP(B149,'Boca Juniors'!$B$4:$G$18,5,FALSE)</f>
        <v>0</v>
      </c>
      <c r="O149" s="11" t="str">
        <f>IF(N149&gt;0,RANK(N149,$N$2:$N$240)+COUNTIF($N$2:N149,N149)-1,"")</f>
        <v/>
      </c>
      <c r="P149" s="11" t="str">
        <f t="shared" si="30"/>
        <v/>
      </c>
      <c r="Q149" s="11" t="str">
        <f t="shared" si="31"/>
        <v/>
      </c>
      <c r="R149" s="11" t="str">
        <f t="shared" si="32"/>
        <v/>
      </c>
      <c r="S149" s="11">
        <f>VLOOKUP(B149,'Boca Juniors'!$B$4:$G$18,6,FALSE)</f>
        <v>1</v>
      </c>
      <c r="T149" s="11" t="e">
        <f>IF(S149&gt;0,RANK(S149,$S$2:$S$240)+COUNTIF($S$2:S149,S149)-1,"")</f>
        <v>#N/A</v>
      </c>
      <c r="U149" s="11" t="str">
        <f t="shared" si="33"/>
        <v/>
      </c>
      <c r="V149" s="11" t="str">
        <f t="shared" si="34"/>
        <v/>
      </c>
      <c r="W149" s="11" t="str">
        <f t="shared" si="35"/>
        <v/>
      </c>
    </row>
    <row r="150" spans="1:23" s="25" customFormat="1" x14ac:dyDescent="0.25">
      <c r="A150" s="17">
        <v>149</v>
      </c>
      <c r="B150" s="18" t="str">
        <f>Jugadores!J16</f>
        <v xml:space="preserve">Hilmer León </v>
      </c>
      <c r="C150" s="17" t="str">
        <f>+Jugadores!$J$2</f>
        <v>Boca Juniors</v>
      </c>
      <c r="D150" s="11">
        <f>VLOOKUP(B150,'Boca Juniors'!$B$4:$G$18,3,FALSE)</f>
        <v>0</v>
      </c>
      <c r="E150" s="11" t="str">
        <f>IF(D150&gt;0,RANK(D150,$D$2:$D$241)+COUNTIF($D$2:D150,D150)-1,"")</f>
        <v/>
      </c>
      <c r="F150" s="11" t="str">
        <f t="shared" si="24"/>
        <v>Jaime Correa</v>
      </c>
      <c r="G150" s="11" t="str">
        <f t="shared" si="25"/>
        <v>Villanueva</v>
      </c>
      <c r="H150" s="36">
        <f t="shared" si="26"/>
        <v>1</v>
      </c>
      <c r="I150" s="11">
        <f>VLOOKUP(B150,'Boca Juniors'!$B$4:$G$18,4,FALSE)</f>
        <v>1</v>
      </c>
      <c r="J150" s="11">
        <f>IF(I150&gt;0,RANK(I150,$I$2:$I$240)+COUNTIF($I$2:I150,I150)-1,"")</f>
        <v>112</v>
      </c>
      <c r="K150" s="11" t="str">
        <f t="shared" si="27"/>
        <v/>
      </c>
      <c r="L150" s="11" t="str">
        <f t="shared" si="28"/>
        <v/>
      </c>
      <c r="M150" s="11" t="str">
        <f t="shared" si="29"/>
        <v/>
      </c>
      <c r="N150" s="11">
        <f>VLOOKUP(B150,'Boca Juniors'!$B$4:$G$18,5,FALSE)</f>
        <v>0</v>
      </c>
      <c r="O150" s="11" t="str">
        <f>IF(N150&gt;0,RANK(N150,$N$2:$N$240)+COUNTIF($N$2:N150,N150)-1,"")</f>
        <v/>
      </c>
      <c r="P150" s="11" t="str">
        <f t="shared" si="30"/>
        <v/>
      </c>
      <c r="Q150" s="11" t="str">
        <f t="shared" si="31"/>
        <v/>
      </c>
      <c r="R150" s="11" t="str">
        <f t="shared" si="32"/>
        <v/>
      </c>
      <c r="S150" s="11">
        <f>VLOOKUP(B150,'Boca Juniors'!$B$4:$G$18,6,FALSE)</f>
        <v>0</v>
      </c>
      <c r="T150" s="11" t="str">
        <f>IF(S150&gt;0,RANK(S150,$S$2:$S$240)+COUNTIF($S$2:S150,S150)-1,"")</f>
        <v/>
      </c>
      <c r="U150" s="11" t="str">
        <f t="shared" si="33"/>
        <v/>
      </c>
      <c r="V150" s="11" t="str">
        <f t="shared" si="34"/>
        <v/>
      </c>
      <c r="W150" s="11" t="str">
        <f t="shared" si="35"/>
        <v/>
      </c>
    </row>
    <row r="151" spans="1:23" x14ac:dyDescent="0.25">
      <c r="A151" s="17">
        <v>150</v>
      </c>
      <c r="B151" s="18" t="str">
        <f>Jugadores!J17</f>
        <v>Temístocles Polo</v>
      </c>
      <c r="C151" s="17" t="str">
        <f>+Jugadores!$J$2</f>
        <v>Boca Juniors</v>
      </c>
      <c r="D151" s="11">
        <f>VLOOKUP(B151,'Boca Juniors'!$B$4:$G$18,3,FALSE)</f>
        <v>2</v>
      </c>
      <c r="E151" s="11">
        <f>IF(D151&gt;0,RANK(D151,$D$2:$D$241)+COUNTIF($D$2:D151,D151)-1,"")</f>
        <v>124</v>
      </c>
      <c r="F151" s="11" t="str">
        <f t="shared" si="24"/>
        <v>Elias Reyes</v>
      </c>
      <c r="G151" s="11" t="str">
        <f t="shared" si="25"/>
        <v>Villanueva</v>
      </c>
      <c r="H151" s="36">
        <f t="shared" si="26"/>
        <v>1</v>
      </c>
      <c r="I151" s="11">
        <f>VLOOKUP(B151,'Boca Juniors'!$B$4:$G$18,4,FALSE)</f>
        <v>0</v>
      </c>
      <c r="J151" s="11" t="str">
        <f>IF(I151&gt;0,RANK(I151,$I$2:$I$240)+COUNTIF($I$2:I151,I151)-1,"")</f>
        <v/>
      </c>
      <c r="K151" s="11" t="str">
        <f t="shared" si="27"/>
        <v/>
      </c>
      <c r="L151" s="11" t="str">
        <f t="shared" si="28"/>
        <v/>
      </c>
      <c r="M151" s="11" t="str">
        <f t="shared" si="29"/>
        <v/>
      </c>
      <c r="N151" s="11">
        <f>VLOOKUP(B151,'Boca Juniors'!$B$4:$G$18,5,FALSE)</f>
        <v>0</v>
      </c>
      <c r="O151" s="11" t="str">
        <f>IF(N151&gt;0,RANK(N151,$N$2:$N$240)+COUNTIF($N$2:N151,N151)-1,"")</f>
        <v/>
      </c>
      <c r="P151" s="11" t="str">
        <f t="shared" si="30"/>
        <v/>
      </c>
      <c r="Q151" s="11" t="str">
        <f t="shared" si="31"/>
        <v/>
      </c>
      <c r="R151" s="11" t="str">
        <f t="shared" si="32"/>
        <v/>
      </c>
      <c r="S151" s="11">
        <f>VLOOKUP(B151,'Boca Juniors'!$B$4:$G$18,6,FALSE)</f>
        <v>0</v>
      </c>
      <c r="T151" s="11" t="str">
        <f>IF(S151&gt;0,RANK(S151,$S$2:$S$240)+COUNTIF($S$2:S151,S151)-1,"")</f>
        <v/>
      </c>
      <c r="U151" s="11" t="str">
        <f t="shared" si="33"/>
        <v/>
      </c>
      <c r="V151" s="11" t="str">
        <f t="shared" si="34"/>
        <v/>
      </c>
      <c r="W151" s="11" t="str">
        <f t="shared" si="35"/>
        <v/>
      </c>
    </row>
    <row r="152" spans="1:23" x14ac:dyDescent="0.25">
      <c r="A152" s="17">
        <v>151</v>
      </c>
      <c r="B152" s="18" t="str">
        <f>Jugadores!K3</f>
        <v xml:space="preserve">Raudi Villa </v>
      </c>
      <c r="C152" s="17" t="str">
        <f>+Jugadores!$K$2</f>
        <v>Deportivo Fénix</v>
      </c>
      <c r="D152" s="11">
        <f>VLOOKUP(B152,'Deportivo Fénix'!$B$4:$G$18,3,FALSE)</f>
        <v>2</v>
      </c>
      <c r="E152" s="11">
        <f>IF(D152&gt;0,RANK(D152,$D$2:$D$241)+COUNTIF($D$2:D152,D152)-1,"")</f>
        <v>125</v>
      </c>
      <c r="F152" s="11" t="str">
        <f t="shared" si="24"/>
        <v>John Fredy Zapata</v>
      </c>
      <c r="G152" s="11" t="str">
        <f t="shared" si="25"/>
        <v>Ron Star</v>
      </c>
      <c r="H152" s="36">
        <f t="shared" si="26"/>
        <v>1</v>
      </c>
      <c r="I152" s="11">
        <f>VLOOKUP(B152,'Deportivo Fénix'!$B$4:$G$18,4,FALSE)</f>
        <v>1</v>
      </c>
      <c r="J152" s="11">
        <f>IF(I152&gt;0,RANK(I152,$I$2:$I$240)+COUNTIF($I$2:I152,I152)-1,"")</f>
        <v>113</v>
      </c>
      <c r="K152" s="11" t="str">
        <f t="shared" si="27"/>
        <v/>
      </c>
      <c r="L152" s="11" t="str">
        <f t="shared" si="28"/>
        <v/>
      </c>
      <c r="M152" s="11" t="str">
        <f t="shared" si="29"/>
        <v/>
      </c>
      <c r="N152" s="11">
        <f>VLOOKUP(B152,'Deportivo Fénix'!$B$4:$G$18,5,FALSE)</f>
        <v>0</v>
      </c>
      <c r="O152" s="11" t="str">
        <f>IF(N152&gt;0,RANK(N152,$N$2:$N$240)+COUNTIF($N$2:N152,N152)-1,"")</f>
        <v/>
      </c>
      <c r="P152" s="11" t="str">
        <f t="shared" si="30"/>
        <v/>
      </c>
      <c r="Q152" s="11" t="str">
        <f t="shared" si="31"/>
        <v/>
      </c>
      <c r="R152" s="11" t="str">
        <f t="shared" si="32"/>
        <v/>
      </c>
      <c r="S152" s="11">
        <f>VLOOKUP(B152,'Deportivo Fénix'!$B$4:$G$18,6,FALSE)</f>
        <v>0</v>
      </c>
      <c r="T152" s="11" t="str">
        <f>IF(S152&gt;0,RANK(S152,$S$2:$S$240)+COUNTIF($S$2:S152,S152)-1,"")</f>
        <v/>
      </c>
      <c r="U152" s="11" t="str">
        <f t="shared" si="33"/>
        <v/>
      </c>
      <c r="V152" s="11" t="str">
        <f t="shared" si="34"/>
        <v/>
      </c>
      <c r="W152" s="11" t="str">
        <f t="shared" si="35"/>
        <v/>
      </c>
    </row>
    <row r="153" spans="1:23" x14ac:dyDescent="0.25">
      <c r="A153" s="17">
        <v>152</v>
      </c>
      <c r="B153" s="18" t="str">
        <f>Jugadores!K4</f>
        <v>Jorge Mayo</v>
      </c>
      <c r="C153" s="17" t="str">
        <f>+Jugadores!$K$2</f>
        <v>Deportivo Fénix</v>
      </c>
      <c r="D153" s="11">
        <f>VLOOKUP(B153,'Deportivo Fénix'!$B$4:$G$18,3,FALSE)</f>
        <v>1</v>
      </c>
      <c r="E153" s="11">
        <f>IF(D153&gt;0,RANK(D153,$D$2:$D$241)+COUNTIF($D$2:D153,D153)-1,"")</f>
        <v>163</v>
      </c>
      <c r="F153" s="11" t="str">
        <f t="shared" si="24"/>
        <v>Diego Patiño</v>
      </c>
      <c r="G153" s="11" t="str">
        <f t="shared" si="25"/>
        <v>Ron Star</v>
      </c>
      <c r="H153" s="36">
        <f t="shared" si="26"/>
        <v>1</v>
      </c>
      <c r="I153" s="11">
        <f>VLOOKUP(B153,'Deportivo Fénix'!$B$4:$G$18,4,FALSE)</f>
        <v>2</v>
      </c>
      <c r="J153" s="11">
        <f>IF(I153&gt;0,RANK(I153,$I$2:$I$240)+COUNTIF($I$2:I153,I153)-1,"")</f>
        <v>56</v>
      </c>
      <c r="K153" s="11" t="str">
        <f t="shared" si="27"/>
        <v/>
      </c>
      <c r="L153" s="11" t="str">
        <f t="shared" si="28"/>
        <v/>
      </c>
      <c r="M153" s="11" t="str">
        <f t="shared" si="29"/>
        <v/>
      </c>
      <c r="N153" s="11">
        <f>VLOOKUP(B153,'Deportivo Fénix'!$B$4:$G$18,5,FALSE)</f>
        <v>1</v>
      </c>
      <c r="O153" s="11" t="e">
        <f>IF(N153&gt;0,RANK(N153,$N$2:$N$240)+COUNTIF($N$2:N153,N153)-1,"")</f>
        <v>#N/A</v>
      </c>
      <c r="P153" s="11" t="str">
        <f t="shared" si="30"/>
        <v/>
      </c>
      <c r="Q153" s="11" t="str">
        <f t="shared" si="31"/>
        <v/>
      </c>
      <c r="R153" s="11" t="str">
        <f t="shared" si="32"/>
        <v/>
      </c>
      <c r="S153" s="11">
        <f>VLOOKUP(B153,'Deportivo Fénix'!$B$4:$G$18,6,FALSE)</f>
        <v>1</v>
      </c>
      <c r="T153" s="11" t="e">
        <f>IF(S153&gt;0,RANK(S153,$S$2:$S$240)+COUNTIF($S$2:S153,S153)-1,"")</f>
        <v>#N/A</v>
      </c>
      <c r="U153" s="11" t="str">
        <f t="shared" si="33"/>
        <v/>
      </c>
      <c r="V153" s="11" t="str">
        <f t="shared" si="34"/>
        <v/>
      </c>
      <c r="W153" s="11" t="str">
        <f t="shared" si="35"/>
        <v/>
      </c>
    </row>
    <row r="154" spans="1:23" x14ac:dyDescent="0.25">
      <c r="A154" s="17">
        <v>153</v>
      </c>
      <c r="B154" s="18" t="str">
        <f>Jugadores!K5</f>
        <v>Carlos Villa</v>
      </c>
      <c r="C154" s="17" t="str">
        <f>+Jugadores!$K$2</f>
        <v>Deportivo Fénix</v>
      </c>
      <c r="D154" s="11">
        <f>VLOOKUP(B154,'Deportivo Fénix'!$B$4:$G$18,3,FALSE)</f>
        <v>7</v>
      </c>
      <c r="E154" s="11">
        <f>IF(D154&gt;0,RANK(D154,$D$2:$D$241)+COUNTIF($D$2:D154,D154)-1,"")</f>
        <v>45</v>
      </c>
      <c r="F154" s="11" t="str">
        <f t="shared" si="24"/>
        <v>Duver Berrio</v>
      </c>
      <c r="G154" s="11" t="str">
        <f t="shared" si="25"/>
        <v>Amenadim</v>
      </c>
      <c r="H154" s="36">
        <f t="shared" si="26"/>
        <v>1</v>
      </c>
      <c r="I154" s="11">
        <f>VLOOKUP(B154,'Deportivo Fénix'!$B$4:$G$18,4,FALSE)</f>
        <v>0</v>
      </c>
      <c r="J154" s="11" t="str">
        <f>IF(I154&gt;0,RANK(I154,$I$2:$I$240)+COUNTIF($I$2:I154,I154)-1,"")</f>
        <v/>
      </c>
      <c r="K154" s="11" t="str">
        <f t="shared" si="27"/>
        <v/>
      </c>
      <c r="L154" s="11" t="str">
        <f t="shared" si="28"/>
        <v/>
      </c>
      <c r="M154" s="11" t="str">
        <f t="shared" si="29"/>
        <v/>
      </c>
      <c r="N154" s="11">
        <f>VLOOKUP(B154,'Deportivo Fénix'!$B$4:$G$18,5,FALSE)</f>
        <v>1</v>
      </c>
      <c r="O154" s="11" t="e">
        <f>IF(N154&gt;0,RANK(N154,$N$2:$N$240)+COUNTIF($N$2:N154,N154)-1,"")</f>
        <v>#N/A</v>
      </c>
      <c r="P154" s="11" t="str">
        <f t="shared" si="30"/>
        <v/>
      </c>
      <c r="Q154" s="11" t="str">
        <f t="shared" si="31"/>
        <v/>
      </c>
      <c r="R154" s="11" t="str">
        <f t="shared" si="32"/>
        <v/>
      </c>
      <c r="S154" s="11">
        <f>VLOOKUP(B154,'Deportivo Fénix'!$B$4:$G$18,6,FALSE)</f>
        <v>0</v>
      </c>
      <c r="T154" s="11" t="str">
        <f>IF(S154&gt;0,RANK(S154,$S$2:$S$240)+COUNTIF($S$2:S154,S154)-1,"")</f>
        <v/>
      </c>
      <c r="U154" s="11" t="str">
        <f t="shared" si="33"/>
        <v/>
      </c>
      <c r="V154" s="11" t="str">
        <f t="shared" si="34"/>
        <v/>
      </c>
      <c r="W154" s="11" t="str">
        <f t="shared" si="35"/>
        <v/>
      </c>
    </row>
    <row r="155" spans="1:23" x14ac:dyDescent="0.25">
      <c r="A155" s="17">
        <v>154</v>
      </c>
      <c r="B155" s="18" t="str">
        <f>Jugadores!K6</f>
        <v>Francisco Hiturriaga Gutiérrez</v>
      </c>
      <c r="C155" s="17" t="str">
        <f>+Jugadores!$K$2</f>
        <v>Deportivo Fénix</v>
      </c>
      <c r="D155" s="11">
        <f>VLOOKUP(B155,'Deportivo Fénix'!$B$4:$G$18,3,FALSE)</f>
        <v>4</v>
      </c>
      <c r="E155" s="11">
        <f>IF(D155&gt;0,RANK(D155,$D$2:$D$241)+COUNTIF($D$2:D155,D155)-1,"")</f>
        <v>84</v>
      </c>
      <c r="F155" s="11" t="str">
        <f t="shared" si="24"/>
        <v>Sebastián Cano</v>
      </c>
      <c r="G155" s="11" t="str">
        <f t="shared" si="25"/>
        <v>Amenadim</v>
      </c>
      <c r="H155" s="36">
        <f t="shared" si="26"/>
        <v>1</v>
      </c>
      <c r="I155" s="11">
        <f>VLOOKUP(B155,'Deportivo Fénix'!$B$4:$G$18,4,FALSE)</f>
        <v>1</v>
      </c>
      <c r="J155" s="11">
        <f>IF(I155&gt;0,RANK(I155,$I$2:$I$240)+COUNTIF($I$2:I155,I155)-1,"")</f>
        <v>114</v>
      </c>
      <c r="K155" s="11" t="str">
        <f t="shared" si="27"/>
        <v/>
      </c>
      <c r="L155" s="11" t="str">
        <f t="shared" si="28"/>
        <v/>
      </c>
      <c r="M155" s="11" t="str">
        <f t="shared" si="29"/>
        <v/>
      </c>
      <c r="N155" s="11">
        <f>VLOOKUP(B155,'Deportivo Fénix'!$B$4:$G$18,5,FALSE)</f>
        <v>0</v>
      </c>
      <c r="O155" s="11" t="str">
        <f>IF(N155&gt;0,RANK(N155,$N$2:$N$240)+COUNTIF($N$2:N155,N155)-1,"")</f>
        <v/>
      </c>
      <c r="P155" s="11" t="str">
        <f t="shared" si="30"/>
        <v/>
      </c>
      <c r="Q155" s="11" t="str">
        <f t="shared" si="31"/>
        <v/>
      </c>
      <c r="R155" s="11" t="str">
        <f t="shared" si="32"/>
        <v/>
      </c>
      <c r="S155" s="11">
        <f>VLOOKUP(B155,'Deportivo Fénix'!$B$4:$G$18,6,FALSE)</f>
        <v>0</v>
      </c>
      <c r="T155" s="11" t="str">
        <f>IF(S155&gt;0,RANK(S155,$S$2:$S$240)+COUNTIF($S$2:S155,S155)-1,"")</f>
        <v/>
      </c>
      <c r="U155" s="11" t="str">
        <f t="shared" si="33"/>
        <v/>
      </c>
      <c r="V155" s="11" t="str">
        <f t="shared" si="34"/>
        <v/>
      </c>
      <c r="W155" s="11" t="str">
        <f t="shared" si="35"/>
        <v/>
      </c>
    </row>
    <row r="156" spans="1:23" x14ac:dyDescent="0.25">
      <c r="A156" s="17">
        <v>155</v>
      </c>
      <c r="B156" s="18" t="str">
        <f>Jugadores!K7</f>
        <v xml:space="preserve">José Mendoza </v>
      </c>
      <c r="C156" s="17" t="str">
        <f>+Jugadores!$K$2</f>
        <v>Deportivo Fénix</v>
      </c>
      <c r="D156" s="11">
        <f>VLOOKUP(B156,'Deportivo Fénix'!$B$4:$G$18,3,FALSE)</f>
        <v>4</v>
      </c>
      <c r="E156" s="11">
        <f>IF(D156&gt;0,RANK(D156,$D$2:$D$241)+COUNTIF($D$2:D156,D156)-1,"")</f>
        <v>85</v>
      </c>
      <c r="F156" s="11" t="str">
        <f t="shared" si="24"/>
        <v>Ángel Rocha</v>
      </c>
      <c r="G156" s="11" t="str">
        <f t="shared" si="25"/>
        <v>Amenadim</v>
      </c>
      <c r="H156" s="36">
        <f t="shared" si="26"/>
        <v>1</v>
      </c>
      <c r="I156" s="11">
        <f>VLOOKUP(B156,'Deportivo Fénix'!$B$4:$G$18,4,FALSE)</f>
        <v>4</v>
      </c>
      <c r="J156" s="11">
        <f>IF(I156&gt;0,RANK(I156,$I$2:$I$240)+COUNTIF($I$2:I156,I156)-1,"")</f>
        <v>15</v>
      </c>
      <c r="K156" s="11" t="str">
        <f t="shared" si="27"/>
        <v/>
      </c>
      <c r="L156" s="11" t="str">
        <f t="shared" si="28"/>
        <v/>
      </c>
      <c r="M156" s="11" t="str">
        <f t="shared" si="29"/>
        <v/>
      </c>
      <c r="N156" s="11">
        <f>VLOOKUP(B156,'Deportivo Fénix'!$B$4:$G$18,5,FALSE)</f>
        <v>0</v>
      </c>
      <c r="O156" s="11" t="str">
        <f>IF(N156&gt;0,RANK(N156,$N$2:$N$240)+COUNTIF($N$2:N156,N156)-1,"")</f>
        <v/>
      </c>
      <c r="P156" s="11" t="str">
        <f t="shared" si="30"/>
        <v/>
      </c>
      <c r="Q156" s="11" t="str">
        <f t="shared" si="31"/>
        <v/>
      </c>
      <c r="R156" s="11" t="str">
        <f t="shared" si="32"/>
        <v/>
      </c>
      <c r="S156" s="11">
        <f>VLOOKUP(B156,'Deportivo Fénix'!$B$4:$G$18,6,FALSE)</f>
        <v>2</v>
      </c>
      <c r="T156" s="11" t="e">
        <f>IF(S156&gt;0,RANK(S156,$S$2:$S$240)+COUNTIF($S$2:S156,S156)-1,"")</f>
        <v>#N/A</v>
      </c>
      <c r="U156" s="11" t="str">
        <f t="shared" si="33"/>
        <v/>
      </c>
      <c r="V156" s="11" t="str">
        <f t="shared" si="34"/>
        <v/>
      </c>
      <c r="W156" s="11" t="str">
        <f t="shared" si="35"/>
        <v/>
      </c>
    </row>
    <row r="157" spans="1:23" x14ac:dyDescent="0.25">
      <c r="A157" s="17">
        <v>156</v>
      </c>
      <c r="B157" s="18" t="str">
        <f>Jugadores!K8</f>
        <v xml:space="preserve">José Cantero </v>
      </c>
      <c r="C157" s="17" t="str">
        <f>+Jugadores!$K$2</f>
        <v>Deportivo Fénix</v>
      </c>
      <c r="D157" s="11">
        <f>VLOOKUP(B157,'Deportivo Fénix'!$B$4:$G$18,3,FALSE)</f>
        <v>1</v>
      </c>
      <c r="E157" s="11">
        <f>IF(D157&gt;0,RANK(D157,$D$2:$D$241)+COUNTIF($D$2:D157,D157)-1,"")</f>
        <v>164</v>
      </c>
      <c r="F157" s="11" t="str">
        <f t="shared" si="24"/>
        <v>Francisco Angulo</v>
      </c>
      <c r="G157" s="11" t="str">
        <f t="shared" si="25"/>
        <v>Amenadim</v>
      </c>
      <c r="H157" s="36">
        <f t="shared" si="26"/>
        <v>1</v>
      </c>
      <c r="I157" s="11">
        <f>VLOOKUP(B157,'Deportivo Fénix'!$B$4:$G$18,4,FALSE)</f>
        <v>0</v>
      </c>
      <c r="J157" s="11" t="str">
        <f>IF(I157&gt;0,RANK(I157,$I$2:$I$240)+COUNTIF($I$2:I157,I157)-1,"")</f>
        <v/>
      </c>
      <c r="K157" s="11" t="str">
        <f t="shared" si="27"/>
        <v/>
      </c>
      <c r="L157" s="11" t="str">
        <f t="shared" si="28"/>
        <v/>
      </c>
      <c r="M157" s="11" t="str">
        <f t="shared" si="29"/>
        <v/>
      </c>
      <c r="N157" s="11">
        <f>VLOOKUP(B157,'Deportivo Fénix'!$B$4:$G$18,5,FALSE)</f>
        <v>0</v>
      </c>
      <c r="O157" s="11" t="str">
        <f>IF(N157&gt;0,RANK(N157,$N$2:$N$240)+COUNTIF($N$2:N157,N157)-1,"")</f>
        <v/>
      </c>
      <c r="P157" s="11" t="str">
        <f t="shared" si="30"/>
        <v/>
      </c>
      <c r="Q157" s="11" t="str">
        <f t="shared" si="31"/>
        <v/>
      </c>
      <c r="R157" s="11" t="str">
        <f t="shared" si="32"/>
        <v/>
      </c>
      <c r="S157" s="11">
        <f>VLOOKUP(B157,'Deportivo Fénix'!$B$4:$G$18,6,FALSE)</f>
        <v>0</v>
      </c>
      <c r="T157" s="11" t="str">
        <f>IF(S157&gt;0,RANK(S157,$S$2:$S$240)+COUNTIF($S$2:S157,S157)-1,"")</f>
        <v/>
      </c>
      <c r="U157" s="11" t="str">
        <f t="shared" si="33"/>
        <v/>
      </c>
      <c r="V157" s="11" t="str">
        <f t="shared" si="34"/>
        <v/>
      </c>
      <c r="W157" s="11" t="str">
        <f t="shared" si="35"/>
        <v/>
      </c>
    </row>
    <row r="158" spans="1:23" x14ac:dyDescent="0.25">
      <c r="A158" s="17">
        <v>157</v>
      </c>
      <c r="B158" s="18" t="str">
        <f>Jugadores!K9</f>
        <v xml:space="preserve">Amín Ortega </v>
      </c>
      <c r="C158" s="17" t="str">
        <f>+Jugadores!$K$2</f>
        <v>Deportivo Fénix</v>
      </c>
      <c r="D158" s="11">
        <f>VLOOKUP(B158,'Deportivo Fénix'!$B$4:$G$18,3,FALSE)</f>
        <v>2</v>
      </c>
      <c r="E158" s="11">
        <f>IF(D158&gt;0,RANK(D158,$D$2:$D$241)+COUNTIF($D$2:D158,D158)-1,"")</f>
        <v>126</v>
      </c>
      <c r="F158" s="11" t="str">
        <f t="shared" si="24"/>
        <v xml:space="preserve">Juan Pablo Valencia </v>
      </c>
      <c r="G158" s="11" t="str">
        <f t="shared" si="25"/>
        <v>Hojas Anchas</v>
      </c>
      <c r="H158" s="36">
        <f t="shared" si="26"/>
        <v>1</v>
      </c>
      <c r="I158" s="11">
        <f>VLOOKUP(B158,'Deportivo Fénix'!$B$4:$G$18,4,FALSE)</f>
        <v>0</v>
      </c>
      <c r="J158" s="11" t="str">
        <f>IF(I158&gt;0,RANK(I158,$I$2:$I$240)+COUNTIF($I$2:I158,I158)-1,"")</f>
        <v/>
      </c>
      <c r="K158" s="11" t="str">
        <f t="shared" si="27"/>
        <v/>
      </c>
      <c r="L158" s="11" t="str">
        <f t="shared" si="28"/>
        <v/>
      </c>
      <c r="M158" s="11" t="str">
        <f t="shared" si="29"/>
        <v/>
      </c>
      <c r="N158" s="11">
        <f>VLOOKUP(B158,'Deportivo Fénix'!$B$4:$G$18,5,FALSE)</f>
        <v>0</v>
      </c>
      <c r="O158" s="11" t="str">
        <f>IF(N158&gt;0,RANK(N158,$N$2:$N$240)+COUNTIF($N$2:N158,N158)-1,"")</f>
        <v/>
      </c>
      <c r="P158" s="11" t="str">
        <f t="shared" si="30"/>
        <v/>
      </c>
      <c r="Q158" s="11" t="str">
        <f t="shared" si="31"/>
        <v/>
      </c>
      <c r="R158" s="11" t="str">
        <f t="shared" si="32"/>
        <v/>
      </c>
      <c r="S158" s="11">
        <f>VLOOKUP(B158,'Deportivo Fénix'!$B$4:$G$18,6,FALSE)</f>
        <v>0</v>
      </c>
      <c r="T158" s="11" t="str">
        <f>IF(S158&gt;0,RANK(S158,$S$2:$S$240)+COUNTIF($S$2:S158,S158)-1,"")</f>
        <v/>
      </c>
      <c r="U158" s="11" t="str">
        <f t="shared" si="33"/>
        <v/>
      </c>
      <c r="V158" s="11" t="str">
        <f t="shared" si="34"/>
        <v/>
      </c>
      <c r="W158" s="11" t="str">
        <f t="shared" si="35"/>
        <v/>
      </c>
    </row>
    <row r="159" spans="1:23" x14ac:dyDescent="0.25">
      <c r="A159" s="17">
        <v>158</v>
      </c>
      <c r="B159" s="18" t="str">
        <f>Jugadores!K10</f>
        <v>Sebastián Zapata</v>
      </c>
      <c r="C159" s="17" t="str">
        <f>+Jugadores!$K$2</f>
        <v>Deportivo Fénix</v>
      </c>
      <c r="D159" s="11">
        <f>VLOOKUP(B159,'Deportivo Fénix'!$B$4:$G$18,3,FALSE)</f>
        <v>4</v>
      </c>
      <c r="E159" s="11">
        <f>IF(D159&gt;0,RANK(D159,$D$2:$D$241)+COUNTIF($D$2:D159,D159)-1,"")</f>
        <v>86</v>
      </c>
      <c r="F159" s="11" t="str">
        <f t="shared" si="24"/>
        <v>Alejandro Acevedo</v>
      </c>
      <c r="G159" s="11" t="str">
        <f t="shared" si="25"/>
        <v>Valentín FC</v>
      </c>
      <c r="H159" s="36">
        <f t="shared" si="26"/>
        <v>1</v>
      </c>
      <c r="I159" s="11">
        <f>VLOOKUP(B159,'Deportivo Fénix'!$B$4:$G$18,4,FALSE)</f>
        <v>1</v>
      </c>
      <c r="J159" s="11">
        <f>IF(I159&gt;0,RANK(I159,$I$2:$I$240)+COUNTIF($I$2:I159,I159)-1,"")</f>
        <v>115</v>
      </c>
      <c r="K159" s="11" t="str">
        <f t="shared" si="27"/>
        <v/>
      </c>
      <c r="L159" s="11" t="str">
        <f t="shared" si="28"/>
        <v/>
      </c>
      <c r="M159" s="11" t="str">
        <f t="shared" si="29"/>
        <v/>
      </c>
      <c r="N159" s="11">
        <f>VLOOKUP(B159,'Deportivo Fénix'!$B$4:$G$18,5,FALSE)</f>
        <v>0</v>
      </c>
      <c r="O159" s="11" t="str">
        <f>IF(N159&gt;0,RANK(N159,$N$2:$N$240)+COUNTIF($N$2:N159,N159)-1,"")</f>
        <v/>
      </c>
      <c r="P159" s="11" t="str">
        <f t="shared" si="30"/>
        <v/>
      </c>
      <c r="Q159" s="11" t="str">
        <f t="shared" si="31"/>
        <v/>
      </c>
      <c r="R159" s="11" t="str">
        <f t="shared" si="32"/>
        <v/>
      </c>
      <c r="S159" s="11">
        <f>VLOOKUP(B159,'Deportivo Fénix'!$B$4:$G$18,6,FALSE)</f>
        <v>0</v>
      </c>
      <c r="T159" s="11" t="str">
        <f>IF(S159&gt;0,RANK(S159,$S$2:$S$240)+COUNTIF($S$2:S159,S159)-1,"")</f>
        <v/>
      </c>
      <c r="U159" s="11" t="str">
        <f t="shared" si="33"/>
        <v/>
      </c>
      <c r="V159" s="11" t="str">
        <f t="shared" si="34"/>
        <v/>
      </c>
      <c r="W159" s="11" t="str">
        <f t="shared" si="35"/>
        <v/>
      </c>
    </row>
    <row r="160" spans="1:23" x14ac:dyDescent="0.25">
      <c r="A160" s="17">
        <v>159</v>
      </c>
      <c r="B160" s="18" t="str">
        <f>Jugadores!K11</f>
        <v xml:space="preserve">Joaquín Marín </v>
      </c>
      <c r="C160" s="17" t="str">
        <f>+Jugadores!$K$2</f>
        <v>Deportivo Fénix</v>
      </c>
      <c r="D160" s="11">
        <f>VLOOKUP(B160,'Deportivo Fénix'!$B$4:$G$18,3,FALSE)</f>
        <v>1</v>
      </c>
      <c r="E160" s="11">
        <f>IF(D160&gt;0,RANK(D160,$D$2:$D$241)+COUNTIF($D$2:D160,D160)-1,"")</f>
        <v>165</v>
      </c>
      <c r="F160" s="11" t="str">
        <f t="shared" si="24"/>
        <v>Victor Sierra</v>
      </c>
      <c r="G160" s="11" t="str">
        <f t="shared" si="25"/>
        <v>Valentín FC</v>
      </c>
      <c r="H160" s="36">
        <f t="shared" si="26"/>
        <v>1</v>
      </c>
      <c r="I160" s="11">
        <f>VLOOKUP(B160,'Deportivo Fénix'!$B$4:$G$18,4,FALSE)</f>
        <v>0</v>
      </c>
      <c r="J160" s="11" t="str">
        <f>IF(I160&gt;0,RANK(I160,$I$2:$I$240)+COUNTIF($I$2:I160,I160)-1,"")</f>
        <v/>
      </c>
      <c r="K160" s="11" t="str">
        <f t="shared" si="27"/>
        <v/>
      </c>
      <c r="L160" s="11" t="str">
        <f t="shared" si="28"/>
        <v/>
      </c>
      <c r="M160" s="11" t="str">
        <f t="shared" si="29"/>
        <v/>
      </c>
      <c r="N160" s="11">
        <f>VLOOKUP(B160,'Deportivo Fénix'!$B$4:$G$18,5,FALSE)</f>
        <v>0</v>
      </c>
      <c r="O160" s="11" t="str">
        <f>IF(N160&gt;0,RANK(N160,$N$2:$N$240)+COUNTIF($N$2:N160,N160)-1,"")</f>
        <v/>
      </c>
      <c r="P160" s="11" t="str">
        <f t="shared" si="30"/>
        <v/>
      </c>
      <c r="Q160" s="11" t="str">
        <f t="shared" si="31"/>
        <v/>
      </c>
      <c r="R160" s="11" t="str">
        <f t="shared" si="32"/>
        <v/>
      </c>
      <c r="S160" s="11">
        <f>VLOOKUP(B160,'Deportivo Fénix'!$B$4:$G$18,6,FALSE)</f>
        <v>0</v>
      </c>
      <c r="T160" s="11" t="str">
        <f>IF(S160&gt;0,RANK(S160,$S$2:$S$240)+COUNTIF($S$2:S160,S160)-1,"")</f>
        <v/>
      </c>
      <c r="U160" s="11" t="str">
        <f t="shared" si="33"/>
        <v/>
      </c>
      <c r="V160" s="11" t="str">
        <f t="shared" si="34"/>
        <v/>
      </c>
      <c r="W160" s="11" t="str">
        <f t="shared" si="35"/>
        <v/>
      </c>
    </row>
    <row r="161" spans="1:23" x14ac:dyDescent="0.25">
      <c r="A161" s="17">
        <v>160</v>
      </c>
      <c r="B161" s="18" t="str">
        <f>Jugadores!K12</f>
        <v xml:space="preserve">Héctor Gallego </v>
      </c>
      <c r="C161" s="17" t="str">
        <f>+Jugadores!$K$2</f>
        <v>Deportivo Fénix</v>
      </c>
      <c r="D161" s="11">
        <f>VLOOKUP(B161,'Deportivo Fénix'!$B$4:$G$18,3,FALSE)</f>
        <v>1</v>
      </c>
      <c r="E161" s="11">
        <f>IF(D161&gt;0,RANK(D161,$D$2:$D$241)+COUNTIF($D$2:D161,D161)-1,"")</f>
        <v>166</v>
      </c>
      <c r="F161" s="11" t="str">
        <f t="shared" si="24"/>
        <v>Silvio Celins</v>
      </c>
      <c r="G161" s="11" t="str">
        <f t="shared" si="25"/>
        <v>Boca Juniors</v>
      </c>
      <c r="H161" s="36">
        <f t="shared" si="26"/>
        <v>1</v>
      </c>
      <c r="I161" s="11">
        <f>VLOOKUP(B161,'Deportivo Fénix'!$B$4:$G$18,4,FALSE)</f>
        <v>0</v>
      </c>
      <c r="J161" s="11" t="str">
        <f>IF(I161&gt;0,RANK(I161,$I$2:$I$240)+COUNTIF($I$2:I161,I161)-1,"")</f>
        <v/>
      </c>
      <c r="K161" s="11" t="str">
        <f t="shared" si="27"/>
        <v/>
      </c>
      <c r="L161" s="11" t="str">
        <f t="shared" si="28"/>
        <v/>
      </c>
      <c r="M161" s="11" t="str">
        <f t="shared" si="29"/>
        <v/>
      </c>
      <c r="N161" s="11">
        <f>VLOOKUP(B161,'Deportivo Fénix'!$B$4:$G$18,5,FALSE)</f>
        <v>0</v>
      </c>
      <c r="O161" s="11" t="str">
        <f>IF(N161&gt;0,RANK(N161,$N$2:$N$240)+COUNTIF($N$2:N161,N161)-1,"")</f>
        <v/>
      </c>
      <c r="P161" s="11" t="str">
        <f t="shared" si="30"/>
        <v/>
      </c>
      <c r="Q161" s="11" t="str">
        <f t="shared" si="31"/>
        <v/>
      </c>
      <c r="R161" s="11" t="str">
        <f t="shared" si="32"/>
        <v/>
      </c>
      <c r="S161" s="11">
        <f>VLOOKUP(B161,'Deportivo Fénix'!$B$4:$G$18,6,FALSE)</f>
        <v>0</v>
      </c>
      <c r="T161" s="11" t="str">
        <f>IF(S161&gt;0,RANK(S161,$S$2:$S$240)+COUNTIF($S$2:S161,S161)-1,"")</f>
        <v/>
      </c>
      <c r="U161" s="11" t="str">
        <f t="shared" si="33"/>
        <v/>
      </c>
      <c r="V161" s="11" t="str">
        <f t="shared" si="34"/>
        <v/>
      </c>
      <c r="W161" s="11" t="str">
        <f t="shared" si="35"/>
        <v/>
      </c>
    </row>
    <row r="162" spans="1:23" x14ac:dyDescent="0.25">
      <c r="A162" s="17">
        <v>161</v>
      </c>
      <c r="B162" s="18" t="str">
        <f>Jugadores!K13</f>
        <v>Eduardo Miche</v>
      </c>
      <c r="C162" s="17" t="str">
        <f>+Jugadores!$K$2</f>
        <v>Deportivo Fénix</v>
      </c>
      <c r="D162" s="11">
        <f>VLOOKUP(B162,'Deportivo Fénix'!$B$4:$G$18,3,FALSE)</f>
        <v>2</v>
      </c>
      <c r="E162" s="11">
        <f>IF(D162&gt;0,RANK(D162,$D$2:$D$241)+COUNTIF($D$2:D162,D162)-1,"")</f>
        <v>127</v>
      </c>
      <c r="F162" s="11" t="str">
        <f t="shared" si="24"/>
        <v>Oscar Torín</v>
      </c>
      <c r="G162" s="11" t="str">
        <f t="shared" si="25"/>
        <v>Boca Juniors</v>
      </c>
      <c r="H162" s="36">
        <f t="shared" si="26"/>
        <v>1</v>
      </c>
      <c r="I162" s="11">
        <f>VLOOKUP(B162,'Deportivo Fénix'!$B$4:$G$18,4,FALSE)</f>
        <v>0</v>
      </c>
      <c r="J162" s="11" t="str">
        <f>IF(I162&gt;0,RANK(I162,$I$2:$I$240)+COUNTIF($I$2:I162,I162)-1,"")</f>
        <v/>
      </c>
      <c r="K162" s="11" t="str">
        <f t="shared" si="27"/>
        <v/>
      </c>
      <c r="L162" s="11" t="str">
        <f t="shared" si="28"/>
        <v/>
      </c>
      <c r="M162" s="11" t="str">
        <f t="shared" si="29"/>
        <v/>
      </c>
      <c r="N162" s="11">
        <f>VLOOKUP(B162,'Deportivo Fénix'!$B$4:$G$18,5,FALSE)</f>
        <v>2</v>
      </c>
      <c r="O162" s="11" t="e">
        <f>IF(N162&gt;0,RANK(N162,$N$2:$N$240)+COUNTIF($N$2:N162,N162)-1,"")</f>
        <v>#N/A</v>
      </c>
      <c r="P162" s="11" t="str">
        <f t="shared" si="30"/>
        <v/>
      </c>
      <c r="Q162" s="11" t="str">
        <f t="shared" si="31"/>
        <v/>
      </c>
      <c r="R162" s="11" t="str">
        <f t="shared" si="32"/>
        <v/>
      </c>
      <c r="S162" s="11">
        <f>VLOOKUP(B162,'Deportivo Fénix'!$B$4:$G$18,6,FALSE)</f>
        <v>0</v>
      </c>
      <c r="T162" s="11" t="str">
        <f>IF(S162&gt;0,RANK(S162,$S$2:$S$240)+COUNTIF($S$2:S162,S162)-1,"")</f>
        <v/>
      </c>
      <c r="U162" s="11" t="str">
        <f t="shared" si="33"/>
        <v/>
      </c>
      <c r="V162" s="11" t="str">
        <f t="shared" si="34"/>
        <v/>
      </c>
      <c r="W162" s="11" t="str">
        <f t="shared" si="35"/>
        <v/>
      </c>
    </row>
    <row r="163" spans="1:23" x14ac:dyDescent="0.25">
      <c r="A163" s="17">
        <v>162</v>
      </c>
      <c r="B163" s="18" t="str">
        <f>Jugadores!K14</f>
        <v xml:space="preserve">Dorlys Torres </v>
      </c>
      <c r="C163" s="17" t="str">
        <f>+Jugadores!$K$2</f>
        <v>Deportivo Fénix</v>
      </c>
      <c r="D163" s="11">
        <f>VLOOKUP(B163,'Deportivo Fénix'!$B$4:$G$18,3,FALSE)</f>
        <v>2</v>
      </c>
      <c r="E163" s="11">
        <f>IF(D163&gt;0,RANK(D163,$D$2:$D$241)+COUNTIF($D$2:D163,D163)-1,"")</f>
        <v>128</v>
      </c>
      <c r="F163" s="11" t="str">
        <f t="shared" si="24"/>
        <v>Segundo Polo</v>
      </c>
      <c r="G163" s="11" t="str">
        <f t="shared" si="25"/>
        <v>Boca Juniors</v>
      </c>
      <c r="H163" s="36">
        <f t="shared" si="26"/>
        <v>1</v>
      </c>
      <c r="I163" s="11">
        <f>VLOOKUP(B163,'Deportivo Fénix'!$B$4:$G$18,4,FALSE)</f>
        <v>0</v>
      </c>
      <c r="J163" s="11" t="str">
        <f>IF(I163&gt;0,RANK(I163,$I$2:$I$240)+COUNTIF($I$2:I163,I163)-1,"")</f>
        <v/>
      </c>
      <c r="K163" s="11" t="str">
        <f t="shared" si="27"/>
        <v/>
      </c>
      <c r="L163" s="11" t="str">
        <f t="shared" si="28"/>
        <v/>
      </c>
      <c r="M163" s="11" t="str">
        <f t="shared" si="29"/>
        <v/>
      </c>
      <c r="N163" s="11">
        <f>VLOOKUP(B163,'Deportivo Fénix'!$B$4:$G$18,5,FALSE)</f>
        <v>1</v>
      </c>
      <c r="O163" s="11" t="e">
        <f>IF(N163&gt;0,RANK(N163,$N$2:$N$240)+COUNTIF($N$2:N163,N163)-1,"")</f>
        <v>#N/A</v>
      </c>
      <c r="P163" s="11" t="str">
        <f t="shared" si="30"/>
        <v/>
      </c>
      <c r="Q163" s="11" t="str">
        <f t="shared" si="31"/>
        <v/>
      </c>
      <c r="R163" s="11" t="str">
        <f t="shared" si="32"/>
        <v/>
      </c>
      <c r="S163" s="11">
        <f>VLOOKUP(B163,'Deportivo Fénix'!$B$4:$G$18,6,FALSE)</f>
        <v>0</v>
      </c>
      <c r="T163" s="11" t="str">
        <f>IF(S163&gt;0,RANK(S163,$S$2:$S$240)+COUNTIF($S$2:S163,S163)-1,"")</f>
        <v/>
      </c>
      <c r="U163" s="11" t="str">
        <f t="shared" si="33"/>
        <v/>
      </c>
      <c r="V163" s="11" t="str">
        <f t="shared" si="34"/>
        <v/>
      </c>
      <c r="W163" s="11" t="str">
        <f t="shared" si="35"/>
        <v/>
      </c>
    </row>
    <row r="164" spans="1:23" x14ac:dyDescent="0.25">
      <c r="A164" s="17">
        <v>163</v>
      </c>
      <c r="B164" s="18" t="str">
        <f>Jugadores!K15</f>
        <v>Leider Padilla</v>
      </c>
      <c r="C164" s="17" t="str">
        <f>+Jugadores!$K$2</f>
        <v>Deportivo Fénix</v>
      </c>
      <c r="D164" s="11">
        <f>VLOOKUP(B164,'Deportivo Fénix'!$B$4:$G$18,3,FALSE)</f>
        <v>2</v>
      </c>
      <c r="E164" s="11">
        <f>IF(D164&gt;0,RANK(D164,$D$2:$D$241)+COUNTIF($D$2:D164,D164)-1,"")</f>
        <v>129</v>
      </c>
      <c r="F164" s="11" t="str">
        <f t="shared" si="24"/>
        <v>Jorge Mayo</v>
      </c>
      <c r="G164" s="11" t="str">
        <f t="shared" si="25"/>
        <v>Deportivo Fénix</v>
      </c>
      <c r="H164" s="36">
        <f t="shared" si="26"/>
        <v>1</v>
      </c>
      <c r="I164" s="11">
        <f>VLOOKUP(B164,'Deportivo Fénix'!$B$4:$G$18,4,FALSE)</f>
        <v>0</v>
      </c>
      <c r="J164" s="11" t="str">
        <f>IF(I164&gt;0,RANK(I164,$I$2:$I$240)+COUNTIF($I$2:I164,I164)-1,"")</f>
        <v/>
      </c>
      <c r="K164" s="11" t="str">
        <f t="shared" si="27"/>
        <v/>
      </c>
      <c r="L164" s="11" t="str">
        <f t="shared" si="28"/>
        <v/>
      </c>
      <c r="M164" s="11" t="str">
        <f t="shared" si="29"/>
        <v/>
      </c>
      <c r="N164" s="11">
        <f>VLOOKUP(B164,'Deportivo Fénix'!$B$4:$G$18,5,FALSE)</f>
        <v>0</v>
      </c>
      <c r="O164" s="11" t="str">
        <f>IF(N164&gt;0,RANK(N164,$N$2:$N$240)+COUNTIF($N$2:N164,N164)-1,"")</f>
        <v/>
      </c>
      <c r="P164" s="11" t="str">
        <f t="shared" si="30"/>
        <v/>
      </c>
      <c r="Q164" s="11" t="str">
        <f t="shared" si="31"/>
        <v/>
      </c>
      <c r="R164" s="11" t="str">
        <f t="shared" si="32"/>
        <v/>
      </c>
      <c r="S164" s="11">
        <f>VLOOKUP(B164,'Deportivo Fénix'!$B$4:$G$18,6,FALSE)</f>
        <v>0</v>
      </c>
      <c r="T164" s="11" t="str">
        <f>IF(S164&gt;0,RANK(S164,$S$2:$S$240)+COUNTIF($S$2:S164,S164)-1,"")</f>
        <v/>
      </c>
      <c r="U164" s="11" t="str">
        <f t="shared" si="33"/>
        <v/>
      </c>
      <c r="V164" s="11" t="str">
        <f t="shared" si="34"/>
        <v/>
      </c>
      <c r="W164" s="11" t="str">
        <f t="shared" si="35"/>
        <v/>
      </c>
    </row>
    <row r="165" spans="1:23" s="25" customFormat="1" x14ac:dyDescent="0.25">
      <c r="A165" s="17">
        <v>164</v>
      </c>
      <c r="B165" s="18" t="str">
        <f>Jugadores!K16</f>
        <v>Jhonatan Zuleta</v>
      </c>
      <c r="C165" s="17" t="str">
        <f>+Jugadores!$K$2</f>
        <v>Deportivo Fénix</v>
      </c>
      <c r="D165" s="11">
        <f>VLOOKUP(B165,'Deportivo Fénix'!$B$4:$G$18,3,FALSE)</f>
        <v>13</v>
      </c>
      <c r="E165" s="11">
        <f>IF(D165&gt;0,RANK(D165,$D$2:$D$241)+COUNTIF($D$2:D165,D165)-1,"")</f>
        <v>18</v>
      </c>
      <c r="F165" s="11" t="str">
        <f t="shared" si="24"/>
        <v xml:space="preserve">José Cantero </v>
      </c>
      <c r="G165" s="11" t="str">
        <f t="shared" si="25"/>
        <v>Deportivo Fénix</v>
      </c>
      <c r="H165" s="36">
        <f t="shared" si="26"/>
        <v>1</v>
      </c>
      <c r="I165" s="11">
        <f>VLOOKUP(B165,'Deportivo Fénix'!$B$4:$G$18,4,FALSE)</f>
        <v>0</v>
      </c>
      <c r="J165" s="11" t="str">
        <f>IF(I165&gt;0,RANK(I165,$I$2:$I$240)+COUNTIF($I$2:I165,I165)-1,"")</f>
        <v/>
      </c>
      <c r="K165" s="11" t="str">
        <f t="shared" si="27"/>
        <v/>
      </c>
      <c r="L165" s="11" t="str">
        <f t="shared" si="28"/>
        <v/>
      </c>
      <c r="M165" s="11" t="str">
        <f t="shared" si="29"/>
        <v/>
      </c>
      <c r="N165" s="11">
        <f>VLOOKUP(B165,'Deportivo Fénix'!$B$4:$G$18,5,FALSE)</f>
        <v>5</v>
      </c>
      <c r="O165" s="11" t="e">
        <f>IF(N165&gt;0,RANK(N165,$N$2:$N$240)+COUNTIF($N$2:N165,N165)-1,"")</f>
        <v>#N/A</v>
      </c>
      <c r="P165" s="11" t="str">
        <f t="shared" si="30"/>
        <v/>
      </c>
      <c r="Q165" s="11" t="str">
        <f t="shared" si="31"/>
        <v/>
      </c>
      <c r="R165" s="11" t="str">
        <f t="shared" si="32"/>
        <v/>
      </c>
      <c r="S165" s="11">
        <f>VLOOKUP(B165,'Deportivo Fénix'!$B$4:$G$18,6,FALSE)</f>
        <v>0</v>
      </c>
      <c r="T165" s="11" t="str">
        <f>IF(S165&gt;0,RANK(S165,$S$2:$S$240)+COUNTIF($S$2:S165,S165)-1,"")</f>
        <v/>
      </c>
      <c r="U165" s="11" t="str">
        <f t="shared" si="33"/>
        <v/>
      </c>
      <c r="V165" s="11" t="str">
        <f t="shared" si="34"/>
        <v/>
      </c>
      <c r="W165" s="11" t="str">
        <f t="shared" si="35"/>
        <v/>
      </c>
    </row>
    <row r="166" spans="1:23" x14ac:dyDescent="0.25">
      <c r="A166" s="17">
        <v>165</v>
      </c>
      <c r="B166" s="18" t="str">
        <f>Jugadores!K17</f>
        <v>Aldo Rangel</v>
      </c>
      <c r="C166" s="17" t="str">
        <f>+Jugadores!$K$2</f>
        <v>Deportivo Fénix</v>
      </c>
      <c r="D166" s="11">
        <f>VLOOKUP(B166,'Deportivo Fénix'!$B$4:$G$18,3,FALSE)</f>
        <v>1</v>
      </c>
      <c r="E166" s="11">
        <f>IF(D166&gt;0,RANK(D166,$D$2:$D$241)+COUNTIF($D$2:D166,D166)-1,"")</f>
        <v>167</v>
      </c>
      <c r="F166" s="11" t="str">
        <f t="shared" si="24"/>
        <v xml:space="preserve">Joaquín Marín </v>
      </c>
      <c r="G166" s="11" t="str">
        <f t="shared" si="25"/>
        <v>Deportivo Fénix</v>
      </c>
      <c r="H166" s="36">
        <f t="shared" si="26"/>
        <v>1</v>
      </c>
      <c r="I166" s="11">
        <f>VLOOKUP(B166,'Deportivo Fénix'!$B$4:$G$18,4,FALSE)</f>
        <v>3</v>
      </c>
      <c r="J166" s="11">
        <f>IF(I166&gt;0,RANK(I166,$I$2:$I$240)+COUNTIF($I$2:I166,I166)-1,"")</f>
        <v>30</v>
      </c>
      <c r="K166" s="11" t="str">
        <f t="shared" si="27"/>
        <v/>
      </c>
      <c r="L166" s="11" t="str">
        <f t="shared" si="28"/>
        <v/>
      </c>
      <c r="M166" s="11" t="str">
        <f t="shared" si="29"/>
        <v/>
      </c>
      <c r="N166" s="11">
        <f>VLOOKUP(B166,'Deportivo Fénix'!$B$4:$G$18,5,FALSE)</f>
        <v>0</v>
      </c>
      <c r="O166" s="11" t="str">
        <f>IF(N166&gt;0,RANK(N166,$N$2:$N$240)+COUNTIF($N$2:N166,N166)-1,"")</f>
        <v/>
      </c>
      <c r="P166" s="11" t="str">
        <f t="shared" si="30"/>
        <v/>
      </c>
      <c r="Q166" s="11" t="str">
        <f t="shared" si="31"/>
        <v/>
      </c>
      <c r="R166" s="11" t="str">
        <f t="shared" si="32"/>
        <v/>
      </c>
      <c r="S166" s="11">
        <f>VLOOKUP(B166,'Deportivo Fénix'!$B$4:$G$18,6,FALSE)</f>
        <v>1</v>
      </c>
      <c r="T166" s="11" t="e">
        <f>IF(S166&gt;0,RANK(S166,$S$2:$S$240)+COUNTIF($S$2:S166,S166)-1,"")</f>
        <v>#N/A</v>
      </c>
      <c r="U166" s="11" t="str">
        <f t="shared" si="33"/>
        <v/>
      </c>
      <c r="V166" s="11" t="str">
        <f t="shared" si="34"/>
        <v/>
      </c>
      <c r="W166" s="11" t="str">
        <f t="shared" si="35"/>
        <v/>
      </c>
    </row>
    <row r="167" spans="1:23" x14ac:dyDescent="0.25">
      <c r="A167" s="17">
        <v>166</v>
      </c>
      <c r="B167" s="18" t="str">
        <f>Jugadores!L3</f>
        <v>Dandy Diaz</v>
      </c>
      <c r="C167" s="17" t="str">
        <f>+Jugadores!$L$2</f>
        <v>Rayos FC</v>
      </c>
      <c r="D167" s="11">
        <f>VLOOKUP(B167,'Rayos FC'!$B$4:$G$18,3,FALSE)</f>
        <v>1</v>
      </c>
      <c r="E167" s="11">
        <f>IF(D167&gt;0,RANK(D167,$D$2:$D$241)+COUNTIF($D$2:D167,D167)-1,"")</f>
        <v>168</v>
      </c>
      <c r="F167" s="11" t="str">
        <f t="shared" si="24"/>
        <v xml:space="preserve">Héctor Gallego </v>
      </c>
      <c r="G167" s="11" t="str">
        <f t="shared" si="25"/>
        <v>Deportivo Fénix</v>
      </c>
      <c r="H167" s="36">
        <f t="shared" si="26"/>
        <v>1</v>
      </c>
      <c r="I167" s="11">
        <f>VLOOKUP(B167,'Rayos FC'!$B$4:$G$18,4,FALSE)</f>
        <v>0</v>
      </c>
      <c r="J167" s="11" t="str">
        <f>IF(I167&gt;0,RANK(I167,$I$2:$I$240)+COUNTIF($I$2:I167,I167)-1,"")</f>
        <v/>
      </c>
      <c r="K167" s="11" t="str">
        <f t="shared" si="27"/>
        <v/>
      </c>
      <c r="L167" s="11" t="str">
        <f t="shared" si="28"/>
        <v/>
      </c>
      <c r="M167" s="11" t="str">
        <f t="shared" si="29"/>
        <v/>
      </c>
      <c r="N167" s="11">
        <f>VLOOKUP(B167,'Rayos FC'!$B$4:$G$18,5,FALSE)</f>
        <v>0</v>
      </c>
      <c r="O167" s="11" t="str">
        <f>IF(N167&gt;0,RANK(N167,$N$2:$N$240)+COUNTIF($N$2:N167,N167)-1,"")</f>
        <v/>
      </c>
      <c r="P167" s="11" t="str">
        <f t="shared" si="30"/>
        <v/>
      </c>
      <c r="Q167" s="11" t="str">
        <f t="shared" si="31"/>
        <v/>
      </c>
      <c r="R167" s="11" t="str">
        <f t="shared" si="32"/>
        <v/>
      </c>
      <c r="S167" s="11">
        <f>VLOOKUP(B167,'Rayos FC'!$B$4:$G$18,6,FALSE)</f>
        <v>0</v>
      </c>
      <c r="T167" s="11" t="str">
        <f>IF(S167&gt;0,RANK(S167,$S$2:$S$240)+COUNTIF($S$2:S167,S167)-1,"")</f>
        <v/>
      </c>
      <c r="U167" s="11" t="str">
        <f t="shared" si="33"/>
        <v/>
      </c>
      <c r="V167" s="11" t="str">
        <f t="shared" si="34"/>
        <v/>
      </c>
      <c r="W167" s="11" t="str">
        <f t="shared" si="35"/>
        <v/>
      </c>
    </row>
    <row r="168" spans="1:23" x14ac:dyDescent="0.25">
      <c r="A168" s="17">
        <v>167</v>
      </c>
      <c r="B168" s="18" t="str">
        <f>Jugadores!L4</f>
        <v>Jesús Batista</v>
      </c>
      <c r="C168" s="17" t="str">
        <f>+Jugadores!$L$2</f>
        <v>Rayos FC</v>
      </c>
      <c r="D168" s="11">
        <f>VLOOKUP(B168,'Rayos FC'!$B$4:$G$18,3,FALSE)</f>
        <v>2</v>
      </c>
      <c r="E168" s="11">
        <f>IF(D168&gt;0,RANK(D168,$D$2:$D$241)+COUNTIF($D$2:D168,D168)-1,"")</f>
        <v>130</v>
      </c>
      <c r="F168" s="11" t="str">
        <f t="shared" si="24"/>
        <v>Aldo Rangel</v>
      </c>
      <c r="G168" s="11" t="str">
        <f t="shared" si="25"/>
        <v>Deportivo Fénix</v>
      </c>
      <c r="H168" s="36">
        <f t="shared" si="26"/>
        <v>1</v>
      </c>
      <c r="I168" s="11">
        <f>VLOOKUP(B168,'Rayos FC'!$B$4:$G$18,4,FALSE)</f>
        <v>1</v>
      </c>
      <c r="J168" s="11">
        <f>IF(I168&gt;0,RANK(I168,$I$2:$I$240)+COUNTIF($I$2:I168,I168)-1,"")</f>
        <v>116</v>
      </c>
      <c r="K168" s="11" t="str">
        <f t="shared" si="27"/>
        <v/>
      </c>
      <c r="L168" s="11" t="str">
        <f t="shared" si="28"/>
        <v/>
      </c>
      <c r="M168" s="11" t="str">
        <f t="shared" si="29"/>
        <v/>
      </c>
      <c r="N168" s="11">
        <f>VLOOKUP(B168,'Rayos FC'!$B$4:$G$18,5,FALSE)</f>
        <v>0</v>
      </c>
      <c r="O168" s="11" t="str">
        <f>IF(N168&gt;0,RANK(N168,$N$2:$N$240)+COUNTIF($N$2:N168,N168)-1,"")</f>
        <v/>
      </c>
      <c r="P168" s="11" t="str">
        <f t="shared" si="30"/>
        <v/>
      </c>
      <c r="Q168" s="11" t="str">
        <f t="shared" si="31"/>
        <v/>
      </c>
      <c r="R168" s="11" t="str">
        <f t="shared" si="32"/>
        <v/>
      </c>
      <c r="S168" s="11">
        <f>VLOOKUP(B168,'Rayos FC'!$B$4:$G$18,6,FALSE)</f>
        <v>0</v>
      </c>
      <c r="T168" s="11" t="str">
        <f>IF(S168&gt;0,RANK(S168,$S$2:$S$240)+COUNTIF($S$2:S168,S168)-1,"")</f>
        <v/>
      </c>
      <c r="U168" s="11" t="str">
        <f t="shared" si="33"/>
        <v/>
      </c>
      <c r="V168" s="11" t="str">
        <f t="shared" si="34"/>
        <v/>
      </c>
      <c r="W168" s="11" t="str">
        <f t="shared" si="35"/>
        <v/>
      </c>
    </row>
    <row r="169" spans="1:23" x14ac:dyDescent="0.25">
      <c r="A169" s="17">
        <v>168</v>
      </c>
      <c r="B169" s="18" t="str">
        <f>Jugadores!L5</f>
        <v>Alexander Jacob</v>
      </c>
      <c r="C169" s="17" t="str">
        <f>+Jugadores!$L$2</f>
        <v>Rayos FC</v>
      </c>
      <c r="D169" s="11">
        <f>VLOOKUP(B169,'Rayos FC'!$B$4:$G$18,3,FALSE)</f>
        <v>1</v>
      </c>
      <c r="E169" s="11">
        <f>IF(D169&gt;0,RANK(D169,$D$2:$D$241)+COUNTIF($D$2:D169,D169)-1,"")</f>
        <v>169</v>
      </c>
      <c r="F169" s="11" t="str">
        <f t="shared" si="24"/>
        <v>Dandy Diaz</v>
      </c>
      <c r="G169" s="11" t="str">
        <f t="shared" si="25"/>
        <v>Rayos FC</v>
      </c>
      <c r="H169" s="36">
        <f t="shared" si="26"/>
        <v>1</v>
      </c>
      <c r="I169" s="11">
        <f>VLOOKUP(B169,'Rayos FC'!$B$4:$G$18,4,FALSE)</f>
        <v>0</v>
      </c>
      <c r="J169" s="11" t="str">
        <f>IF(I169&gt;0,RANK(I169,$I$2:$I$240)+COUNTIF($I$2:I169,I169)-1,"")</f>
        <v/>
      </c>
      <c r="K169" s="11" t="str">
        <f t="shared" si="27"/>
        <v/>
      </c>
      <c r="L169" s="11" t="str">
        <f t="shared" si="28"/>
        <v/>
      </c>
      <c r="M169" s="11" t="str">
        <f t="shared" si="29"/>
        <v/>
      </c>
      <c r="N169" s="11">
        <f>VLOOKUP(B169,'Rayos FC'!$B$4:$G$18,5,FALSE)</f>
        <v>0</v>
      </c>
      <c r="O169" s="11" t="str">
        <f>IF(N169&gt;0,RANK(N169,$N$2:$N$240)+COUNTIF($N$2:N169,N169)-1,"")</f>
        <v/>
      </c>
      <c r="P169" s="11" t="str">
        <f t="shared" si="30"/>
        <v/>
      </c>
      <c r="Q169" s="11" t="str">
        <f t="shared" si="31"/>
        <v/>
      </c>
      <c r="R169" s="11" t="str">
        <f t="shared" si="32"/>
        <v/>
      </c>
      <c r="S169" s="11">
        <f>VLOOKUP(B169,'Rayos FC'!$B$4:$G$18,6,FALSE)</f>
        <v>0</v>
      </c>
      <c r="T169" s="11" t="str">
        <f>IF(S169&gt;0,RANK(S169,$S$2:$S$240)+COUNTIF($S$2:S169,S169)-1,"")</f>
        <v/>
      </c>
      <c r="U169" s="11" t="str">
        <f t="shared" si="33"/>
        <v/>
      </c>
      <c r="V169" s="11" t="str">
        <f t="shared" si="34"/>
        <v/>
      </c>
      <c r="W169" s="11" t="str">
        <f t="shared" si="35"/>
        <v/>
      </c>
    </row>
    <row r="170" spans="1:23" x14ac:dyDescent="0.25">
      <c r="A170" s="17">
        <v>169</v>
      </c>
      <c r="B170" s="18" t="str">
        <f>Jugadores!L6</f>
        <v>Wilten Sira</v>
      </c>
      <c r="C170" s="17" t="str">
        <f>+Jugadores!$L$2</f>
        <v>Rayos FC</v>
      </c>
      <c r="D170" s="11">
        <f>VLOOKUP(B170,'Rayos FC'!$B$4:$G$18,3,FALSE)</f>
        <v>1</v>
      </c>
      <c r="E170" s="11">
        <f>IF(D170&gt;0,RANK(D170,$D$2:$D$241)+COUNTIF($D$2:D170,D170)-1,"")</f>
        <v>170</v>
      </c>
      <c r="F170" s="11" t="str">
        <f t="shared" si="24"/>
        <v>Alexander Jacob</v>
      </c>
      <c r="G170" s="11" t="str">
        <f t="shared" si="25"/>
        <v>Rayos FC</v>
      </c>
      <c r="H170" s="36">
        <f t="shared" si="26"/>
        <v>1</v>
      </c>
      <c r="I170" s="11">
        <f>VLOOKUP(B170,'Rayos FC'!$B$4:$G$18,4,FALSE)</f>
        <v>0</v>
      </c>
      <c r="J170" s="11" t="str">
        <f>IF(I170&gt;0,RANK(I170,$I$2:$I$240)+COUNTIF($I$2:I170,I170)-1,"")</f>
        <v/>
      </c>
      <c r="K170" s="11" t="str">
        <f t="shared" si="27"/>
        <v/>
      </c>
      <c r="L170" s="11" t="str">
        <f t="shared" si="28"/>
        <v/>
      </c>
      <c r="M170" s="11" t="str">
        <f t="shared" si="29"/>
        <v/>
      </c>
      <c r="N170" s="11">
        <f>VLOOKUP(B170,'Rayos FC'!$B$4:$G$18,5,FALSE)</f>
        <v>0</v>
      </c>
      <c r="O170" s="11" t="str">
        <f>IF(N170&gt;0,RANK(N170,$N$2:$N$240)+COUNTIF($N$2:N170,N170)-1,"")</f>
        <v/>
      </c>
      <c r="P170" s="11" t="str">
        <f t="shared" si="30"/>
        <v/>
      </c>
      <c r="Q170" s="11" t="str">
        <f t="shared" si="31"/>
        <v/>
      </c>
      <c r="R170" s="11" t="str">
        <f t="shared" si="32"/>
        <v/>
      </c>
      <c r="S170" s="11">
        <f>VLOOKUP(B170,'Rayos FC'!$B$4:$G$18,6,FALSE)</f>
        <v>0</v>
      </c>
      <c r="T170" s="11" t="str">
        <f>IF(S170&gt;0,RANK(S170,$S$2:$S$240)+COUNTIF($S$2:S170,S170)-1,"")</f>
        <v/>
      </c>
      <c r="U170" s="11" t="str">
        <f t="shared" si="33"/>
        <v/>
      </c>
      <c r="V170" s="11" t="str">
        <f t="shared" si="34"/>
        <v/>
      </c>
      <c r="W170" s="11" t="str">
        <f t="shared" si="35"/>
        <v/>
      </c>
    </row>
    <row r="171" spans="1:23" x14ac:dyDescent="0.25">
      <c r="A171" s="17">
        <v>170</v>
      </c>
      <c r="B171" s="18" t="str">
        <f>Jugadores!L7</f>
        <v>José Hernández</v>
      </c>
      <c r="C171" s="17" t="str">
        <f>+Jugadores!$L$2</f>
        <v>Rayos FC</v>
      </c>
      <c r="D171" s="11">
        <f>VLOOKUP(B171,'Rayos FC'!$B$4:$G$18,3,FALSE)</f>
        <v>0</v>
      </c>
      <c r="E171" s="11" t="str">
        <f>IF(D171&gt;0,RANK(D171,$D$2:$D$241)+COUNTIF($D$2:D171,D171)-1,"")</f>
        <v/>
      </c>
      <c r="F171" s="11" t="str">
        <f t="shared" si="24"/>
        <v>Wilten Sira</v>
      </c>
      <c r="G171" s="11" t="str">
        <f t="shared" si="25"/>
        <v>Rayos FC</v>
      </c>
      <c r="H171" s="36">
        <f t="shared" si="26"/>
        <v>1</v>
      </c>
      <c r="I171" s="11">
        <f>VLOOKUP(B171,'Rayos FC'!$B$4:$G$18,4,FALSE)</f>
        <v>0</v>
      </c>
      <c r="J171" s="11" t="str">
        <f>IF(I171&gt;0,RANK(I171,$I$2:$I$240)+COUNTIF($I$2:I171,I171)-1,"")</f>
        <v/>
      </c>
      <c r="K171" s="11" t="str">
        <f t="shared" si="27"/>
        <v/>
      </c>
      <c r="L171" s="11" t="str">
        <f t="shared" si="28"/>
        <v/>
      </c>
      <c r="M171" s="11" t="str">
        <f t="shared" si="29"/>
        <v/>
      </c>
      <c r="N171" s="11">
        <f>VLOOKUP(B171,'Rayos FC'!$B$4:$G$18,5,FALSE)</f>
        <v>0</v>
      </c>
      <c r="O171" s="11" t="str">
        <f>IF(N171&gt;0,RANK(N171,$N$2:$N$240)+COUNTIF($N$2:N171,N171)-1,"")</f>
        <v/>
      </c>
      <c r="P171" s="11" t="str">
        <f t="shared" si="30"/>
        <v/>
      </c>
      <c r="Q171" s="11" t="str">
        <f t="shared" si="31"/>
        <v/>
      </c>
      <c r="R171" s="11" t="str">
        <f t="shared" si="32"/>
        <v/>
      </c>
      <c r="S171" s="11">
        <f>VLOOKUP(B171,'Rayos FC'!$B$4:$G$18,6,FALSE)</f>
        <v>0</v>
      </c>
      <c r="T171" s="11" t="str">
        <f>IF(S171&gt;0,RANK(S171,$S$2:$S$240)+COUNTIF($S$2:S171,S171)-1,"")</f>
        <v/>
      </c>
      <c r="U171" s="11" t="str">
        <f t="shared" si="33"/>
        <v/>
      </c>
      <c r="V171" s="11" t="str">
        <f t="shared" si="34"/>
        <v/>
      </c>
      <c r="W171" s="11" t="str">
        <f t="shared" si="35"/>
        <v/>
      </c>
    </row>
    <row r="172" spans="1:23" x14ac:dyDescent="0.25">
      <c r="A172" s="17">
        <v>171</v>
      </c>
      <c r="B172" s="18" t="str">
        <f>Jugadores!L8</f>
        <v>Rayos FC 2</v>
      </c>
      <c r="C172" s="17" t="str">
        <f>+Jugadores!$L$2</f>
        <v>Rayos FC</v>
      </c>
      <c r="D172" s="11">
        <f>VLOOKUP(B172,'Rayos FC'!$B$4:$G$18,3,FALSE)</f>
        <v>0</v>
      </c>
      <c r="E172" s="11" t="str">
        <f>IF(D172&gt;0,RANK(D172,$D$2:$D$241)+COUNTIF($D$2:D172,D172)-1,"")</f>
        <v/>
      </c>
      <c r="F172" s="11" t="str">
        <f t="shared" si="24"/>
        <v>John Jairo Jiménez</v>
      </c>
      <c r="G172" s="11" t="str">
        <f t="shared" si="25"/>
        <v>La Unión FC</v>
      </c>
      <c r="H172" s="36">
        <f t="shared" si="26"/>
        <v>1</v>
      </c>
      <c r="I172" s="11">
        <f>VLOOKUP(B172,'Rayos FC'!$B$4:$G$18,4,FALSE)</f>
        <v>0</v>
      </c>
      <c r="J172" s="11" t="str">
        <f>IF(I172&gt;0,RANK(I172,$I$2:$I$240)+COUNTIF($I$2:I172,I172)-1,"")</f>
        <v/>
      </c>
      <c r="K172" s="11" t="str">
        <f t="shared" si="27"/>
        <v/>
      </c>
      <c r="L172" s="11" t="str">
        <f t="shared" si="28"/>
        <v/>
      </c>
      <c r="M172" s="11" t="str">
        <f t="shared" si="29"/>
        <v/>
      </c>
      <c r="N172" s="11">
        <f>VLOOKUP(B172,'Rayos FC'!$B$4:$G$18,5,FALSE)</f>
        <v>0</v>
      </c>
      <c r="O172" s="11" t="str">
        <f>IF(N172&gt;0,RANK(N172,$N$2:$N$240)+COUNTIF($N$2:N172,N172)-1,"")</f>
        <v/>
      </c>
      <c r="P172" s="11" t="str">
        <f t="shared" si="30"/>
        <v/>
      </c>
      <c r="Q172" s="11" t="str">
        <f t="shared" si="31"/>
        <v/>
      </c>
      <c r="R172" s="11" t="str">
        <f t="shared" si="32"/>
        <v/>
      </c>
      <c r="S172" s="11">
        <f>VLOOKUP(B172,'Rayos FC'!$B$4:$G$18,6,FALSE)</f>
        <v>0</v>
      </c>
      <c r="T172" s="11" t="str">
        <f>IF(S172&gt;0,RANK(S172,$S$2:$S$240)+COUNTIF($S$2:S172,S172)-1,"")</f>
        <v/>
      </c>
      <c r="U172" s="11" t="str">
        <f t="shared" si="33"/>
        <v/>
      </c>
      <c r="V172" s="11" t="str">
        <f t="shared" si="34"/>
        <v/>
      </c>
      <c r="W172" s="11" t="str">
        <f t="shared" si="35"/>
        <v/>
      </c>
    </row>
    <row r="173" spans="1:23" x14ac:dyDescent="0.25">
      <c r="A173" s="17">
        <v>172</v>
      </c>
      <c r="B173" s="18" t="str">
        <f>Jugadores!L9</f>
        <v>Carlos Rodríguez</v>
      </c>
      <c r="C173" s="17" t="str">
        <f>+Jugadores!$L$2</f>
        <v>Rayos FC</v>
      </c>
      <c r="D173" s="11">
        <f>VLOOKUP(B173,'Rayos FC'!$B$4:$G$18,3,FALSE)</f>
        <v>0</v>
      </c>
      <c r="E173" s="11" t="str">
        <f>IF(D173&gt;0,RANK(D173,$D$2:$D$241)+COUNTIF($D$2:D173,D173)-1,"")</f>
        <v/>
      </c>
      <c r="F173" s="11" t="str">
        <f t="shared" si="24"/>
        <v xml:space="preserve">Samuel Cardénas </v>
      </c>
      <c r="G173" s="11" t="str">
        <f t="shared" si="25"/>
        <v>Los Aliados</v>
      </c>
      <c r="H173" s="36">
        <f t="shared" si="26"/>
        <v>1</v>
      </c>
      <c r="I173" s="11">
        <f>VLOOKUP(B173,'Rayos FC'!$B$4:$G$18,4,FALSE)</f>
        <v>1</v>
      </c>
      <c r="J173" s="11">
        <f>IF(I173&gt;0,RANK(I173,$I$2:$I$240)+COUNTIF($I$2:I173,I173)-1,"")</f>
        <v>117</v>
      </c>
      <c r="K173" s="11" t="str">
        <f t="shared" si="27"/>
        <v/>
      </c>
      <c r="L173" s="11" t="str">
        <f t="shared" si="28"/>
        <v/>
      </c>
      <c r="M173" s="11" t="str">
        <f t="shared" si="29"/>
        <v/>
      </c>
      <c r="N173" s="11">
        <f>VLOOKUP(B173,'Rayos FC'!$B$4:$G$18,5,FALSE)</f>
        <v>0</v>
      </c>
      <c r="O173" s="11" t="str">
        <f>IF(N173&gt;0,RANK(N173,$N$2:$N$240)+COUNTIF($N$2:N173,N173)-1,"")</f>
        <v/>
      </c>
      <c r="P173" s="11" t="str">
        <f t="shared" si="30"/>
        <v/>
      </c>
      <c r="Q173" s="11" t="str">
        <f t="shared" si="31"/>
        <v/>
      </c>
      <c r="R173" s="11" t="str">
        <f t="shared" si="32"/>
        <v/>
      </c>
      <c r="S173" s="11">
        <f>VLOOKUP(B173,'Rayos FC'!$B$4:$G$18,6,FALSE)</f>
        <v>0</v>
      </c>
      <c r="T173" s="11" t="str">
        <f>IF(S173&gt;0,RANK(S173,$S$2:$S$240)+COUNTIF($S$2:S173,S173)-1,"")</f>
        <v/>
      </c>
      <c r="U173" s="11" t="str">
        <f t="shared" si="33"/>
        <v/>
      </c>
      <c r="V173" s="11" t="str">
        <f t="shared" si="34"/>
        <v/>
      </c>
      <c r="W173" s="11" t="str">
        <f t="shared" si="35"/>
        <v/>
      </c>
    </row>
    <row r="174" spans="1:23" x14ac:dyDescent="0.25">
      <c r="A174" s="17">
        <v>173</v>
      </c>
      <c r="B174" s="18" t="str">
        <f>Jugadores!L10</f>
        <v>Rayos FC 3</v>
      </c>
      <c r="C174" s="17" t="str">
        <f>+Jugadores!$L$2</f>
        <v>Rayos FC</v>
      </c>
      <c r="D174" s="11">
        <f>VLOOKUP(B174,'Rayos FC'!$B$4:$G$18,3,FALSE)</f>
        <v>0</v>
      </c>
      <c r="E174" s="11" t="str">
        <f>IF(D174&gt;0,RANK(D174,$D$2:$D$241)+COUNTIF($D$2:D174,D174)-1,"")</f>
        <v/>
      </c>
      <c r="F174" s="11" t="str">
        <f t="shared" si="24"/>
        <v xml:space="preserve">José Joaquín García </v>
      </c>
      <c r="G174" s="11" t="str">
        <f t="shared" si="25"/>
        <v>Los Aliados</v>
      </c>
      <c r="H174" s="36">
        <f t="shared" si="26"/>
        <v>1</v>
      </c>
      <c r="I174" s="11">
        <f>VLOOKUP(B174,'Rayos FC'!$B$4:$G$18,4,FALSE)</f>
        <v>0</v>
      </c>
      <c r="J174" s="11" t="str">
        <f>IF(I174&gt;0,RANK(I174,$I$2:$I$240)+COUNTIF($I$2:I174,I174)-1,"")</f>
        <v/>
      </c>
      <c r="K174" s="11" t="str">
        <f t="shared" si="27"/>
        <v/>
      </c>
      <c r="L174" s="11" t="str">
        <f t="shared" si="28"/>
        <v/>
      </c>
      <c r="M174" s="11" t="str">
        <f t="shared" si="29"/>
        <v/>
      </c>
      <c r="N174" s="11">
        <f>VLOOKUP(B174,'Rayos FC'!$B$4:$G$18,5,FALSE)</f>
        <v>0</v>
      </c>
      <c r="O174" s="11" t="str">
        <f>IF(N174&gt;0,RANK(N174,$N$2:$N$240)+COUNTIF($N$2:N174,N174)-1,"")</f>
        <v/>
      </c>
      <c r="P174" s="11" t="str">
        <f t="shared" si="30"/>
        <v/>
      </c>
      <c r="Q174" s="11" t="str">
        <f t="shared" si="31"/>
        <v/>
      </c>
      <c r="R174" s="11" t="str">
        <f t="shared" si="32"/>
        <v/>
      </c>
      <c r="S174" s="11">
        <f>VLOOKUP(B174,'Rayos FC'!$B$4:$G$18,6,FALSE)</f>
        <v>0</v>
      </c>
      <c r="T174" s="11" t="str">
        <f>IF(S174&gt;0,RANK(S174,$S$2:$S$240)+COUNTIF($S$2:S174,S174)-1,"")</f>
        <v/>
      </c>
      <c r="U174" s="11" t="str">
        <f t="shared" si="33"/>
        <v/>
      </c>
      <c r="V174" s="11" t="str">
        <f t="shared" si="34"/>
        <v/>
      </c>
      <c r="W174" s="11" t="str">
        <f t="shared" si="35"/>
        <v/>
      </c>
    </row>
    <row r="175" spans="1:23" x14ac:dyDescent="0.25">
      <c r="A175" s="17">
        <v>174</v>
      </c>
      <c r="B175" s="18" t="str">
        <f>Jugadores!L11</f>
        <v>Rayos FC 4</v>
      </c>
      <c r="C175" s="17" t="str">
        <f>+Jugadores!$L$2</f>
        <v>Rayos FC</v>
      </c>
      <c r="D175" s="11">
        <f>VLOOKUP(B175,'Rayos FC'!$B$4:$G$18,3,FALSE)</f>
        <v>0</v>
      </c>
      <c r="E175" s="11" t="str">
        <f>IF(D175&gt;0,RANK(D175,$D$2:$D$241)+COUNTIF($D$2:D175,D175)-1,"")</f>
        <v/>
      </c>
      <c r="F175" s="11" t="str">
        <f t="shared" si="24"/>
        <v xml:space="preserve">Cristian Alejandro Chavarría </v>
      </c>
      <c r="G175" s="11" t="str">
        <f t="shared" si="25"/>
        <v>Los Aliados</v>
      </c>
      <c r="H175" s="36">
        <f t="shared" si="26"/>
        <v>1</v>
      </c>
      <c r="I175" s="11">
        <f>VLOOKUP(B175,'Rayos FC'!$B$4:$G$18,4,FALSE)</f>
        <v>0</v>
      </c>
      <c r="J175" s="11" t="str">
        <f>IF(I175&gt;0,RANK(I175,$I$2:$I$240)+COUNTIF($I$2:I175,I175)-1,"")</f>
        <v/>
      </c>
      <c r="K175" s="11" t="str">
        <f t="shared" si="27"/>
        <v/>
      </c>
      <c r="L175" s="11" t="str">
        <f t="shared" si="28"/>
        <v/>
      </c>
      <c r="M175" s="11" t="str">
        <f t="shared" si="29"/>
        <v/>
      </c>
      <c r="N175" s="11">
        <f>VLOOKUP(B175,'Rayos FC'!$B$4:$G$18,5,FALSE)</f>
        <v>0</v>
      </c>
      <c r="O175" s="11" t="str">
        <f>IF(N175&gt;0,RANK(N175,$N$2:$N$240)+COUNTIF($N$2:N175,N175)-1,"")</f>
        <v/>
      </c>
      <c r="P175" s="11" t="str">
        <f t="shared" si="30"/>
        <v/>
      </c>
      <c r="Q175" s="11" t="str">
        <f t="shared" si="31"/>
        <v/>
      </c>
      <c r="R175" s="11" t="str">
        <f t="shared" si="32"/>
        <v/>
      </c>
      <c r="S175" s="11">
        <f>VLOOKUP(B175,'Rayos FC'!$B$4:$G$18,6,FALSE)</f>
        <v>0</v>
      </c>
      <c r="T175" s="11" t="str">
        <f>IF(S175&gt;0,RANK(S175,$S$2:$S$240)+COUNTIF($S$2:S175,S175)-1,"")</f>
        <v/>
      </c>
      <c r="U175" s="11" t="str">
        <f t="shared" si="33"/>
        <v/>
      </c>
      <c r="V175" s="11" t="str">
        <f t="shared" si="34"/>
        <v/>
      </c>
      <c r="W175" s="11" t="str">
        <f t="shared" si="35"/>
        <v/>
      </c>
    </row>
    <row r="176" spans="1:23" x14ac:dyDescent="0.25">
      <c r="A176" s="17">
        <v>175</v>
      </c>
      <c r="B176" s="18" t="str">
        <f>Jugadores!L12</f>
        <v>Rayos FC 5</v>
      </c>
      <c r="C176" s="17" t="str">
        <f>+Jugadores!$L$2</f>
        <v>Rayos FC</v>
      </c>
      <c r="D176" s="11">
        <f>VLOOKUP(B176,'Rayos FC'!$B$4:$G$18,3,FALSE)</f>
        <v>0</v>
      </c>
      <c r="E176" s="11" t="str">
        <f>IF(D176&gt;0,RANK(D176,$D$2:$D$241)+COUNTIF($D$2:D176,D176)-1,"")</f>
        <v/>
      </c>
      <c r="F176" s="11" t="str">
        <f t="shared" si="24"/>
        <v xml:space="preserve">Arley Castrillón </v>
      </c>
      <c r="G176" s="11" t="str">
        <f t="shared" si="25"/>
        <v>Los Aliados</v>
      </c>
      <c r="H176" s="36">
        <f t="shared" si="26"/>
        <v>1</v>
      </c>
      <c r="I176" s="11">
        <f>VLOOKUP(B176,'Rayos FC'!$B$4:$G$18,4,FALSE)</f>
        <v>0</v>
      </c>
      <c r="J176" s="11" t="str">
        <f>IF(I176&gt;0,RANK(I176,$I$2:$I$240)+COUNTIF($I$2:I176,I176)-1,"")</f>
        <v/>
      </c>
      <c r="K176" s="11" t="str">
        <f t="shared" si="27"/>
        <v/>
      </c>
      <c r="L176" s="11" t="str">
        <f t="shared" si="28"/>
        <v/>
      </c>
      <c r="M176" s="11" t="str">
        <f t="shared" si="29"/>
        <v/>
      </c>
      <c r="N176" s="11">
        <f>VLOOKUP(B176,'Rayos FC'!$B$4:$G$18,5,FALSE)</f>
        <v>0</v>
      </c>
      <c r="O176" s="11" t="str">
        <f>IF(N176&gt;0,RANK(N176,$N$2:$N$240)+COUNTIF($N$2:N176,N176)-1,"")</f>
        <v/>
      </c>
      <c r="P176" s="11" t="str">
        <f t="shared" si="30"/>
        <v/>
      </c>
      <c r="Q176" s="11" t="str">
        <f t="shared" si="31"/>
        <v/>
      </c>
      <c r="R176" s="11" t="str">
        <f t="shared" si="32"/>
        <v/>
      </c>
      <c r="S176" s="11">
        <f>VLOOKUP(B176,'Rayos FC'!$B$4:$G$18,6,FALSE)</f>
        <v>0</v>
      </c>
      <c r="T176" s="11" t="str">
        <f>IF(S176&gt;0,RANK(S176,$S$2:$S$240)+COUNTIF($S$2:S176,S176)-1,"")</f>
        <v/>
      </c>
      <c r="U176" s="11" t="str">
        <f t="shared" si="33"/>
        <v/>
      </c>
      <c r="V176" s="11" t="str">
        <f t="shared" si="34"/>
        <v/>
      </c>
      <c r="W176" s="11" t="str">
        <f t="shared" si="35"/>
        <v/>
      </c>
    </row>
    <row r="177" spans="1:23" x14ac:dyDescent="0.25">
      <c r="A177" s="17">
        <v>176</v>
      </c>
      <c r="B177" s="18" t="str">
        <f>Jugadores!L13</f>
        <v>Rayos FC 6</v>
      </c>
      <c r="C177" s="17" t="str">
        <f>+Jugadores!$L$2</f>
        <v>Rayos FC</v>
      </c>
      <c r="D177" s="11">
        <f>VLOOKUP(B177,'Rayos FC'!$B$4:$G$18,3,FALSE)</f>
        <v>0</v>
      </c>
      <c r="E177" s="11" t="str">
        <f>IF(D177&gt;0,RANK(D177,$D$2:$D$241)+COUNTIF($D$2:D177,D177)-1,"")</f>
        <v/>
      </c>
      <c r="F177" s="11" t="str">
        <f t="shared" si="24"/>
        <v xml:space="preserve">Shame García </v>
      </c>
      <c r="G177" s="11" t="str">
        <f t="shared" si="25"/>
        <v>Atalanta</v>
      </c>
      <c r="H177" s="36">
        <f t="shared" si="26"/>
        <v>1</v>
      </c>
      <c r="I177" s="11">
        <f>VLOOKUP(B177,'Rayos FC'!$B$4:$G$18,4,FALSE)</f>
        <v>0</v>
      </c>
      <c r="J177" s="11" t="str">
        <f>IF(I177&gt;0,RANK(I177,$I$2:$I$240)+COUNTIF($I$2:I177,I177)-1,"")</f>
        <v/>
      </c>
      <c r="K177" s="11" t="str">
        <f t="shared" si="27"/>
        <v/>
      </c>
      <c r="L177" s="11" t="str">
        <f t="shared" si="28"/>
        <v/>
      </c>
      <c r="M177" s="11" t="str">
        <f t="shared" si="29"/>
        <v/>
      </c>
      <c r="N177" s="11">
        <f>VLOOKUP(B177,'Rayos FC'!$B$4:$G$18,5,FALSE)</f>
        <v>0</v>
      </c>
      <c r="O177" s="11" t="str">
        <f>IF(N177&gt;0,RANK(N177,$N$2:$N$240)+COUNTIF($N$2:N177,N177)-1,"")</f>
        <v/>
      </c>
      <c r="P177" s="11" t="str">
        <f t="shared" si="30"/>
        <v/>
      </c>
      <c r="Q177" s="11" t="str">
        <f t="shared" si="31"/>
        <v/>
      </c>
      <c r="R177" s="11" t="str">
        <f t="shared" si="32"/>
        <v/>
      </c>
      <c r="S177" s="11">
        <f>VLOOKUP(B177,'Rayos FC'!$B$4:$G$18,6,FALSE)</f>
        <v>0</v>
      </c>
      <c r="T177" s="11" t="str">
        <f>IF(S177&gt;0,RANK(S177,$S$2:$S$240)+COUNTIF($S$2:S177,S177)-1,"")</f>
        <v/>
      </c>
      <c r="U177" s="11" t="str">
        <f t="shared" si="33"/>
        <v/>
      </c>
      <c r="V177" s="11" t="str">
        <f t="shared" si="34"/>
        <v/>
      </c>
      <c r="W177" s="11" t="str">
        <f t="shared" si="35"/>
        <v/>
      </c>
    </row>
    <row r="178" spans="1:23" x14ac:dyDescent="0.25">
      <c r="A178" s="17">
        <v>177</v>
      </c>
      <c r="B178" s="18" t="str">
        <f>Jugadores!L14</f>
        <v>Rayos FC 7</v>
      </c>
      <c r="C178" s="17" t="str">
        <f>+Jugadores!$L$2</f>
        <v>Rayos FC</v>
      </c>
      <c r="D178" s="11">
        <f>VLOOKUP(B178,'Rayos FC'!$B$4:$G$18,3,FALSE)</f>
        <v>0</v>
      </c>
      <c r="E178" s="11" t="str">
        <f>IF(D178&gt;0,RANK(D178,$D$2:$D$241)+COUNTIF($D$2:D178,D178)-1,"")</f>
        <v/>
      </c>
      <c r="F178" s="11" t="str">
        <f t="shared" si="24"/>
        <v xml:space="preserve">Gustavo González </v>
      </c>
      <c r="G178" s="11" t="str">
        <f t="shared" si="25"/>
        <v>Atalanta</v>
      </c>
      <c r="H178" s="36">
        <f t="shared" si="26"/>
        <v>1</v>
      </c>
      <c r="I178" s="11">
        <f>VLOOKUP(B178,'Rayos FC'!$B$4:$G$18,4,FALSE)</f>
        <v>0</v>
      </c>
      <c r="J178" s="11" t="str">
        <f>IF(I178&gt;0,RANK(I178,$I$2:$I$240)+COUNTIF($I$2:I178,I178)-1,"")</f>
        <v/>
      </c>
      <c r="K178" s="11" t="str">
        <f t="shared" si="27"/>
        <v/>
      </c>
      <c r="L178" s="11" t="str">
        <f t="shared" si="28"/>
        <v/>
      </c>
      <c r="M178" s="11" t="str">
        <f t="shared" si="29"/>
        <v/>
      </c>
      <c r="N178" s="11">
        <f>VLOOKUP(B178,'Rayos FC'!$B$4:$G$18,5,FALSE)</f>
        <v>0</v>
      </c>
      <c r="O178" s="11" t="str">
        <f>IF(N178&gt;0,RANK(N178,$N$2:$N$240)+COUNTIF($N$2:N178,N178)-1,"")</f>
        <v/>
      </c>
      <c r="P178" s="11" t="str">
        <f t="shared" si="30"/>
        <v/>
      </c>
      <c r="Q178" s="11" t="str">
        <f t="shared" si="31"/>
        <v/>
      </c>
      <c r="R178" s="11" t="str">
        <f t="shared" si="32"/>
        <v/>
      </c>
      <c r="S178" s="11">
        <f>VLOOKUP(B178,'Rayos FC'!$B$4:$G$18,6,FALSE)</f>
        <v>0</v>
      </c>
      <c r="T178" s="11" t="str">
        <f>IF(S178&gt;0,RANK(S178,$S$2:$S$240)+COUNTIF($S$2:S178,S178)-1,"")</f>
        <v/>
      </c>
      <c r="U178" s="11" t="str">
        <f t="shared" si="33"/>
        <v/>
      </c>
      <c r="V178" s="11" t="str">
        <f t="shared" si="34"/>
        <v/>
      </c>
      <c r="W178" s="11" t="str">
        <f t="shared" si="35"/>
        <v/>
      </c>
    </row>
    <row r="179" spans="1:23" x14ac:dyDescent="0.25">
      <c r="A179" s="17">
        <v>178</v>
      </c>
      <c r="B179" s="18" t="str">
        <f>Jugadores!L15</f>
        <v>Rayos FC 8</v>
      </c>
      <c r="C179" s="17" t="str">
        <f>+Jugadores!$L$2</f>
        <v>Rayos FC</v>
      </c>
      <c r="D179" s="11">
        <f>VLOOKUP(B179,'Rayos FC'!$B$4:$G$18,3,FALSE)</f>
        <v>0</v>
      </c>
      <c r="E179" s="11" t="str">
        <f>IF(D179&gt;0,RANK(D179,$D$2:$D$241)+COUNTIF($D$2:D179,D179)-1,"")</f>
        <v/>
      </c>
      <c r="F179" s="11" t="str">
        <f t="shared" si="24"/>
        <v>Antony Sánchez</v>
      </c>
      <c r="G179" s="11" t="str">
        <f t="shared" si="25"/>
        <v>Atalanta</v>
      </c>
      <c r="H179" s="36">
        <f t="shared" si="26"/>
        <v>1</v>
      </c>
      <c r="I179" s="11">
        <f>VLOOKUP(B179,'Rayos FC'!$B$4:$G$18,4,FALSE)</f>
        <v>0</v>
      </c>
      <c r="J179" s="11" t="str">
        <f>IF(I179&gt;0,RANK(I179,$I$2:$I$240)+COUNTIF($I$2:I179,I179)-1,"")</f>
        <v/>
      </c>
      <c r="K179" s="11" t="str">
        <f t="shared" si="27"/>
        <v/>
      </c>
      <c r="L179" s="11" t="str">
        <f t="shared" si="28"/>
        <v/>
      </c>
      <c r="M179" s="11" t="str">
        <f t="shared" si="29"/>
        <v/>
      </c>
      <c r="N179" s="11">
        <f>VLOOKUP(B179,'Rayos FC'!$B$4:$G$18,5,FALSE)</f>
        <v>0</v>
      </c>
      <c r="O179" s="11" t="str">
        <f>IF(N179&gt;0,RANK(N179,$N$2:$N$240)+COUNTIF($N$2:N179,N179)-1,"")</f>
        <v/>
      </c>
      <c r="P179" s="11" t="str">
        <f t="shared" si="30"/>
        <v/>
      </c>
      <c r="Q179" s="11" t="str">
        <f t="shared" si="31"/>
        <v/>
      </c>
      <c r="R179" s="11" t="str">
        <f t="shared" si="32"/>
        <v/>
      </c>
      <c r="S179" s="11">
        <f>VLOOKUP(B179,'Rayos FC'!$B$4:$G$18,6,FALSE)</f>
        <v>0</v>
      </c>
      <c r="T179" s="11" t="str">
        <f>IF(S179&gt;0,RANK(S179,$S$2:$S$240)+COUNTIF($S$2:S179,S179)-1,"")</f>
        <v/>
      </c>
      <c r="U179" s="11" t="str">
        <f t="shared" si="33"/>
        <v/>
      </c>
      <c r="V179" s="11" t="str">
        <f t="shared" si="34"/>
        <v/>
      </c>
      <c r="W179" s="11" t="str">
        <f t="shared" si="35"/>
        <v/>
      </c>
    </row>
    <row r="180" spans="1:23" s="25" customFormat="1" x14ac:dyDescent="0.25">
      <c r="A180" s="17">
        <v>179</v>
      </c>
      <c r="B180" s="18" t="str">
        <f>Jugadores!L16</f>
        <v>Rayos FC 9</v>
      </c>
      <c r="C180" s="17" t="str">
        <f>+Jugadores!$L$2</f>
        <v>Rayos FC</v>
      </c>
      <c r="D180" s="11">
        <f>VLOOKUP(B180,'Rayos FC'!$B$4:$G$18,3,FALSE)</f>
        <v>0</v>
      </c>
      <c r="E180" s="11" t="str">
        <f>IF(D180&gt;0,RANK(D180,$D$2:$D$241)+COUNTIF($D$2:D180,D180)-1,"")</f>
        <v/>
      </c>
      <c r="F180" s="11" t="str">
        <f t="shared" si="24"/>
        <v>Andrés Suárez Martínez</v>
      </c>
      <c r="G180" s="11" t="str">
        <f t="shared" si="25"/>
        <v>CD El Corozo</v>
      </c>
      <c r="H180" s="36">
        <f t="shared" si="26"/>
        <v>1</v>
      </c>
      <c r="I180" s="11">
        <f>VLOOKUP(B180,'Rayos FC'!$B$4:$G$18,4,FALSE)</f>
        <v>0</v>
      </c>
      <c r="J180" s="11" t="str">
        <f>IF(I180&gt;0,RANK(I180,$I$2:$I$240)+COUNTIF($I$2:I180,I180)-1,"")</f>
        <v/>
      </c>
      <c r="K180" s="11" t="str">
        <f t="shared" si="27"/>
        <v/>
      </c>
      <c r="L180" s="11" t="str">
        <f t="shared" si="28"/>
        <v/>
      </c>
      <c r="M180" s="11" t="str">
        <f t="shared" si="29"/>
        <v/>
      </c>
      <c r="N180" s="11">
        <f>VLOOKUP(B180,'Rayos FC'!$B$4:$G$18,5,FALSE)</f>
        <v>0</v>
      </c>
      <c r="O180" s="11" t="str">
        <f>IF(N180&gt;0,RANK(N180,$N$2:$N$240)+COUNTIF($N$2:N180,N180)-1,"")</f>
        <v/>
      </c>
      <c r="P180" s="11" t="str">
        <f t="shared" si="30"/>
        <v/>
      </c>
      <c r="Q180" s="11" t="str">
        <f t="shared" si="31"/>
        <v/>
      </c>
      <c r="R180" s="11" t="str">
        <f t="shared" si="32"/>
        <v/>
      </c>
      <c r="S180" s="11">
        <f>VLOOKUP(B180,'Rayos FC'!$B$4:$G$18,6,FALSE)</f>
        <v>0</v>
      </c>
      <c r="T180" s="11" t="str">
        <f>IF(S180&gt;0,RANK(S180,$S$2:$S$240)+COUNTIF($S$2:S180,S180)-1,"")</f>
        <v/>
      </c>
      <c r="U180" s="11" t="str">
        <f t="shared" si="33"/>
        <v/>
      </c>
      <c r="V180" s="11" t="str">
        <f t="shared" si="34"/>
        <v/>
      </c>
      <c r="W180" s="11" t="str">
        <f t="shared" si="35"/>
        <v/>
      </c>
    </row>
    <row r="181" spans="1:23" x14ac:dyDescent="0.25">
      <c r="A181" s="17">
        <v>180</v>
      </c>
      <c r="B181" s="18" t="str">
        <f>Jugadores!L17</f>
        <v>Rayos FC 10</v>
      </c>
      <c r="C181" s="17" t="str">
        <f>+Jugadores!$L$2</f>
        <v>Rayos FC</v>
      </c>
      <c r="D181" s="11">
        <f>VLOOKUP(B181,'Rayos FC'!$B$4:$G$18,3,FALSE)</f>
        <v>0</v>
      </c>
      <c r="E181" s="11" t="str">
        <f>IF(D181&gt;0,RANK(D181,$D$2:$D$241)+COUNTIF($D$2:D181,D181)-1,"")</f>
        <v/>
      </c>
      <c r="F181" s="11" t="str">
        <f t="shared" si="24"/>
        <v>Germán Urango Suárez</v>
      </c>
      <c r="G181" s="11" t="str">
        <f t="shared" si="25"/>
        <v>CD El Corozo</v>
      </c>
      <c r="H181" s="36">
        <f t="shared" si="26"/>
        <v>1</v>
      </c>
      <c r="I181" s="11">
        <f>VLOOKUP(B181,'Rayos FC'!$B$4:$G$18,4,FALSE)</f>
        <v>0</v>
      </c>
      <c r="J181" s="11" t="str">
        <f>IF(I181&gt;0,RANK(I181,$I$2:$I$240)+COUNTIF($I$2:I181,I181)-1,"")</f>
        <v/>
      </c>
      <c r="K181" s="11" t="str">
        <f t="shared" si="27"/>
        <v/>
      </c>
      <c r="L181" s="11" t="str">
        <f t="shared" si="28"/>
        <v/>
      </c>
      <c r="M181" s="11" t="str">
        <f t="shared" si="29"/>
        <v/>
      </c>
      <c r="N181" s="11">
        <f>VLOOKUP(B181,'Rayos FC'!$B$4:$G$18,5,FALSE)</f>
        <v>0</v>
      </c>
      <c r="O181" s="11" t="str">
        <f>IF(N181&gt;0,RANK(N181,$N$2:$N$240)+COUNTIF($N$2:N181,N181)-1,"")</f>
        <v/>
      </c>
      <c r="P181" s="11" t="str">
        <f t="shared" si="30"/>
        <v/>
      </c>
      <c r="Q181" s="11" t="str">
        <f t="shared" si="31"/>
        <v/>
      </c>
      <c r="R181" s="11" t="str">
        <f t="shared" si="32"/>
        <v/>
      </c>
      <c r="S181" s="11">
        <f>VLOOKUP(B181,'Rayos FC'!$B$4:$G$18,6,FALSE)</f>
        <v>0</v>
      </c>
      <c r="T181" s="11" t="str">
        <f>IF(S181&gt;0,RANK(S181,$S$2:$S$240)+COUNTIF($S$2:S181,S181)-1,"")</f>
        <v/>
      </c>
      <c r="U181" s="11" t="str">
        <f t="shared" si="33"/>
        <v/>
      </c>
      <c r="V181" s="11" t="str">
        <f t="shared" si="34"/>
        <v/>
      </c>
      <c r="W181" s="11" t="str">
        <f t="shared" si="35"/>
        <v/>
      </c>
    </row>
    <row r="182" spans="1:23" x14ac:dyDescent="0.25">
      <c r="A182" s="17">
        <v>181</v>
      </c>
      <c r="B182" s="18" t="str">
        <f>Jugadores!M3</f>
        <v>Donaldo Reyes</v>
      </c>
      <c r="C182" s="17" t="str">
        <f>+Jugadores!$M$2</f>
        <v>La Unión FC</v>
      </c>
      <c r="D182" s="11">
        <f>VLOOKUP(B182,'La Unión FC'!$B$4:$G$18,3,FALSE)</f>
        <v>6</v>
      </c>
      <c r="E182" s="11">
        <f>IF(D182&gt;0,RANK(D182,$D$2:$D$241)+COUNTIF($D$2:D182,D182)-1,"")</f>
        <v>59</v>
      </c>
      <c r="F182" s="11" t="str">
        <f t="shared" si="24"/>
        <v>Elkín Osorio</v>
      </c>
      <c r="G182" s="11" t="str">
        <f t="shared" si="25"/>
        <v>CD El Corozo</v>
      </c>
      <c r="H182" s="36">
        <f t="shared" si="26"/>
        <v>1</v>
      </c>
      <c r="I182" s="11">
        <f>VLOOKUP(B182,'La Unión FC'!$B$4:$G$18,4,FALSE)</f>
        <v>0</v>
      </c>
      <c r="J182" s="11" t="str">
        <f>IF(I182&gt;0,RANK(I182,$I$2:$I$240)+COUNTIF($I$2:I182,I182)-1,"")</f>
        <v/>
      </c>
      <c r="K182" s="11" t="str">
        <f t="shared" si="27"/>
        <v/>
      </c>
      <c r="L182" s="11" t="str">
        <f t="shared" si="28"/>
        <v/>
      </c>
      <c r="M182" s="11" t="str">
        <f t="shared" si="29"/>
        <v/>
      </c>
      <c r="N182" s="11" t="e">
        <f>VLOOKUP(B182,'Rayos FC'!$B$4:$G$18,5,FALSE)</f>
        <v>#N/A</v>
      </c>
      <c r="O182" s="11" t="e">
        <f>IF(N182&gt;0,RANK(N182,$N$2:$N$240)+COUNTIF($N$2:N182,N182)-1,"")</f>
        <v>#N/A</v>
      </c>
      <c r="P182" s="11" t="str">
        <f t="shared" si="30"/>
        <v/>
      </c>
      <c r="Q182" s="11" t="str">
        <f t="shared" si="31"/>
        <v/>
      </c>
      <c r="R182" s="11" t="str">
        <f t="shared" si="32"/>
        <v/>
      </c>
      <c r="S182" s="11" t="e">
        <f>VLOOKUP(B182,'Rayos FC'!$B$4:$G$18,6,FALSE)</f>
        <v>#N/A</v>
      </c>
      <c r="T182" s="11" t="e">
        <f>IF(S182&gt;0,RANK(S182,$S$2:$S$240)+COUNTIF($S$2:S182,S182)-1,"")</f>
        <v>#N/A</v>
      </c>
      <c r="U182" s="11" t="str">
        <f t="shared" si="33"/>
        <v/>
      </c>
      <c r="V182" s="11" t="str">
        <f t="shared" si="34"/>
        <v/>
      </c>
      <c r="W182" s="11" t="str">
        <f t="shared" si="35"/>
        <v/>
      </c>
    </row>
    <row r="183" spans="1:23" x14ac:dyDescent="0.25">
      <c r="A183" s="17">
        <v>182</v>
      </c>
      <c r="B183" s="18" t="str">
        <f>Jugadores!M4</f>
        <v>Alexander Salgado</v>
      </c>
      <c r="C183" s="17" t="str">
        <f>+Jugadores!$M$2</f>
        <v>La Unión FC</v>
      </c>
      <c r="D183" s="11">
        <f>VLOOKUP(B183,'La Unión FC'!$B$4:$G$18,3,FALSE)</f>
        <v>49</v>
      </c>
      <c r="E183" s="11">
        <f>IF(D183&gt;0,RANK(D183,$D$2:$D$241)+COUNTIF($D$2:D183,D183)-1,"")</f>
        <v>1</v>
      </c>
      <c r="F183" s="11" t="str">
        <f t="shared" si="24"/>
        <v>Antonio Urango Suárez</v>
      </c>
      <c r="G183" s="11" t="str">
        <f t="shared" si="25"/>
        <v>CD El Corozo</v>
      </c>
      <c r="H183" s="36">
        <f t="shared" si="26"/>
        <v>1</v>
      </c>
      <c r="I183" s="11">
        <f>VLOOKUP(B183,'La Unión FC'!$B$4:$G$18,4,FALSE)</f>
        <v>4</v>
      </c>
      <c r="J183" s="11">
        <f>IF(I183&gt;0,RANK(I183,$I$2:$I$240)+COUNTIF($I$2:I183,I183)-1,"")</f>
        <v>16</v>
      </c>
      <c r="K183" s="11" t="str">
        <f t="shared" si="27"/>
        <v/>
      </c>
      <c r="L183" s="11" t="str">
        <f t="shared" si="28"/>
        <v/>
      </c>
      <c r="M183" s="11" t="str">
        <f t="shared" si="29"/>
        <v/>
      </c>
      <c r="N183" s="11" t="e">
        <f>VLOOKUP(B183,'Rayos FC'!$B$4:$G$18,5,FALSE)</f>
        <v>#N/A</v>
      </c>
      <c r="O183" s="11" t="e">
        <f>IF(N183&gt;0,RANK(N183,$N$2:$N$240)+COUNTIF($N$2:N183,N183)-1,"")</f>
        <v>#N/A</v>
      </c>
      <c r="P183" s="11" t="str">
        <f t="shared" si="30"/>
        <v/>
      </c>
      <c r="Q183" s="11" t="str">
        <f t="shared" si="31"/>
        <v/>
      </c>
      <c r="R183" s="11" t="str">
        <f t="shared" si="32"/>
        <v/>
      </c>
      <c r="S183" s="11" t="e">
        <f>VLOOKUP(B183,'Rayos FC'!$B$4:$G$18,6,FALSE)</f>
        <v>#N/A</v>
      </c>
      <c r="T183" s="11" t="e">
        <f>IF(S183&gt;0,RANK(S183,$S$2:$S$240)+COUNTIF($S$2:S183,S183)-1,"")</f>
        <v>#N/A</v>
      </c>
      <c r="U183" s="11" t="str">
        <f t="shared" si="33"/>
        <v/>
      </c>
      <c r="V183" s="11" t="str">
        <f t="shared" si="34"/>
        <v/>
      </c>
      <c r="W183" s="11" t="str">
        <f t="shared" si="35"/>
        <v/>
      </c>
    </row>
    <row r="184" spans="1:23" x14ac:dyDescent="0.25">
      <c r="A184" s="17">
        <v>183</v>
      </c>
      <c r="B184" s="18" t="str">
        <f>Jugadores!M5</f>
        <v>José Andrés Cantero</v>
      </c>
      <c r="C184" s="17" t="str">
        <f>+Jugadores!$M$2</f>
        <v>La Unión FC</v>
      </c>
      <c r="D184" s="11">
        <f>VLOOKUP(B184,'La Unión FC'!$B$4:$G$18,3,FALSE)</f>
        <v>6</v>
      </c>
      <c r="E184" s="11">
        <f>IF(D184&gt;0,RANK(D184,$D$2:$D$241)+COUNTIF($D$2:D184,D184)-1,"")</f>
        <v>60</v>
      </c>
      <c r="F184" s="11" t="str">
        <f t="shared" si="24"/>
        <v>Jesús de Hoyos</v>
      </c>
      <c r="G184" s="11" t="str">
        <f t="shared" si="25"/>
        <v>CD El Corozo</v>
      </c>
      <c r="H184" s="36">
        <f t="shared" si="26"/>
        <v>1</v>
      </c>
      <c r="I184" s="11">
        <f>VLOOKUP(B184,'La Unión FC'!$B$4:$G$18,4,FALSE)</f>
        <v>0</v>
      </c>
      <c r="J184" s="11" t="str">
        <f>IF(I184&gt;0,RANK(I184,$I$2:$I$240)+COUNTIF($I$2:I184,I184)-1,"")</f>
        <v/>
      </c>
      <c r="K184" s="11" t="str">
        <f t="shared" si="27"/>
        <v/>
      </c>
      <c r="L184" s="11" t="str">
        <f t="shared" si="28"/>
        <v/>
      </c>
      <c r="M184" s="11" t="str">
        <f t="shared" si="29"/>
        <v/>
      </c>
      <c r="N184" s="11" t="e">
        <f>VLOOKUP(B184,'Rayos FC'!$B$4:$G$18,5,FALSE)</f>
        <v>#N/A</v>
      </c>
      <c r="O184" s="11" t="e">
        <f>IF(N184&gt;0,RANK(N184,$N$2:$N$240)+COUNTIF($N$2:N184,N184)-1,"")</f>
        <v>#N/A</v>
      </c>
      <c r="P184" s="11" t="str">
        <f t="shared" si="30"/>
        <v/>
      </c>
      <c r="Q184" s="11" t="str">
        <f t="shared" si="31"/>
        <v/>
      </c>
      <c r="R184" s="11" t="str">
        <f t="shared" si="32"/>
        <v/>
      </c>
      <c r="S184" s="11" t="e">
        <f>VLOOKUP(B184,'Rayos FC'!$B$4:$G$18,6,FALSE)</f>
        <v>#N/A</v>
      </c>
      <c r="T184" s="11" t="e">
        <f>IF(S184&gt;0,RANK(S184,$S$2:$S$240)+COUNTIF($S$2:S184,S184)-1,"")</f>
        <v>#N/A</v>
      </c>
      <c r="U184" s="11" t="str">
        <f t="shared" si="33"/>
        <v/>
      </c>
      <c r="V184" s="11" t="str">
        <f t="shared" si="34"/>
        <v/>
      </c>
      <c r="W184" s="11" t="str">
        <f t="shared" si="35"/>
        <v/>
      </c>
    </row>
    <row r="185" spans="1:23" x14ac:dyDescent="0.25">
      <c r="A185" s="17">
        <v>184</v>
      </c>
      <c r="B185" s="18" t="str">
        <f>Jugadores!M6</f>
        <v>Hernán Paternina</v>
      </c>
      <c r="C185" s="17" t="str">
        <f>+Jugadores!$M$2</f>
        <v>La Unión FC</v>
      </c>
      <c r="D185" s="11">
        <f>VLOOKUP(B185,'La Unión FC'!$B$4:$G$18,3,FALSE)</f>
        <v>0</v>
      </c>
      <c r="E185" s="11" t="str">
        <f>IF(D185&gt;0,RANK(D185,$D$2:$D$241)+COUNTIF($D$2:D185,D185)-1,"")</f>
        <v/>
      </c>
      <c r="F185" s="11" t="str">
        <f t="shared" si="24"/>
        <v xml:space="preserve">Jhonys Chávez </v>
      </c>
      <c r="G185" s="11" t="str">
        <f t="shared" si="25"/>
        <v>CD El Corozo</v>
      </c>
      <c r="H185" s="36">
        <f t="shared" si="26"/>
        <v>1</v>
      </c>
      <c r="I185" s="11">
        <f>VLOOKUP(B185,'La Unión FC'!$B$4:$G$18,4,FALSE)</f>
        <v>0</v>
      </c>
      <c r="J185" s="11" t="str">
        <f>IF(I185&gt;0,RANK(I185,$I$2:$I$240)+COUNTIF($I$2:I185,I185)-1,"")</f>
        <v/>
      </c>
      <c r="K185" s="11" t="str">
        <f t="shared" si="27"/>
        <v/>
      </c>
      <c r="L185" s="11" t="str">
        <f t="shared" si="28"/>
        <v/>
      </c>
      <c r="M185" s="11" t="str">
        <f t="shared" si="29"/>
        <v/>
      </c>
      <c r="N185" s="11" t="e">
        <f>VLOOKUP(B185,'Rayos FC'!$B$4:$G$18,5,FALSE)</f>
        <v>#N/A</v>
      </c>
      <c r="O185" s="11" t="e">
        <f>IF(N185&gt;0,RANK(N185,$N$2:$N$240)+COUNTIF($N$2:N185,N185)-1,"")</f>
        <v>#N/A</v>
      </c>
      <c r="P185" s="11" t="str">
        <f t="shared" si="30"/>
        <v/>
      </c>
      <c r="Q185" s="11" t="str">
        <f t="shared" si="31"/>
        <v/>
      </c>
      <c r="R185" s="11" t="str">
        <f t="shared" si="32"/>
        <v/>
      </c>
      <c r="S185" s="11" t="e">
        <f>VLOOKUP(B185,'Rayos FC'!$B$4:$G$18,6,FALSE)</f>
        <v>#N/A</v>
      </c>
      <c r="T185" s="11" t="e">
        <f>IF(S185&gt;0,RANK(S185,$S$2:$S$240)+COUNTIF($S$2:S185,S185)-1,"")</f>
        <v>#N/A</v>
      </c>
      <c r="U185" s="11" t="str">
        <f t="shared" si="33"/>
        <v/>
      </c>
      <c r="V185" s="11" t="str">
        <f t="shared" si="34"/>
        <v/>
      </c>
      <c r="W185" s="11" t="str">
        <f t="shared" si="35"/>
        <v/>
      </c>
    </row>
    <row r="186" spans="1:23" x14ac:dyDescent="0.25">
      <c r="A186" s="17">
        <v>185</v>
      </c>
      <c r="B186" s="18" t="str">
        <f>Jugadores!M7</f>
        <v>Ricardo Peralta</v>
      </c>
      <c r="C186" s="17" t="str">
        <f>+Jugadores!$M$2</f>
        <v>La Unión FC</v>
      </c>
      <c r="D186" s="11">
        <f>VLOOKUP(B186,'La Unión FC'!$B$4:$G$18,3,FALSE)</f>
        <v>13</v>
      </c>
      <c r="E186" s="11">
        <f>IF(D186&gt;0,RANK(D186,$D$2:$D$241)+COUNTIF($D$2:D186,D186)-1,"")</f>
        <v>19</v>
      </c>
      <c r="F186" s="11" t="str">
        <f t="shared" si="24"/>
        <v>Francico Montoya</v>
      </c>
      <c r="G186" s="11" t="str">
        <f t="shared" si="25"/>
        <v>CD El Corozo</v>
      </c>
      <c r="H186" s="36">
        <f t="shared" si="26"/>
        <v>1</v>
      </c>
      <c r="I186" s="11">
        <f>VLOOKUP(B186,'La Unión FC'!$B$4:$G$18,4,FALSE)</f>
        <v>1</v>
      </c>
      <c r="J186" s="11">
        <f>IF(I186&gt;0,RANK(I186,$I$2:$I$240)+COUNTIF($I$2:I186,I186)-1,"")</f>
        <v>118</v>
      </c>
      <c r="K186" s="11" t="str">
        <f t="shared" si="27"/>
        <v/>
      </c>
      <c r="L186" s="11" t="str">
        <f t="shared" si="28"/>
        <v/>
      </c>
      <c r="M186" s="11" t="str">
        <f t="shared" si="29"/>
        <v/>
      </c>
      <c r="N186" s="11" t="e">
        <f>VLOOKUP(B186,'Rayos FC'!$B$4:$G$18,5,FALSE)</f>
        <v>#N/A</v>
      </c>
      <c r="O186" s="11" t="e">
        <f>IF(N186&gt;0,RANK(N186,$N$2:$N$240)+COUNTIF($N$2:N186,N186)-1,"")</f>
        <v>#N/A</v>
      </c>
      <c r="P186" s="11" t="str">
        <f t="shared" si="30"/>
        <v/>
      </c>
      <c r="Q186" s="11" t="str">
        <f t="shared" si="31"/>
        <v/>
      </c>
      <c r="R186" s="11" t="str">
        <f t="shared" si="32"/>
        <v/>
      </c>
      <c r="S186" s="11" t="e">
        <f>VLOOKUP(B186,'Rayos FC'!$B$4:$G$18,6,FALSE)</f>
        <v>#N/A</v>
      </c>
      <c r="T186" s="11" t="e">
        <f>IF(S186&gt;0,RANK(S186,$S$2:$S$240)+COUNTIF($S$2:S186,S186)-1,"")</f>
        <v>#N/A</v>
      </c>
      <c r="U186" s="11" t="str">
        <f t="shared" si="33"/>
        <v/>
      </c>
      <c r="V186" s="11" t="str">
        <f t="shared" si="34"/>
        <v/>
      </c>
      <c r="W186" s="11" t="str">
        <f t="shared" si="35"/>
        <v/>
      </c>
    </row>
    <row r="187" spans="1:23" x14ac:dyDescent="0.25">
      <c r="A187" s="17">
        <v>186</v>
      </c>
      <c r="B187" s="18" t="str">
        <f>Jugadores!M8</f>
        <v>Luis Fernando Madera</v>
      </c>
      <c r="C187" s="17" t="str">
        <f>+Jugadores!$M$2</f>
        <v>La Unión FC</v>
      </c>
      <c r="D187" s="11">
        <f>VLOOKUP(B187,'La Unión FC'!$B$4:$G$18,3,FALSE)</f>
        <v>3</v>
      </c>
      <c r="E187" s="11">
        <f>IF(D187&gt;0,RANK(D187,$D$2:$D$241)+COUNTIF($D$2:D187,D187)-1,"")</f>
        <v>106</v>
      </c>
      <c r="F187" s="11" t="str">
        <f t="shared" si="24"/>
        <v>Jhoser Pastrana</v>
      </c>
      <c r="G187" s="11" t="str">
        <f t="shared" si="25"/>
        <v>CD El Corozo</v>
      </c>
      <c r="H187" s="36">
        <f t="shared" si="26"/>
        <v>1</v>
      </c>
      <c r="I187" s="11">
        <f>VLOOKUP(B187,'La Unión FC'!$B$4:$G$18,4,FALSE)</f>
        <v>5</v>
      </c>
      <c r="J187" s="11">
        <f>IF(I187&gt;0,RANK(I187,$I$2:$I$240)+COUNTIF($I$2:I187,I187)-1,"")</f>
        <v>5</v>
      </c>
      <c r="K187" s="11" t="str">
        <f t="shared" si="27"/>
        <v/>
      </c>
      <c r="L187" s="11" t="str">
        <f t="shared" si="28"/>
        <v/>
      </c>
      <c r="M187" s="11" t="str">
        <f t="shared" si="29"/>
        <v/>
      </c>
      <c r="N187" s="11" t="e">
        <f>VLOOKUP(B187,'Rayos FC'!$B$4:$G$18,5,FALSE)</f>
        <v>#N/A</v>
      </c>
      <c r="O187" s="11" t="e">
        <f>IF(N187&gt;0,RANK(N187,$N$2:$N$240)+COUNTIF($N$2:N187,N187)-1,"")</f>
        <v>#N/A</v>
      </c>
      <c r="P187" s="11" t="str">
        <f t="shared" si="30"/>
        <v/>
      </c>
      <c r="Q187" s="11" t="str">
        <f t="shared" si="31"/>
        <v/>
      </c>
      <c r="R187" s="11" t="str">
        <f t="shared" si="32"/>
        <v/>
      </c>
      <c r="S187" s="11" t="e">
        <f>VLOOKUP(B187,'Rayos FC'!$B$4:$G$18,6,FALSE)</f>
        <v>#N/A</v>
      </c>
      <c r="T187" s="11" t="e">
        <f>IF(S187&gt;0,RANK(S187,$S$2:$S$240)+COUNTIF($S$2:S187,S187)-1,"")</f>
        <v>#N/A</v>
      </c>
      <c r="U187" s="11" t="str">
        <f t="shared" si="33"/>
        <v/>
      </c>
      <c r="V187" s="11" t="str">
        <f t="shared" si="34"/>
        <v/>
      </c>
      <c r="W187" s="11" t="str">
        <f t="shared" si="35"/>
        <v/>
      </c>
    </row>
    <row r="188" spans="1:23" x14ac:dyDescent="0.25">
      <c r="A188" s="17">
        <v>187</v>
      </c>
      <c r="B188" s="18" t="str">
        <f>Jugadores!M9</f>
        <v>David Ortega</v>
      </c>
      <c r="C188" s="17" t="str">
        <f>+Jugadores!$M$2</f>
        <v>La Unión FC</v>
      </c>
      <c r="D188" s="11">
        <f>VLOOKUP(B188,'La Unión FC'!$B$4:$G$18,3,FALSE)</f>
        <v>0</v>
      </c>
      <c r="E188" s="11" t="str">
        <f>IF(D188&gt;0,RANK(D188,$D$2:$D$241)+COUNTIF($D$2:D188,D188)-1,"")</f>
        <v/>
      </c>
      <c r="F188" s="11" t="str">
        <f t="shared" si="24"/>
        <v/>
      </c>
      <c r="G188" s="11" t="str">
        <f t="shared" si="25"/>
        <v/>
      </c>
      <c r="H188" s="36" t="str">
        <f t="shared" si="26"/>
        <v/>
      </c>
      <c r="I188" s="11">
        <f>VLOOKUP(B188,'La Unión FC'!$B$4:$G$18,4,FALSE)</f>
        <v>2</v>
      </c>
      <c r="J188" s="11">
        <f>IF(I188&gt;0,RANK(I188,$I$2:$I$240)+COUNTIF($I$2:I188,I188)-1,"")</f>
        <v>57</v>
      </c>
      <c r="K188" s="11" t="str">
        <f t="shared" si="27"/>
        <v/>
      </c>
      <c r="L188" s="11" t="str">
        <f t="shared" si="28"/>
        <v/>
      </c>
      <c r="M188" s="11" t="str">
        <f t="shared" si="29"/>
        <v/>
      </c>
      <c r="N188" s="11" t="e">
        <f>VLOOKUP(B188,'Rayos FC'!$B$4:$G$18,5,FALSE)</f>
        <v>#N/A</v>
      </c>
      <c r="O188" s="11" t="e">
        <f>IF(N188&gt;0,RANK(N188,$N$2:$N$240)+COUNTIF($N$2:N188,N188)-1,"")</f>
        <v>#N/A</v>
      </c>
      <c r="P188" s="11" t="str">
        <f t="shared" si="30"/>
        <v/>
      </c>
      <c r="Q188" s="11" t="str">
        <f t="shared" si="31"/>
        <v/>
      </c>
      <c r="R188" s="11" t="str">
        <f t="shared" si="32"/>
        <v/>
      </c>
      <c r="S188" s="11" t="e">
        <f>VLOOKUP(B188,'Rayos FC'!$B$4:$G$18,6,FALSE)</f>
        <v>#N/A</v>
      </c>
      <c r="T188" s="11" t="e">
        <f>IF(S188&gt;0,RANK(S188,$S$2:$S$240)+COUNTIF($S$2:S188,S188)-1,"")</f>
        <v>#N/A</v>
      </c>
      <c r="U188" s="11" t="str">
        <f t="shared" si="33"/>
        <v/>
      </c>
      <c r="V188" s="11" t="str">
        <f t="shared" si="34"/>
        <v/>
      </c>
      <c r="W188" s="11" t="str">
        <f t="shared" si="35"/>
        <v/>
      </c>
    </row>
    <row r="189" spans="1:23" x14ac:dyDescent="0.25">
      <c r="A189" s="17">
        <v>188</v>
      </c>
      <c r="B189" s="18" t="str">
        <f>Jugadores!M10</f>
        <v>Luis Fernando Cabrera</v>
      </c>
      <c r="C189" s="17" t="str">
        <f>+Jugadores!$M$2</f>
        <v>La Unión FC</v>
      </c>
      <c r="D189" s="11">
        <f>VLOOKUP(B189,'La Unión FC'!$B$4:$G$18,3,FALSE)</f>
        <v>3</v>
      </c>
      <c r="E189" s="11">
        <f>IF(D189&gt;0,RANK(D189,$D$2:$D$241)+COUNTIF($D$2:D189,D189)-1,"")</f>
        <v>107</v>
      </c>
      <c r="F189" s="11" t="str">
        <f t="shared" si="24"/>
        <v/>
      </c>
      <c r="G189" s="11" t="str">
        <f t="shared" si="25"/>
        <v/>
      </c>
      <c r="H189" s="36" t="str">
        <f t="shared" si="26"/>
        <v/>
      </c>
      <c r="I189" s="11">
        <f>VLOOKUP(B189,'La Unión FC'!$B$4:$G$18,4,FALSE)</f>
        <v>2</v>
      </c>
      <c r="J189" s="11">
        <f>IF(I189&gt;0,RANK(I189,$I$2:$I$240)+COUNTIF($I$2:I189,I189)-1,"")</f>
        <v>58</v>
      </c>
      <c r="K189" s="11" t="str">
        <f t="shared" si="27"/>
        <v/>
      </c>
      <c r="L189" s="11" t="str">
        <f t="shared" si="28"/>
        <v/>
      </c>
      <c r="M189" s="11" t="str">
        <f t="shared" si="29"/>
        <v/>
      </c>
      <c r="N189" s="11" t="e">
        <f>VLOOKUP(B189,'Rayos FC'!$B$4:$G$18,5,FALSE)</f>
        <v>#N/A</v>
      </c>
      <c r="O189" s="11" t="e">
        <f>IF(N189&gt;0,RANK(N189,$N$2:$N$240)+COUNTIF($N$2:N189,N189)-1,"")</f>
        <v>#N/A</v>
      </c>
      <c r="P189" s="11" t="str">
        <f t="shared" si="30"/>
        <v/>
      </c>
      <c r="Q189" s="11" t="str">
        <f t="shared" si="31"/>
        <v/>
      </c>
      <c r="R189" s="11" t="str">
        <f t="shared" si="32"/>
        <v/>
      </c>
      <c r="S189" s="11" t="e">
        <f>VLOOKUP(B189,'Rayos FC'!$B$4:$G$18,6,FALSE)</f>
        <v>#N/A</v>
      </c>
      <c r="T189" s="11" t="e">
        <f>IF(S189&gt;0,RANK(S189,$S$2:$S$240)+COUNTIF($S$2:S189,S189)-1,"")</f>
        <v>#N/A</v>
      </c>
      <c r="U189" s="11" t="str">
        <f t="shared" si="33"/>
        <v/>
      </c>
      <c r="V189" s="11" t="str">
        <f t="shared" si="34"/>
        <v/>
      </c>
      <c r="W189" s="11" t="str">
        <f t="shared" si="35"/>
        <v/>
      </c>
    </row>
    <row r="190" spans="1:23" x14ac:dyDescent="0.25">
      <c r="A190" s="17">
        <v>189</v>
      </c>
      <c r="B190" s="18" t="str">
        <f>Jugadores!M11</f>
        <v>Deiner Santana</v>
      </c>
      <c r="C190" s="17" t="str">
        <f>+Jugadores!$M$2</f>
        <v>La Unión FC</v>
      </c>
      <c r="D190" s="11">
        <f>VLOOKUP(B190,'La Unión FC'!$B$4:$G$18,3,FALSE)</f>
        <v>6</v>
      </c>
      <c r="E190" s="11">
        <f>IF(D190&gt;0,RANK(D190,$D$2:$D$241)+COUNTIF($D$2:D190,D190)-1,"")</f>
        <v>61</v>
      </c>
      <c r="F190" s="11" t="str">
        <f t="shared" si="24"/>
        <v/>
      </c>
      <c r="G190" s="11" t="str">
        <f t="shared" si="25"/>
        <v/>
      </c>
      <c r="H190" s="36" t="str">
        <f t="shared" si="26"/>
        <v/>
      </c>
      <c r="I190" s="11">
        <f>VLOOKUP(B190,'La Unión FC'!$B$4:$G$18,4,FALSE)</f>
        <v>4</v>
      </c>
      <c r="J190" s="11">
        <f>IF(I190&gt;0,RANK(I190,$I$2:$I$240)+COUNTIF($I$2:I190,I190)-1,"")</f>
        <v>17</v>
      </c>
      <c r="K190" s="11" t="str">
        <f t="shared" si="27"/>
        <v/>
      </c>
      <c r="L190" s="11" t="str">
        <f t="shared" si="28"/>
        <v/>
      </c>
      <c r="M190" s="11" t="str">
        <f t="shared" si="29"/>
        <v/>
      </c>
      <c r="N190" s="11" t="e">
        <f>VLOOKUP(B190,'Rayos FC'!$B$4:$G$18,5,FALSE)</f>
        <v>#N/A</v>
      </c>
      <c r="O190" s="11" t="e">
        <f>IF(N190&gt;0,RANK(N190,$N$2:$N$240)+COUNTIF($N$2:N190,N190)-1,"")</f>
        <v>#N/A</v>
      </c>
      <c r="P190" s="11" t="str">
        <f t="shared" si="30"/>
        <v/>
      </c>
      <c r="Q190" s="11" t="str">
        <f t="shared" si="31"/>
        <v/>
      </c>
      <c r="R190" s="11" t="str">
        <f t="shared" si="32"/>
        <v/>
      </c>
      <c r="S190" s="11" t="e">
        <f>VLOOKUP(B190,'Rayos FC'!$B$4:$G$18,6,FALSE)</f>
        <v>#N/A</v>
      </c>
      <c r="T190" s="11" t="e">
        <f>IF(S190&gt;0,RANK(S190,$S$2:$S$240)+COUNTIF($S$2:S190,S190)-1,"")</f>
        <v>#N/A</v>
      </c>
      <c r="U190" s="11" t="str">
        <f t="shared" si="33"/>
        <v/>
      </c>
      <c r="V190" s="11" t="str">
        <f t="shared" si="34"/>
        <v/>
      </c>
      <c r="W190" s="11" t="str">
        <f t="shared" si="35"/>
        <v/>
      </c>
    </row>
    <row r="191" spans="1:23" x14ac:dyDescent="0.25">
      <c r="A191" s="17">
        <v>190</v>
      </c>
      <c r="B191" s="18" t="str">
        <f>Jugadores!M12</f>
        <v>John Jairo Jiménez</v>
      </c>
      <c r="C191" s="17" t="str">
        <f>+Jugadores!$M$2</f>
        <v>La Unión FC</v>
      </c>
      <c r="D191" s="11">
        <f>VLOOKUP(B191,'La Unión FC'!$B$4:$G$18,3,FALSE)</f>
        <v>1</v>
      </c>
      <c r="E191" s="11">
        <f>IF(D191&gt;0,RANK(D191,$D$2:$D$241)+COUNTIF($D$2:D191,D191)-1,"")</f>
        <v>171</v>
      </c>
      <c r="F191" s="11" t="str">
        <f t="shared" si="24"/>
        <v/>
      </c>
      <c r="G191" s="11" t="str">
        <f t="shared" si="25"/>
        <v/>
      </c>
      <c r="H191" s="36" t="str">
        <f t="shared" si="26"/>
        <v/>
      </c>
      <c r="I191" s="11">
        <f>VLOOKUP(B191,'La Unión FC'!$B$4:$G$18,4,FALSE)</f>
        <v>0</v>
      </c>
      <c r="J191" s="11" t="str">
        <f>IF(I191&gt;0,RANK(I191,$I$2:$I$240)+COUNTIF($I$2:I191,I191)-1,"")</f>
        <v/>
      </c>
      <c r="K191" s="11" t="str">
        <f t="shared" si="27"/>
        <v/>
      </c>
      <c r="L191" s="11" t="str">
        <f t="shared" si="28"/>
        <v/>
      </c>
      <c r="M191" s="11" t="str">
        <f t="shared" si="29"/>
        <v/>
      </c>
      <c r="N191" s="11" t="e">
        <f>VLOOKUP(B191,'Rayos FC'!$B$4:$G$18,5,FALSE)</f>
        <v>#N/A</v>
      </c>
      <c r="O191" s="11" t="e">
        <f>IF(N191&gt;0,RANK(N191,$N$2:$N$240)+COUNTIF($N$2:N191,N191)-1,"")</f>
        <v>#N/A</v>
      </c>
      <c r="P191" s="11" t="str">
        <f t="shared" si="30"/>
        <v/>
      </c>
      <c r="Q191" s="11" t="str">
        <f t="shared" si="31"/>
        <v/>
      </c>
      <c r="R191" s="11" t="str">
        <f t="shared" si="32"/>
        <v/>
      </c>
      <c r="S191" s="11" t="e">
        <f>VLOOKUP(B191,'Rayos FC'!$B$4:$G$18,6,FALSE)</f>
        <v>#N/A</v>
      </c>
      <c r="T191" s="11" t="e">
        <f>IF(S191&gt;0,RANK(S191,$S$2:$S$240)+COUNTIF($S$2:S191,S191)-1,"")</f>
        <v>#N/A</v>
      </c>
      <c r="U191" s="11" t="str">
        <f t="shared" si="33"/>
        <v/>
      </c>
      <c r="V191" s="11" t="str">
        <f t="shared" si="34"/>
        <v/>
      </c>
      <c r="W191" s="11" t="str">
        <f t="shared" si="35"/>
        <v/>
      </c>
    </row>
    <row r="192" spans="1:23" x14ac:dyDescent="0.25">
      <c r="A192" s="17">
        <v>191</v>
      </c>
      <c r="B192" s="18" t="str">
        <f>Jugadores!M13</f>
        <v>José Gregorio Hernández</v>
      </c>
      <c r="C192" s="17" t="str">
        <f>+Jugadores!$M$2</f>
        <v>La Unión FC</v>
      </c>
      <c r="D192" s="11">
        <f>VLOOKUP(B192,'La Unión FC'!$B$4:$G$18,3,FALSE)</f>
        <v>13</v>
      </c>
      <c r="E192" s="11">
        <f>IF(D192&gt;0,RANK(D192,$D$2:$D$241)+COUNTIF($D$2:D192,D192)-1,"")</f>
        <v>20</v>
      </c>
      <c r="F192" s="11" t="str">
        <f t="shared" si="24"/>
        <v/>
      </c>
      <c r="G192" s="11" t="str">
        <f t="shared" si="25"/>
        <v/>
      </c>
      <c r="H192" s="36" t="str">
        <f t="shared" si="26"/>
        <v/>
      </c>
      <c r="I192" s="11">
        <f>VLOOKUP(B192,'La Unión FC'!$B$4:$G$18,4,FALSE)</f>
        <v>0</v>
      </c>
      <c r="J192" s="11" t="str">
        <f>IF(I192&gt;0,RANK(I192,$I$2:$I$240)+COUNTIF($I$2:I192,I192)-1,"")</f>
        <v/>
      </c>
      <c r="K192" s="11" t="str">
        <f t="shared" si="27"/>
        <v/>
      </c>
      <c r="L192" s="11" t="str">
        <f t="shared" si="28"/>
        <v/>
      </c>
      <c r="M192" s="11" t="str">
        <f t="shared" si="29"/>
        <v/>
      </c>
      <c r="N192" s="11" t="e">
        <f>VLOOKUP(B192,'Rayos FC'!$B$4:$G$18,5,FALSE)</f>
        <v>#N/A</v>
      </c>
      <c r="O192" s="11" t="e">
        <f>IF(N192&gt;0,RANK(N192,$N$2:$N$240)+COUNTIF($N$2:N192,N192)-1,"")</f>
        <v>#N/A</v>
      </c>
      <c r="P192" s="11" t="str">
        <f t="shared" si="30"/>
        <v/>
      </c>
      <c r="Q192" s="11" t="str">
        <f t="shared" si="31"/>
        <v/>
      </c>
      <c r="R192" s="11" t="str">
        <f t="shared" si="32"/>
        <v/>
      </c>
      <c r="S192" s="11" t="e">
        <f>VLOOKUP(B192,'Rayos FC'!$B$4:$G$18,6,FALSE)</f>
        <v>#N/A</v>
      </c>
      <c r="T192" s="11" t="e">
        <f>IF(S192&gt;0,RANK(S192,$S$2:$S$240)+COUNTIF($S$2:S192,S192)-1,"")</f>
        <v>#N/A</v>
      </c>
      <c r="U192" s="11" t="str">
        <f t="shared" si="33"/>
        <v/>
      </c>
      <c r="V192" s="11" t="str">
        <f t="shared" si="34"/>
        <v/>
      </c>
      <c r="W192" s="11" t="str">
        <f t="shared" si="35"/>
        <v/>
      </c>
    </row>
    <row r="193" spans="1:23" x14ac:dyDescent="0.25">
      <c r="A193" s="17">
        <v>192</v>
      </c>
      <c r="B193" s="18" t="str">
        <f>Jugadores!M14</f>
        <v>Edinsón Molina</v>
      </c>
      <c r="C193" s="17" t="str">
        <f>+Jugadores!$M$2</f>
        <v>La Unión FC</v>
      </c>
      <c r="D193" s="11">
        <f>VLOOKUP(B193,'La Unión FC'!$B$4:$G$18,3,FALSE)</f>
        <v>7</v>
      </c>
      <c r="E193" s="11">
        <f>IF(D193&gt;0,RANK(D193,$D$2:$D$241)+COUNTIF($D$2:D193,D193)-1,"")</f>
        <v>46</v>
      </c>
      <c r="F193" s="11" t="str">
        <f t="shared" si="24"/>
        <v/>
      </c>
      <c r="G193" s="11" t="str">
        <f t="shared" si="25"/>
        <v/>
      </c>
      <c r="H193" s="36" t="str">
        <f t="shared" si="26"/>
        <v/>
      </c>
      <c r="I193" s="11">
        <f>VLOOKUP(B193,'La Unión FC'!$B$4:$G$18,4,FALSE)</f>
        <v>1</v>
      </c>
      <c r="J193" s="11">
        <f>IF(I193&gt;0,RANK(I193,$I$2:$I$240)+COUNTIF($I$2:I193,I193)-1,"")</f>
        <v>119</v>
      </c>
      <c r="K193" s="11" t="str">
        <f t="shared" si="27"/>
        <v/>
      </c>
      <c r="L193" s="11" t="str">
        <f t="shared" si="28"/>
        <v/>
      </c>
      <c r="M193" s="11" t="str">
        <f t="shared" si="29"/>
        <v/>
      </c>
      <c r="N193" s="11" t="e">
        <f>VLOOKUP(B193,'Rayos FC'!$B$4:$G$18,5,FALSE)</f>
        <v>#N/A</v>
      </c>
      <c r="O193" s="11" t="e">
        <f>IF(N193&gt;0,RANK(N193,$N$2:$N$240)+COUNTIF($N$2:N193,N193)-1,"")</f>
        <v>#N/A</v>
      </c>
      <c r="P193" s="11" t="str">
        <f t="shared" si="30"/>
        <v/>
      </c>
      <c r="Q193" s="11" t="str">
        <f t="shared" si="31"/>
        <v/>
      </c>
      <c r="R193" s="11" t="str">
        <f t="shared" si="32"/>
        <v/>
      </c>
      <c r="S193" s="11" t="e">
        <f>VLOOKUP(B193,'Rayos FC'!$B$4:$G$18,6,FALSE)</f>
        <v>#N/A</v>
      </c>
      <c r="T193" s="11" t="e">
        <f>IF(S193&gt;0,RANK(S193,$S$2:$S$240)+COUNTIF($S$2:S193,S193)-1,"")</f>
        <v>#N/A</v>
      </c>
      <c r="U193" s="11" t="str">
        <f t="shared" si="33"/>
        <v/>
      </c>
      <c r="V193" s="11" t="str">
        <f t="shared" si="34"/>
        <v/>
      </c>
      <c r="W193" s="11" t="str">
        <f t="shared" si="35"/>
        <v/>
      </c>
    </row>
    <row r="194" spans="1:23" x14ac:dyDescent="0.25">
      <c r="A194" s="17">
        <v>193</v>
      </c>
      <c r="B194" s="18" t="str">
        <f>Jugadores!M15</f>
        <v>Luis Fernando Hernández</v>
      </c>
      <c r="C194" s="17" t="str">
        <f>+Jugadores!$M$2</f>
        <v>La Unión FC</v>
      </c>
      <c r="D194" s="11">
        <f>VLOOKUP(B194,'La Unión FC'!$B$4:$G$18,3,FALSE)</f>
        <v>3</v>
      </c>
      <c r="E194" s="11">
        <f>IF(D194&gt;0,RANK(D194,$D$2:$D$241)+COUNTIF($D$2:D194,D194)-1,"")</f>
        <v>108</v>
      </c>
      <c r="F194" s="11" t="str">
        <f t="shared" si="24"/>
        <v/>
      </c>
      <c r="G194" s="11" t="str">
        <f t="shared" si="25"/>
        <v/>
      </c>
      <c r="H194" s="36" t="str">
        <f t="shared" si="26"/>
        <v/>
      </c>
      <c r="I194" s="11">
        <f>VLOOKUP(B194,'La Unión FC'!$B$4:$G$18,4,FALSE)</f>
        <v>2</v>
      </c>
      <c r="J194" s="11">
        <f>IF(I194&gt;0,RANK(I194,$I$2:$I$240)+COUNTIF($I$2:I194,I194)-1,"")</f>
        <v>59</v>
      </c>
      <c r="K194" s="11" t="str">
        <f t="shared" si="27"/>
        <v/>
      </c>
      <c r="L194" s="11" t="str">
        <f t="shared" si="28"/>
        <v/>
      </c>
      <c r="M194" s="11" t="str">
        <f t="shared" si="29"/>
        <v/>
      </c>
      <c r="N194" s="11" t="e">
        <f>VLOOKUP(B194,'Rayos FC'!$B$4:$G$18,5,FALSE)</f>
        <v>#N/A</v>
      </c>
      <c r="O194" s="11" t="e">
        <f>IF(N194&gt;0,RANK(N194,$N$2:$N$240)+COUNTIF($N$2:N194,N194)-1,"")</f>
        <v>#N/A</v>
      </c>
      <c r="P194" s="11" t="str">
        <f t="shared" si="30"/>
        <v/>
      </c>
      <c r="Q194" s="11" t="str">
        <f t="shared" si="31"/>
        <v/>
      </c>
      <c r="R194" s="11" t="str">
        <f t="shared" si="32"/>
        <v/>
      </c>
      <c r="S194" s="11" t="e">
        <f>VLOOKUP(B194,'Rayos FC'!$B$4:$G$18,6,FALSE)</f>
        <v>#N/A</v>
      </c>
      <c r="T194" s="11" t="e">
        <f>IF(S194&gt;0,RANK(S194,$S$2:$S$240)+COUNTIF($S$2:S194,S194)-1,"")</f>
        <v>#N/A</v>
      </c>
      <c r="U194" s="11" t="str">
        <f t="shared" si="33"/>
        <v/>
      </c>
      <c r="V194" s="11" t="str">
        <f t="shared" si="34"/>
        <v/>
      </c>
      <c r="W194" s="11" t="str">
        <f t="shared" si="35"/>
        <v/>
      </c>
    </row>
    <row r="195" spans="1:23" s="25" customFormat="1" x14ac:dyDescent="0.25">
      <c r="A195" s="17">
        <v>194</v>
      </c>
      <c r="B195" s="18" t="str">
        <f>Jugadores!M16</f>
        <v xml:space="preserve">Jesús Ortega Jiménez </v>
      </c>
      <c r="C195" s="17" t="str">
        <f>+Jugadores!$M$2</f>
        <v>La Unión FC</v>
      </c>
      <c r="D195" s="11">
        <f>VLOOKUP(B195,'La Unión FC'!$B$4:$G$18,3,FALSE)</f>
        <v>4</v>
      </c>
      <c r="E195" s="11">
        <f>IF(D195&gt;0,RANK(D195,$D$2:$D$241)+COUNTIF($D$2:D195,D195)-1,"")</f>
        <v>87</v>
      </c>
      <c r="F195" s="11" t="str">
        <f t="shared" ref="F195:F256" si="36">IFERROR(INDEX(B$2:B$240,MATCH($A195,$E$2:$E$240,0)),"")</f>
        <v/>
      </c>
      <c r="G195" s="11" t="str">
        <f t="shared" ref="G195:G256" si="37">IFERROR(INDEX(C$2:C$240,MATCH($F195,$B$2:$B$240,0)),"")</f>
        <v/>
      </c>
      <c r="H195" s="36" t="str">
        <f t="shared" ref="H195:H256" si="38">IFERROR(INDEX(D$2:D$240,MATCH($F195,$B$2:$B$240,0)),"")</f>
        <v/>
      </c>
      <c r="I195" s="11">
        <f>VLOOKUP(B195,'La Unión FC'!$B$4:$G$18,4,FALSE)</f>
        <v>2</v>
      </c>
      <c r="J195" s="11">
        <f>IF(I195&gt;0,RANK(I195,$I$2:$I$240)+COUNTIF($I$2:I195,I195)-1,"")</f>
        <v>60</v>
      </c>
      <c r="K195" s="11" t="str">
        <f t="shared" ref="K195:K256" si="39">IFERROR(INDEX(B$2:B$240,MATCH($A195,$J$2:$J$240,0)),"")</f>
        <v/>
      </c>
      <c r="L195" s="11" t="str">
        <f t="shared" ref="L195:L256" si="40">IFERROR(INDEX(C$2:C$240,MATCH($K195,$B$2:$B$240,0)),"")</f>
        <v/>
      </c>
      <c r="M195" s="11" t="str">
        <f t="shared" ref="M195:M256" si="41">IFERROR(INDEX(I$2:I$240,MATCH($K195,$B$2:$B$240,0)),"")</f>
        <v/>
      </c>
      <c r="N195" s="11" t="e">
        <f>VLOOKUP(B195,'Rayos FC'!$B$4:$G$18,5,FALSE)</f>
        <v>#N/A</v>
      </c>
      <c r="O195" s="11" t="e">
        <f>IF(N195&gt;0,RANK(N195,$N$2:$N$240)+COUNTIF($N$2:N195,N195)-1,"")</f>
        <v>#N/A</v>
      </c>
      <c r="P195" s="11" t="str">
        <f t="shared" ref="P195:P256" si="42">IFERROR(INDEX(B$2:B$240,MATCH($A195,$O$2:$O$240,0)),"")</f>
        <v/>
      </c>
      <c r="Q195" s="11" t="str">
        <f t="shared" ref="Q195:Q256" si="43">IFERROR(INDEX(C$2:C$240,MATCH($P195,$B$2:$B$240,0)),"")</f>
        <v/>
      </c>
      <c r="R195" s="11" t="str">
        <f t="shared" ref="R195:R256" si="44">IFERROR(INDEX(N$2:N$240,MATCH($P195,$B$2:$B$240,0)),"")</f>
        <v/>
      </c>
      <c r="S195" s="11" t="e">
        <f>VLOOKUP(B195,'Rayos FC'!$B$4:$G$18,6,FALSE)</f>
        <v>#N/A</v>
      </c>
      <c r="T195" s="11" t="e">
        <f>IF(S195&gt;0,RANK(S195,$S$2:$S$240)+COUNTIF($S$2:S195,S195)-1,"")</f>
        <v>#N/A</v>
      </c>
      <c r="U195" s="11" t="str">
        <f t="shared" ref="U195:U256" si="45">IFERROR(INDEX(B$2:B$240,MATCH($A195,$T$2:$T$240,0)),"")</f>
        <v/>
      </c>
      <c r="V195" s="11" t="str">
        <f t="shared" ref="V195:V256" si="46">IFERROR(INDEX(C$2:C$240,MATCH($U195,$B$2:$B$240,0)),"")</f>
        <v/>
      </c>
      <c r="W195" s="11" t="str">
        <f t="shared" ref="W195:W226" si="47">IFERROR(INDEX(S$2:S$226,MATCH($U195,$B$2:$B$226,0)),"")</f>
        <v/>
      </c>
    </row>
    <row r="196" spans="1:23" x14ac:dyDescent="0.25">
      <c r="A196" s="17">
        <v>195</v>
      </c>
      <c r="B196" s="18" t="str">
        <f>Jugadores!M17</f>
        <v xml:space="preserve">Germán Primera </v>
      </c>
      <c r="C196" s="17" t="str">
        <f>+Jugadores!$M$2</f>
        <v>La Unión FC</v>
      </c>
      <c r="D196" s="11">
        <f>VLOOKUP(B196,'La Unión FC'!$B$4:$G$18,3,FALSE)</f>
        <v>0</v>
      </c>
      <c r="E196" s="11" t="str">
        <f>IF(D196&gt;0,RANK(D196,$D$2:$D$241)+COUNTIF($D$2:D196,D196)-1,"")</f>
        <v/>
      </c>
      <c r="F196" s="11" t="str">
        <f t="shared" si="36"/>
        <v/>
      </c>
      <c r="G196" s="11" t="str">
        <f t="shared" si="37"/>
        <v/>
      </c>
      <c r="H196" s="36" t="str">
        <f t="shared" si="38"/>
        <v/>
      </c>
      <c r="I196" s="11">
        <f>VLOOKUP(B196,'La Unión FC'!$B$4:$G$18,4,FALSE)</f>
        <v>0</v>
      </c>
      <c r="J196" s="11" t="str">
        <f>IF(I196&gt;0,RANK(I196,$I$2:$I$240)+COUNTIF($I$2:I196,I196)-1,"")</f>
        <v/>
      </c>
      <c r="K196" s="11" t="str">
        <f t="shared" si="39"/>
        <v/>
      </c>
      <c r="L196" s="11" t="str">
        <f t="shared" si="40"/>
        <v/>
      </c>
      <c r="M196" s="11" t="str">
        <f t="shared" si="41"/>
        <v/>
      </c>
      <c r="N196" s="11" t="e">
        <f>VLOOKUP(B196,'Rayos FC'!$B$4:$G$18,5,FALSE)</f>
        <v>#N/A</v>
      </c>
      <c r="O196" s="11" t="e">
        <f>IF(N196&gt;0,RANK(N196,$N$2:$N$240)+COUNTIF($N$2:N196,N196)-1,"")</f>
        <v>#N/A</v>
      </c>
      <c r="P196" s="11" t="str">
        <f t="shared" si="42"/>
        <v/>
      </c>
      <c r="Q196" s="11" t="str">
        <f t="shared" si="43"/>
        <v/>
      </c>
      <c r="R196" s="11" t="str">
        <f t="shared" si="44"/>
        <v/>
      </c>
      <c r="S196" s="11" t="e">
        <f>VLOOKUP(B196,'Rayos FC'!$B$4:$G$18,6,FALSE)</f>
        <v>#N/A</v>
      </c>
      <c r="T196" s="11" t="e">
        <f>IF(S196&gt;0,RANK(S196,$S$2:$S$240)+COUNTIF($S$2:S196,S196)-1,"")</f>
        <v>#N/A</v>
      </c>
      <c r="U196" s="11" t="str">
        <f t="shared" si="45"/>
        <v/>
      </c>
      <c r="V196" s="11" t="str">
        <f t="shared" si="46"/>
        <v/>
      </c>
      <c r="W196" s="11" t="str">
        <f t="shared" si="47"/>
        <v/>
      </c>
    </row>
    <row r="197" spans="1:23" x14ac:dyDescent="0.25">
      <c r="A197" s="17">
        <v>196</v>
      </c>
      <c r="B197" s="18" t="str">
        <f>Jugadores!N3</f>
        <v>Cristián Alejandro Chavarría</v>
      </c>
      <c r="C197" s="17" t="str">
        <f>+Jugadores!$N$2</f>
        <v>Los Aliados</v>
      </c>
      <c r="D197" s="11">
        <f>VLOOKUP(B197,'Los Aliados'!$B$4:$G$18,3,FALSE)</f>
        <v>2</v>
      </c>
      <c r="E197" s="11">
        <f>IF(D197&gt;0,RANK(D197,$D$2:$D$241)+COUNTIF($D$2:D197,D197)-1,"")</f>
        <v>131</v>
      </c>
      <c r="F197" s="11" t="str">
        <f t="shared" si="36"/>
        <v/>
      </c>
      <c r="G197" s="11" t="str">
        <f t="shared" si="37"/>
        <v/>
      </c>
      <c r="H197" s="36" t="str">
        <f t="shared" si="38"/>
        <v/>
      </c>
      <c r="I197" s="11">
        <f>VLOOKUP(B197,'Los Aliados'!$B$4:$G$18,4,FALSE)</f>
        <v>2</v>
      </c>
      <c r="J197" s="11">
        <f>IF(I197&gt;0,RANK(I197,$I$2:$I$240)+COUNTIF($I$2:I197,I197)-1,"")</f>
        <v>61</v>
      </c>
      <c r="K197" s="11" t="str">
        <f t="shared" si="39"/>
        <v/>
      </c>
      <c r="L197" s="11" t="str">
        <f t="shared" si="40"/>
        <v/>
      </c>
      <c r="M197" s="11" t="str">
        <f t="shared" si="41"/>
        <v/>
      </c>
      <c r="N197" s="11" t="e">
        <f>VLOOKUP(B197,Amenadim!$B$4:$G$18,5,FALSE)</f>
        <v>#N/A</v>
      </c>
      <c r="O197" s="11" t="e">
        <f>IF(N197&gt;0,RANK(N197,$N$2:$N$240)+COUNTIF($N$2:N197,N197)-1,"")</f>
        <v>#N/A</v>
      </c>
      <c r="P197" s="11" t="str">
        <f t="shared" si="42"/>
        <v/>
      </c>
      <c r="Q197" s="11" t="str">
        <f t="shared" si="43"/>
        <v/>
      </c>
      <c r="R197" s="11" t="str">
        <f t="shared" si="44"/>
        <v/>
      </c>
      <c r="S197" s="11" t="e">
        <f>VLOOKUP(B197,Amenadim!$B$4:$G$18,6,FALSE)</f>
        <v>#N/A</v>
      </c>
      <c r="T197" s="11" t="e">
        <f>IF(S197&gt;0,RANK(S197,$S$2:$S$240)+COUNTIF($S$2:S197,S197)-1,"")</f>
        <v>#N/A</v>
      </c>
      <c r="U197" s="11" t="str">
        <f t="shared" si="45"/>
        <v/>
      </c>
      <c r="V197" s="11" t="str">
        <f t="shared" si="46"/>
        <v/>
      </c>
      <c r="W197" s="11" t="str">
        <f t="shared" si="47"/>
        <v/>
      </c>
    </row>
    <row r="198" spans="1:23" x14ac:dyDescent="0.25">
      <c r="A198" s="17">
        <v>197</v>
      </c>
      <c r="B198" s="18" t="str">
        <f>Jugadores!N4</f>
        <v>Steven Guevara</v>
      </c>
      <c r="C198" s="17" t="str">
        <f>+Jugadores!$N$2</f>
        <v>Los Aliados</v>
      </c>
      <c r="D198" s="11">
        <f>VLOOKUP(B198,'Los Aliados'!$B$4:$G$18,3,FALSE)</f>
        <v>0</v>
      </c>
      <c r="E198" s="11" t="str">
        <f>IF(D198&gt;0,RANK(D198,$D$2:$D$241)+COUNTIF($D$2:D198,D198)-1,"")</f>
        <v/>
      </c>
      <c r="F198" s="11" t="str">
        <f t="shared" si="36"/>
        <v/>
      </c>
      <c r="G198" s="11" t="str">
        <f t="shared" si="37"/>
        <v/>
      </c>
      <c r="H198" s="36" t="str">
        <f t="shared" si="38"/>
        <v/>
      </c>
      <c r="I198" s="11">
        <f>VLOOKUP(B198,'Los Aliados'!$B$4:$G$18,4,FALSE)</f>
        <v>0</v>
      </c>
      <c r="J198" s="11" t="str">
        <f>IF(I198&gt;0,RANK(I198,$I$2:$I$240)+COUNTIF($I$2:I198,I198)-1,"")</f>
        <v/>
      </c>
      <c r="K198" s="11" t="str">
        <f t="shared" si="39"/>
        <v/>
      </c>
      <c r="L198" s="11" t="str">
        <f t="shared" si="40"/>
        <v/>
      </c>
      <c r="M198" s="11" t="str">
        <f t="shared" si="41"/>
        <v/>
      </c>
      <c r="N198" s="11" t="e">
        <f>VLOOKUP(B198,Amenadim!$B$4:$G$18,5,FALSE)</f>
        <v>#N/A</v>
      </c>
      <c r="O198" s="11" t="e">
        <f>IF(N198&gt;0,RANK(N198,$N$2:$N$240)+COUNTIF($N$2:N198,N198)-1,"")</f>
        <v>#N/A</v>
      </c>
      <c r="P198" s="11" t="str">
        <f t="shared" si="42"/>
        <v/>
      </c>
      <c r="Q198" s="11" t="str">
        <f t="shared" si="43"/>
        <v/>
      </c>
      <c r="R198" s="11" t="str">
        <f t="shared" si="44"/>
        <v/>
      </c>
      <c r="S198" s="11" t="e">
        <f>VLOOKUP(B198,Amenadim!$B$4:$G$18,6,FALSE)</f>
        <v>#N/A</v>
      </c>
      <c r="T198" s="11" t="e">
        <f>IF(S198&gt;0,RANK(S198,$S$2:$S$240)+COUNTIF($S$2:S198,S198)-1,"")</f>
        <v>#N/A</v>
      </c>
      <c r="U198" s="11" t="str">
        <f t="shared" si="45"/>
        <v/>
      </c>
      <c r="V198" s="11" t="str">
        <f t="shared" si="46"/>
        <v/>
      </c>
      <c r="W198" s="11" t="str">
        <f t="shared" si="47"/>
        <v/>
      </c>
    </row>
    <row r="199" spans="1:23" x14ac:dyDescent="0.25">
      <c r="A199" s="17">
        <v>198</v>
      </c>
      <c r="B199" s="18" t="str">
        <f>Jugadores!N5</f>
        <v xml:space="preserve">Jhon Alexander Bejarano Gómez </v>
      </c>
      <c r="C199" s="17" t="str">
        <f>+Jugadores!$N$2</f>
        <v>Los Aliados</v>
      </c>
      <c r="D199" s="11">
        <f>VLOOKUP(B199,'Los Aliados'!$B$4:$G$18,3,FALSE)</f>
        <v>0</v>
      </c>
      <c r="E199" s="11" t="str">
        <f>IF(D199&gt;0,RANK(D199,$D$2:$D$241)+COUNTIF($D$2:D199,D199)-1,"")</f>
        <v/>
      </c>
      <c r="F199" s="11" t="str">
        <f t="shared" si="36"/>
        <v/>
      </c>
      <c r="G199" s="11" t="str">
        <f t="shared" si="37"/>
        <v/>
      </c>
      <c r="H199" s="36" t="str">
        <f t="shared" si="38"/>
        <v/>
      </c>
      <c r="I199" s="11">
        <f>VLOOKUP(B199,'Los Aliados'!$B$4:$G$18,4,FALSE)</f>
        <v>0</v>
      </c>
      <c r="J199" s="11" t="str">
        <f>IF(I199&gt;0,RANK(I199,$I$2:$I$240)+COUNTIF($I$2:I199,I199)-1,"")</f>
        <v/>
      </c>
      <c r="K199" s="11" t="str">
        <f t="shared" si="39"/>
        <v/>
      </c>
      <c r="L199" s="11" t="str">
        <f t="shared" si="40"/>
        <v/>
      </c>
      <c r="M199" s="11" t="str">
        <f t="shared" si="41"/>
        <v/>
      </c>
      <c r="N199" s="11" t="e">
        <f>VLOOKUP(B199,Amenadim!$B$4:$G$18,5,FALSE)</f>
        <v>#N/A</v>
      </c>
      <c r="O199" s="11" t="e">
        <f>IF(N199&gt;0,RANK(N199,$N$2:$N$240)+COUNTIF($N$2:N199,N199)-1,"")</f>
        <v>#N/A</v>
      </c>
      <c r="P199" s="11" t="str">
        <f t="shared" si="42"/>
        <v/>
      </c>
      <c r="Q199" s="11" t="str">
        <f t="shared" si="43"/>
        <v/>
      </c>
      <c r="R199" s="11" t="str">
        <f t="shared" si="44"/>
        <v/>
      </c>
      <c r="S199" s="11" t="e">
        <f>VLOOKUP(B199,Amenadim!$B$4:$G$18,6,FALSE)</f>
        <v>#N/A</v>
      </c>
      <c r="T199" s="11" t="e">
        <f>IF(S199&gt;0,RANK(S199,$S$2:$S$240)+COUNTIF($S$2:S199,S199)-1,"")</f>
        <v>#N/A</v>
      </c>
      <c r="U199" s="11" t="str">
        <f t="shared" si="45"/>
        <v/>
      </c>
      <c r="V199" s="11" t="str">
        <f t="shared" si="46"/>
        <v/>
      </c>
      <c r="W199" s="11" t="str">
        <f t="shared" si="47"/>
        <v/>
      </c>
    </row>
    <row r="200" spans="1:23" x14ac:dyDescent="0.25">
      <c r="A200" s="17">
        <v>199</v>
      </c>
      <c r="B200" s="18" t="str">
        <f>Jugadores!N6</f>
        <v>Sergio Reales Zambrano</v>
      </c>
      <c r="C200" s="17" t="str">
        <f>+Jugadores!$N$2</f>
        <v>Los Aliados</v>
      </c>
      <c r="D200" s="11">
        <f>VLOOKUP(B200,'Los Aliados'!$B$4:$G$18,3,FALSE)</f>
        <v>0</v>
      </c>
      <c r="E200" s="11" t="str">
        <f>IF(D200&gt;0,RANK(D200,$D$2:$D$241)+COUNTIF($D$2:D200,D200)-1,"")</f>
        <v/>
      </c>
      <c r="F200" s="11" t="str">
        <f t="shared" si="36"/>
        <v/>
      </c>
      <c r="G200" s="11" t="str">
        <f t="shared" si="37"/>
        <v/>
      </c>
      <c r="H200" s="36" t="str">
        <f t="shared" si="38"/>
        <v/>
      </c>
      <c r="I200" s="11">
        <f>VLOOKUP(B200,'Los Aliados'!$B$4:$G$18,4,FALSE)</f>
        <v>2</v>
      </c>
      <c r="J200" s="11">
        <f>IF(I200&gt;0,RANK(I200,$I$2:$I$240)+COUNTIF($I$2:I200,I200)-1,"")</f>
        <v>62</v>
      </c>
      <c r="K200" s="11" t="str">
        <f t="shared" si="39"/>
        <v/>
      </c>
      <c r="L200" s="11" t="str">
        <f t="shared" si="40"/>
        <v/>
      </c>
      <c r="M200" s="11" t="str">
        <f t="shared" si="41"/>
        <v/>
      </c>
      <c r="N200" s="11" t="e">
        <f>VLOOKUP(B200,Amenadim!$B$4:$G$18,5,FALSE)</f>
        <v>#N/A</v>
      </c>
      <c r="O200" s="11" t="e">
        <f>IF(N200&gt;0,RANK(N200,$N$2:$N$240)+COUNTIF($N$2:N200,N200)-1,"")</f>
        <v>#N/A</v>
      </c>
      <c r="P200" s="11" t="str">
        <f t="shared" si="42"/>
        <v/>
      </c>
      <c r="Q200" s="11" t="str">
        <f t="shared" si="43"/>
        <v/>
      </c>
      <c r="R200" s="11" t="str">
        <f t="shared" si="44"/>
        <v/>
      </c>
      <c r="S200" s="11" t="e">
        <f>VLOOKUP(B200,Amenadim!$B$4:$G$18,6,FALSE)</f>
        <v>#N/A</v>
      </c>
      <c r="T200" s="11" t="e">
        <f>IF(S200&gt;0,RANK(S200,$S$2:$S$240)+COUNTIF($S$2:S200,S200)-1,"")</f>
        <v>#N/A</v>
      </c>
      <c r="U200" s="11" t="str">
        <f t="shared" si="45"/>
        <v/>
      </c>
      <c r="V200" s="11" t="str">
        <f t="shared" si="46"/>
        <v/>
      </c>
      <c r="W200" s="11" t="str">
        <f t="shared" si="47"/>
        <v/>
      </c>
    </row>
    <row r="201" spans="1:23" x14ac:dyDescent="0.25">
      <c r="A201" s="17">
        <v>200</v>
      </c>
      <c r="B201" s="18" t="str">
        <f>Jugadores!N7</f>
        <v>Gustavo Moscoso</v>
      </c>
      <c r="C201" s="17" t="str">
        <f>+Jugadores!$N$2</f>
        <v>Los Aliados</v>
      </c>
      <c r="D201" s="11">
        <f>VLOOKUP(B201,'Los Aliados'!$B$4:$G$18,3,FALSE)</f>
        <v>7</v>
      </c>
      <c r="E201" s="11">
        <f>IF(D201&gt;0,RANK(D201,$D$2:$D$241)+COUNTIF($D$2:D201,D201)-1,"")</f>
        <v>47</v>
      </c>
      <c r="F201" s="11" t="str">
        <f t="shared" si="36"/>
        <v/>
      </c>
      <c r="G201" s="11" t="str">
        <f t="shared" si="37"/>
        <v/>
      </c>
      <c r="H201" s="36" t="str">
        <f t="shared" si="38"/>
        <v/>
      </c>
      <c r="I201" s="11">
        <f>VLOOKUP(B201,'Los Aliados'!$B$4:$G$18,4,FALSE)</f>
        <v>0</v>
      </c>
      <c r="J201" s="11" t="str">
        <f>IF(I201&gt;0,RANK(I201,$I$2:$I$240)+COUNTIF($I$2:I201,I201)-1,"")</f>
        <v/>
      </c>
      <c r="K201" s="11" t="str">
        <f t="shared" si="39"/>
        <v/>
      </c>
      <c r="L201" s="11" t="str">
        <f t="shared" si="40"/>
        <v/>
      </c>
      <c r="M201" s="11" t="str">
        <f t="shared" si="41"/>
        <v/>
      </c>
      <c r="N201" s="11" t="e">
        <f>VLOOKUP(B201,Amenadim!$B$4:$G$18,5,FALSE)</f>
        <v>#N/A</v>
      </c>
      <c r="O201" s="11" t="e">
        <f>IF(N201&gt;0,RANK(N201,$N$2:$N$240)+COUNTIF($N$2:N201,N201)-1,"")</f>
        <v>#N/A</v>
      </c>
      <c r="P201" s="11" t="str">
        <f t="shared" si="42"/>
        <v/>
      </c>
      <c r="Q201" s="11" t="str">
        <f t="shared" si="43"/>
        <v/>
      </c>
      <c r="R201" s="11" t="str">
        <f t="shared" si="44"/>
        <v/>
      </c>
      <c r="S201" s="11" t="e">
        <f>VLOOKUP(B201,Amenadim!$B$4:$G$18,6,FALSE)</f>
        <v>#N/A</v>
      </c>
      <c r="T201" s="11" t="e">
        <f>IF(S201&gt;0,RANK(S201,$S$2:$S$240)+COUNTIF($S$2:S201,S201)-1,"")</f>
        <v>#N/A</v>
      </c>
      <c r="U201" s="11" t="str">
        <f t="shared" si="45"/>
        <v/>
      </c>
      <c r="V201" s="11" t="str">
        <f t="shared" si="46"/>
        <v/>
      </c>
      <c r="W201" s="11" t="str">
        <f t="shared" si="47"/>
        <v/>
      </c>
    </row>
    <row r="202" spans="1:23" x14ac:dyDescent="0.25">
      <c r="A202" s="17">
        <v>201</v>
      </c>
      <c r="B202" s="18" t="str">
        <f>Jugadores!N8</f>
        <v>Jhoan Sebastián Ossa</v>
      </c>
      <c r="C202" s="17" t="str">
        <f>+Jugadores!$N$2</f>
        <v>Los Aliados</v>
      </c>
      <c r="D202" s="11">
        <f>VLOOKUP(B202,'Los Aliados'!$B$4:$G$18,3,FALSE)</f>
        <v>2</v>
      </c>
      <c r="E202" s="11">
        <f>IF(D202&gt;0,RANK(D202,$D$2:$D$241)+COUNTIF($D$2:D202,D202)-1,"")</f>
        <v>132</v>
      </c>
      <c r="F202" s="11" t="str">
        <f t="shared" si="36"/>
        <v/>
      </c>
      <c r="G202" s="11" t="str">
        <f t="shared" si="37"/>
        <v/>
      </c>
      <c r="H202" s="36" t="str">
        <f t="shared" si="38"/>
        <v/>
      </c>
      <c r="I202" s="11">
        <f>VLOOKUP(B202,'Los Aliados'!$B$4:$G$18,4,FALSE)</f>
        <v>3</v>
      </c>
      <c r="J202" s="11">
        <f>IF(I202&gt;0,RANK(I202,$I$2:$I$240)+COUNTIF($I$2:I202,I202)-1,"")</f>
        <v>31</v>
      </c>
      <c r="K202" s="11" t="str">
        <f t="shared" si="39"/>
        <v/>
      </c>
      <c r="L202" s="11" t="str">
        <f t="shared" si="40"/>
        <v/>
      </c>
      <c r="M202" s="11" t="str">
        <f t="shared" si="41"/>
        <v/>
      </c>
      <c r="N202" s="11" t="e">
        <f>VLOOKUP(B202,Amenadim!$B$4:$G$18,5,FALSE)</f>
        <v>#N/A</v>
      </c>
      <c r="O202" s="11" t="e">
        <f>IF(N202&gt;0,RANK(N202,$N$2:$N$240)+COUNTIF($N$2:N202,N202)-1,"")</f>
        <v>#N/A</v>
      </c>
      <c r="P202" s="11" t="str">
        <f t="shared" si="42"/>
        <v/>
      </c>
      <c r="Q202" s="11" t="str">
        <f t="shared" si="43"/>
        <v/>
      </c>
      <c r="R202" s="11" t="str">
        <f t="shared" si="44"/>
        <v/>
      </c>
      <c r="S202" s="11" t="e">
        <f>VLOOKUP(B202,Amenadim!$B$4:$G$18,6,FALSE)</f>
        <v>#N/A</v>
      </c>
      <c r="T202" s="11" t="e">
        <f>IF(S202&gt;0,RANK(S202,$S$2:$S$240)+COUNTIF($S$2:S202,S202)-1,"")</f>
        <v>#N/A</v>
      </c>
      <c r="U202" s="11" t="str">
        <f t="shared" si="45"/>
        <v/>
      </c>
      <c r="V202" s="11" t="str">
        <f t="shared" si="46"/>
        <v/>
      </c>
      <c r="W202" s="11" t="str">
        <f t="shared" si="47"/>
        <v/>
      </c>
    </row>
    <row r="203" spans="1:23" x14ac:dyDescent="0.25">
      <c r="A203" s="17">
        <v>202</v>
      </c>
      <c r="B203" s="18" t="str">
        <f>Jugadores!N9</f>
        <v>Marcos Muñoz</v>
      </c>
      <c r="C203" s="17" t="str">
        <f>+Jugadores!$N$2</f>
        <v>Los Aliados</v>
      </c>
      <c r="D203" s="11">
        <f>VLOOKUP(B203,'Los Aliados'!$B$4:$G$18,3,FALSE)</f>
        <v>9</v>
      </c>
      <c r="E203" s="11">
        <f>IF(D203&gt;0,RANK(D203,$D$2:$D$241)+COUNTIF($D$2:D203,D203)-1,"")</f>
        <v>30</v>
      </c>
      <c r="F203" s="11" t="str">
        <f t="shared" si="36"/>
        <v/>
      </c>
      <c r="G203" s="11" t="str">
        <f t="shared" si="37"/>
        <v/>
      </c>
      <c r="H203" s="36" t="str">
        <f t="shared" si="38"/>
        <v/>
      </c>
      <c r="I203" s="11">
        <f>VLOOKUP(B203,'Los Aliados'!$B$4:$G$18,4,FALSE)</f>
        <v>2</v>
      </c>
      <c r="J203" s="11">
        <f>IF(I203&gt;0,RANK(I203,$I$2:$I$240)+COUNTIF($I$2:I203,I203)-1,"")</f>
        <v>63</v>
      </c>
      <c r="K203" s="11" t="str">
        <f t="shared" si="39"/>
        <v/>
      </c>
      <c r="L203" s="11" t="str">
        <f t="shared" si="40"/>
        <v/>
      </c>
      <c r="M203" s="11" t="str">
        <f t="shared" si="41"/>
        <v/>
      </c>
      <c r="N203" s="11" t="e">
        <f>VLOOKUP(B203,Amenadim!$B$4:$G$18,5,FALSE)</f>
        <v>#N/A</v>
      </c>
      <c r="O203" s="11" t="e">
        <f>IF(N203&gt;0,RANK(N203,$N$2:$N$240)+COUNTIF($N$2:N203,N203)-1,"")</f>
        <v>#N/A</v>
      </c>
      <c r="P203" s="11" t="str">
        <f t="shared" si="42"/>
        <v/>
      </c>
      <c r="Q203" s="11" t="str">
        <f t="shared" si="43"/>
        <v/>
      </c>
      <c r="R203" s="11" t="str">
        <f t="shared" si="44"/>
        <v/>
      </c>
      <c r="S203" s="11" t="e">
        <f>VLOOKUP(B203,Amenadim!$B$4:$G$18,6,FALSE)</f>
        <v>#N/A</v>
      </c>
      <c r="T203" s="11" t="e">
        <f>IF(S203&gt;0,RANK(S203,$S$2:$S$240)+COUNTIF($S$2:S203,S203)-1,"")</f>
        <v>#N/A</v>
      </c>
      <c r="U203" s="11" t="str">
        <f t="shared" si="45"/>
        <v/>
      </c>
      <c r="V203" s="11" t="str">
        <f t="shared" si="46"/>
        <v/>
      </c>
      <c r="W203" s="11" t="str">
        <f t="shared" si="47"/>
        <v/>
      </c>
    </row>
    <row r="204" spans="1:23" x14ac:dyDescent="0.25">
      <c r="A204" s="17">
        <v>203</v>
      </c>
      <c r="B204" s="18" t="str">
        <f>Jugadores!N10</f>
        <v xml:space="preserve">Miguel Ángel González </v>
      </c>
      <c r="C204" s="17" t="str">
        <f>+Jugadores!$N$2</f>
        <v>Los Aliados</v>
      </c>
      <c r="D204" s="11">
        <f>VLOOKUP(B204,'Los Aliados'!$B$4:$G$18,3,FALSE)</f>
        <v>0</v>
      </c>
      <c r="E204" s="11" t="str">
        <f>IF(D204&gt;0,RANK(D204,$D$2:$D$241)+COUNTIF($D$2:D204,D204)-1,"")</f>
        <v/>
      </c>
      <c r="F204" s="11" t="str">
        <f t="shared" si="36"/>
        <v/>
      </c>
      <c r="G204" s="11" t="str">
        <f t="shared" si="37"/>
        <v/>
      </c>
      <c r="H204" s="36" t="str">
        <f t="shared" si="38"/>
        <v/>
      </c>
      <c r="I204" s="11">
        <f>VLOOKUP(B204,'Los Aliados'!$B$4:$G$18,4,FALSE)</f>
        <v>0</v>
      </c>
      <c r="J204" s="11" t="str">
        <f>IF(I204&gt;0,RANK(I204,$I$2:$I$240)+COUNTIF($I$2:I204,I204)-1,"")</f>
        <v/>
      </c>
      <c r="K204" s="11" t="str">
        <f t="shared" si="39"/>
        <v/>
      </c>
      <c r="L204" s="11" t="str">
        <f t="shared" si="40"/>
        <v/>
      </c>
      <c r="M204" s="11" t="str">
        <f t="shared" si="41"/>
        <v/>
      </c>
      <c r="N204" s="11" t="e">
        <f>VLOOKUP(B204,Amenadim!$B$4:$G$18,5,FALSE)</f>
        <v>#N/A</v>
      </c>
      <c r="O204" s="11" t="e">
        <f>IF(N204&gt;0,RANK(N204,$N$2:$N$240)+COUNTIF($N$2:N204,N204)-1,"")</f>
        <v>#N/A</v>
      </c>
      <c r="P204" s="11" t="str">
        <f t="shared" si="42"/>
        <v/>
      </c>
      <c r="Q204" s="11" t="str">
        <f t="shared" si="43"/>
        <v/>
      </c>
      <c r="R204" s="11" t="str">
        <f t="shared" si="44"/>
        <v/>
      </c>
      <c r="S204" s="11" t="e">
        <f>VLOOKUP(B204,Amenadim!$B$4:$G$18,6,FALSE)</f>
        <v>#N/A</v>
      </c>
      <c r="T204" s="11" t="e">
        <f>IF(S204&gt;0,RANK(S204,$S$2:$S$240)+COUNTIF($S$2:S204,S204)-1,"")</f>
        <v>#N/A</v>
      </c>
      <c r="U204" s="11" t="str">
        <f t="shared" si="45"/>
        <v/>
      </c>
      <c r="V204" s="11" t="str">
        <f t="shared" si="46"/>
        <v/>
      </c>
      <c r="W204" s="11" t="str">
        <f t="shared" si="47"/>
        <v/>
      </c>
    </row>
    <row r="205" spans="1:23" x14ac:dyDescent="0.25">
      <c r="A205" s="17">
        <v>204</v>
      </c>
      <c r="B205" s="18" t="str">
        <f>Jugadores!N11</f>
        <v xml:space="preserve">Samuel Cardénas </v>
      </c>
      <c r="C205" s="17" t="str">
        <f>+Jugadores!$N$2</f>
        <v>Los Aliados</v>
      </c>
      <c r="D205" s="11">
        <f>VLOOKUP(B205,'Los Aliados'!$B$4:$G$18,3,FALSE)</f>
        <v>1</v>
      </c>
      <c r="E205" s="11">
        <f>IF(D205&gt;0,RANK(D205,$D$2:$D$241)+COUNTIF($D$2:D205,D205)-1,"")</f>
        <v>172</v>
      </c>
      <c r="F205" s="11" t="str">
        <f t="shared" si="36"/>
        <v/>
      </c>
      <c r="G205" s="11" t="str">
        <f t="shared" si="37"/>
        <v/>
      </c>
      <c r="H205" s="36" t="str">
        <f t="shared" si="38"/>
        <v/>
      </c>
      <c r="I205" s="11">
        <f>VLOOKUP(B205,'Los Aliados'!$B$4:$G$18,4,FALSE)</f>
        <v>0</v>
      </c>
      <c r="J205" s="11" t="str">
        <f>IF(I205&gt;0,RANK(I205,$I$2:$I$240)+COUNTIF($I$2:I205,I205)-1,"")</f>
        <v/>
      </c>
      <c r="K205" s="11" t="str">
        <f t="shared" si="39"/>
        <v/>
      </c>
      <c r="L205" s="11" t="str">
        <f t="shared" si="40"/>
        <v/>
      </c>
      <c r="M205" s="11" t="str">
        <f t="shared" si="41"/>
        <v/>
      </c>
      <c r="N205" s="11" t="e">
        <f>VLOOKUP(B205,Amenadim!$B$4:$G$18,5,FALSE)</f>
        <v>#N/A</v>
      </c>
      <c r="O205" s="11" t="e">
        <f>IF(N205&gt;0,RANK(N205,$N$2:$N$240)+COUNTIF($N$2:N205,N205)-1,"")</f>
        <v>#N/A</v>
      </c>
      <c r="P205" s="11" t="str">
        <f t="shared" si="42"/>
        <v/>
      </c>
      <c r="Q205" s="11" t="str">
        <f t="shared" si="43"/>
        <v/>
      </c>
      <c r="R205" s="11" t="str">
        <f t="shared" si="44"/>
        <v/>
      </c>
      <c r="S205" s="11" t="e">
        <f>VLOOKUP(B205,Amenadim!$B$4:$G$18,6,FALSE)</f>
        <v>#N/A</v>
      </c>
      <c r="T205" s="11" t="e">
        <f>IF(S205&gt;0,RANK(S205,$S$2:$S$240)+COUNTIF($S$2:S205,S205)-1,"")</f>
        <v>#N/A</v>
      </c>
      <c r="U205" s="11" t="str">
        <f t="shared" si="45"/>
        <v/>
      </c>
      <c r="V205" s="11" t="str">
        <f t="shared" si="46"/>
        <v/>
      </c>
      <c r="W205" s="11" t="str">
        <f t="shared" si="47"/>
        <v/>
      </c>
    </row>
    <row r="206" spans="1:23" x14ac:dyDescent="0.25">
      <c r="A206" s="17">
        <v>205</v>
      </c>
      <c r="B206" s="18" t="str">
        <f>Jugadores!N12</f>
        <v xml:space="preserve">Daniel Ospina </v>
      </c>
      <c r="C206" s="17" t="str">
        <f>+Jugadores!$N$2</f>
        <v>Los Aliados</v>
      </c>
      <c r="D206" s="11">
        <f>VLOOKUP(B206,'Los Aliados'!$B$4:$G$18,3,FALSE)</f>
        <v>0</v>
      </c>
      <c r="E206" s="11" t="str">
        <f>IF(D206&gt;0,RANK(D206,$D$2:$D$241)+COUNTIF($D$2:D206,D206)-1,"")</f>
        <v/>
      </c>
      <c r="F206" s="11" t="str">
        <f t="shared" si="36"/>
        <v/>
      </c>
      <c r="G206" s="11" t="str">
        <f t="shared" si="37"/>
        <v/>
      </c>
      <c r="H206" s="36" t="str">
        <f t="shared" si="38"/>
        <v/>
      </c>
      <c r="I206" s="11">
        <f>VLOOKUP(B206,'Los Aliados'!$B$4:$G$18,4,FALSE)</f>
        <v>1</v>
      </c>
      <c r="J206" s="11">
        <f>IF(I206&gt;0,RANK(I206,$I$2:$I$240)+COUNTIF($I$2:I206,I206)-1,"")</f>
        <v>120</v>
      </c>
      <c r="K206" s="11" t="str">
        <f t="shared" si="39"/>
        <v/>
      </c>
      <c r="L206" s="11" t="str">
        <f t="shared" si="40"/>
        <v/>
      </c>
      <c r="M206" s="11" t="str">
        <f t="shared" si="41"/>
        <v/>
      </c>
      <c r="N206" s="11" t="e">
        <f>VLOOKUP(B206,Amenadim!$B$4:$G$18,5,FALSE)</f>
        <v>#N/A</v>
      </c>
      <c r="O206" s="11" t="e">
        <f>IF(N206&gt;0,RANK(N206,$N$2:$N$240)+COUNTIF($N$2:N206,N206)-1,"")</f>
        <v>#N/A</v>
      </c>
      <c r="P206" s="11" t="str">
        <f t="shared" si="42"/>
        <v/>
      </c>
      <c r="Q206" s="11" t="str">
        <f t="shared" si="43"/>
        <v/>
      </c>
      <c r="R206" s="11" t="str">
        <f t="shared" si="44"/>
        <v/>
      </c>
      <c r="S206" s="11" t="e">
        <f>VLOOKUP(B206,Amenadim!$B$4:$G$18,6,FALSE)</f>
        <v>#N/A</v>
      </c>
      <c r="T206" s="11" t="e">
        <f>IF(S206&gt;0,RANK(S206,$S$2:$S$240)+COUNTIF($S$2:S206,S206)-1,"")</f>
        <v>#N/A</v>
      </c>
      <c r="U206" s="11" t="str">
        <f t="shared" si="45"/>
        <v/>
      </c>
      <c r="V206" s="11" t="str">
        <f t="shared" si="46"/>
        <v/>
      </c>
      <c r="W206" s="11" t="str">
        <f t="shared" si="47"/>
        <v/>
      </c>
    </row>
    <row r="207" spans="1:23" x14ac:dyDescent="0.25">
      <c r="A207" s="17">
        <v>206</v>
      </c>
      <c r="B207" s="18" t="str">
        <f>Jugadores!N13</f>
        <v xml:space="preserve">Jhonatan Andrés Morales </v>
      </c>
      <c r="C207" s="17" t="str">
        <f>+Jugadores!$N$2</f>
        <v>Los Aliados</v>
      </c>
      <c r="D207" s="11">
        <f>VLOOKUP(B207,'Los Aliados'!$B$4:$G$18,3,FALSE)</f>
        <v>3</v>
      </c>
      <c r="E207" s="11">
        <f>IF(D207&gt;0,RANK(D207,$D$2:$D$241)+COUNTIF($D$2:D207,D207)-1,"")</f>
        <v>109</v>
      </c>
      <c r="F207" s="11" t="str">
        <f t="shared" si="36"/>
        <v/>
      </c>
      <c r="G207" s="11" t="str">
        <f t="shared" si="37"/>
        <v/>
      </c>
      <c r="H207" s="36" t="str">
        <f t="shared" si="38"/>
        <v/>
      </c>
      <c r="I207" s="11">
        <f>VLOOKUP(B207,'Los Aliados'!$B$4:$G$18,4,FALSE)</f>
        <v>0</v>
      </c>
      <c r="J207" s="11" t="str">
        <f>IF(I207&gt;0,RANK(I207,$I$2:$I$240)+COUNTIF($I$2:I207,I207)-1,"")</f>
        <v/>
      </c>
      <c r="K207" s="11" t="str">
        <f t="shared" si="39"/>
        <v/>
      </c>
      <c r="L207" s="11" t="str">
        <f t="shared" si="40"/>
        <v/>
      </c>
      <c r="M207" s="11" t="str">
        <f t="shared" si="41"/>
        <v/>
      </c>
      <c r="N207" s="11" t="e">
        <f>VLOOKUP(B207,Amenadim!$B$4:$G$18,5,FALSE)</f>
        <v>#N/A</v>
      </c>
      <c r="O207" s="11" t="e">
        <f>IF(N207&gt;0,RANK(N207,$N$2:$N$240)+COUNTIF($N$2:N207,N207)-1,"")</f>
        <v>#N/A</v>
      </c>
      <c r="P207" s="11" t="str">
        <f t="shared" si="42"/>
        <v/>
      </c>
      <c r="Q207" s="11" t="str">
        <f t="shared" si="43"/>
        <v/>
      </c>
      <c r="R207" s="11" t="str">
        <f t="shared" si="44"/>
        <v/>
      </c>
      <c r="S207" s="11" t="e">
        <f>VLOOKUP(B207,Amenadim!$B$4:$G$18,6,FALSE)</f>
        <v>#N/A</v>
      </c>
      <c r="T207" s="11" t="e">
        <f>IF(S207&gt;0,RANK(S207,$S$2:$S$240)+COUNTIF($S$2:S207,S207)-1,"")</f>
        <v>#N/A</v>
      </c>
      <c r="U207" s="11" t="str">
        <f t="shared" si="45"/>
        <v/>
      </c>
      <c r="V207" s="11" t="str">
        <f t="shared" si="46"/>
        <v/>
      </c>
      <c r="W207" s="11" t="str">
        <f t="shared" si="47"/>
        <v/>
      </c>
    </row>
    <row r="208" spans="1:23" x14ac:dyDescent="0.25">
      <c r="A208" s="17">
        <v>207</v>
      </c>
      <c r="B208" s="18" t="str">
        <f>Jugadores!N14</f>
        <v xml:space="preserve">José Joaquín García </v>
      </c>
      <c r="C208" s="17" t="str">
        <f>+Jugadores!$N$2</f>
        <v>Los Aliados</v>
      </c>
      <c r="D208" s="11">
        <f>VLOOKUP(B208,'Los Aliados'!$B$4:$G$18,3,FALSE)</f>
        <v>1</v>
      </c>
      <c r="E208" s="11">
        <f>IF(D208&gt;0,RANK(D208,$D$2:$D$241)+COUNTIF($D$2:D208,D208)-1,"")</f>
        <v>173</v>
      </c>
      <c r="F208" s="11" t="str">
        <f t="shared" si="36"/>
        <v/>
      </c>
      <c r="G208" s="11" t="str">
        <f t="shared" si="37"/>
        <v/>
      </c>
      <c r="H208" s="36" t="str">
        <f t="shared" si="38"/>
        <v/>
      </c>
      <c r="I208" s="11">
        <f>VLOOKUP(B208,'Los Aliados'!$B$4:$G$18,4,FALSE)</f>
        <v>0</v>
      </c>
      <c r="J208" s="11" t="str">
        <f>IF(I208&gt;0,RANK(I208,$I$2:$I$240)+COUNTIF($I$2:I208,I208)-1,"")</f>
        <v/>
      </c>
      <c r="K208" s="11" t="str">
        <f t="shared" si="39"/>
        <v/>
      </c>
      <c r="L208" s="11" t="str">
        <f t="shared" si="40"/>
        <v/>
      </c>
      <c r="M208" s="11" t="str">
        <f t="shared" si="41"/>
        <v/>
      </c>
      <c r="N208" s="11" t="e">
        <f>VLOOKUP(B208,Amenadim!$B$4:$G$18,5,FALSE)</f>
        <v>#N/A</v>
      </c>
      <c r="O208" s="11" t="e">
        <f>IF(N208&gt;0,RANK(N208,$N$2:$N$240)+COUNTIF($N$2:N208,N208)-1,"")</f>
        <v>#N/A</v>
      </c>
      <c r="P208" s="11" t="str">
        <f t="shared" si="42"/>
        <v/>
      </c>
      <c r="Q208" s="11" t="str">
        <f t="shared" si="43"/>
        <v/>
      </c>
      <c r="R208" s="11" t="str">
        <f t="shared" si="44"/>
        <v/>
      </c>
      <c r="S208" s="11" t="e">
        <f>VLOOKUP(B208,Amenadim!$B$4:$G$18,6,FALSE)</f>
        <v>#N/A</v>
      </c>
      <c r="T208" s="11" t="e">
        <f>IF(S208&gt;0,RANK(S208,$S$2:$S$240)+COUNTIF($S$2:S208,S208)-1,"")</f>
        <v>#N/A</v>
      </c>
      <c r="U208" s="11" t="str">
        <f t="shared" si="45"/>
        <v/>
      </c>
      <c r="V208" s="11" t="str">
        <f t="shared" si="46"/>
        <v/>
      </c>
      <c r="W208" s="11" t="str">
        <f t="shared" si="47"/>
        <v/>
      </c>
    </row>
    <row r="209" spans="1:23" x14ac:dyDescent="0.25">
      <c r="A209" s="17">
        <v>208</v>
      </c>
      <c r="B209" s="18" t="str">
        <f>Jugadores!N15</f>
        <v xml:space="preserve">Cristian Alejandro Chavarría </v>
      </c>
      <c r="C209" s="17" t="str">
        <f>+Jugadores!$N$2</f>
        <v>Los Aliados</v>
      </c>
      <c r="D209" s="11">
        <f>VLOOKUP(B209,'Los Aliados'!$B$4:$G$18,3,FALSE)</f>
        <v>1</v>
      </c>
      <c r="E209" s="11">
        <f>IF(D209&gt;0,RANK(D209,$D$2:$D$241)+COUNTIF($D$2:D209,D209)-1,"")</f>
        <v>174</v>
      </c>
      <c r="F209" s="11" t="str">
        <f t="shared" si="36"/>
        <v/>
      </c>
      <c r="G209" s="11" t="str">
        <f t="shared" si="37"/>
        <v/>
      </c>
      <c r="H209" s="36" t="str">
        <f t="shared" si="38"/>
        <v/>
      </c>
      <c r="I209" s="11">
        <f>VLOOKUP(B209,'Los Aliados'!$B$4:$G$18,4,FALSE)</f>
        <v>1</v>
      </c>
      <c r="J209" s="11">
        <f>IF(I209&gt;0,RANK(I209,$I$2:$I$240)+COUNTIF($I$2:I209,I209)-1,"")</f>
        <v>121</v>
      </c>
      <c r="K209" s="11" t="str">
        <f t="shared" si="39"/>
        <v/>
      </c>
      <c r="L209" s="11" t="str">
        <f t="shared" si="40"/>
        <v/>
      </c>
      <c r="M209" s="11" t="str">
        <f t="shared" si="41"/>
        <v/>
      </c>
      <c r="N209" s="11" t="e">
        <f>VLOOKUP(B209,Amenadim!$B$4:$G$18,5,FALSE)</f>
        <v>#N/A</v>
      </c>
      <c r="O209" s="11" t="e">
        <f>IF(N209&gt;0,RANK(N209,$N$2:$N$240)+COUNTIF($N$2:N209,N209)-1,"")</f>
        <v>#N/A</v>
      </c>
      <c r="P209" s="11" t="str">
        <f t="shared" si="42"/>
        <v/>
      </c>
      <c r="Q209" s="11" t="str">
        <f t="shared" si="43"/>
        <v/>
      </c>
      <c r="R209" s="11" t="str">
        <f t="shared" si="44"/>
        <v/>
      </c>
      <c r="S209" s="11" t="e">
        <f>VLOOKUP(B209,Amenadim!$B$4:$G$18,6,FALSE)</f>
        <v>#N/A</v>
      </c>
      <c r="T209" s="11" t="e">
        <f>IF(S209&gt;0,RANK(S209,$S$2:$S$240)+COUNTIF($S$2:S209,S209)-1,"")</f>
        <v>#N/A</v>
      </c>
      <c r="U209" s="11" t="str">
        <f t="shared" si="45"/>
        <v/>
      </c>
      <c r="V209" s="11" t="str">
        <f t="shared" si="46"/>
        <v/>
      </c>
      <c r="W209" s="11" t="str">
        <f t="shared" si="47"/>
        <v/>
      </c>
    </row>
    <row r="210" spans="1:23" s="25" customFormat="1" x14ac:dyDescent="0.25">
      <c r="A210" s="17">
        <v>209</v>
      </c>
      <c r="B210" s="18" t="str">
        <f>Jugadores!N16</f>
        <v xml:space="preserve">Arley Castrillón </v>
      </c>
      <c r="C210" s="17" t="str">
        <f>+Jugadores!$N$2</f>
        <v>Los Aliados</v>
      </c>
      <c r="D210" s="11">
        <f>VLOOKUP(B210,'Los Aliados'!$B$4:$G$18,3,FALSE)</f>
        <v>1</v>
      </c>
      <c r="E210" s="11">
        <f>IF(D210&gt;0,RANK(D210,$D$2:$D$241)+COUNTIF($D$2:D210,D210)-1,"")</f>
        <v>175</v>
      </c>
      <c r="F210" s="11" t="str">
        <f t="shared" si="36"/>
        <v/>
      </c>
      <c r="G210" s="11" t="str">
        <f t="shared" si="37"/>
        <v/>
      </c>
      <c r="H210" s="36" t="str">
        <f t="shared" si="38"/>
        <v/>
      </c>
      <c r="I210" s="11">
        <f>VLOOKUP(B210,'Los Aliados'!$B$4:$G$18,4,FALSE)</f>
        <v>0</v>
      </c>
      <c r="J210" s="11" t="str">
        <f>IF(I210&gt;0,RANK(I210,$I$2:$I$240)+COUNTIF($I$2:I210,I210)-1,"")</f>
        <v/>
      </c>
      <c r="K210" s="11" t="str">
        <f t="shared" si="39"/>
        <v/>
      </c>
      <c r="L210" s="11" t="str">
        <f t="shared" si="40"/>
        <v/>
      </c>
      <c r="M210" s="11" t="str">
        <f t="shared" si="41"/>
        <v/>
      </c>
      <c r="N210" s="11" t="e">
        <f>VLOOKUP(B210,Amenadim!$B$4:$G$18,5,FALSE)</f>
        <v>#N/A</v>
      </c>
      <c r="O210" s="11" t="e">
        <f>IF(N210&gt;0,RANK(N210,$N$2:$N$240)+COUNTIF($N$2:N210,N210)-1,"")</f>
        <v>#N/A</v>
      </c>
      <c r="P210" s="11" t="str">
        <f t="shared" si="42"/>
        <v/>
      </c>
      <c r="Q210" s="11" t="str">
        <f t="shared" si="43"/>
        <v/>
      </c>
      <c r="R210" s="11" t="str">
        <f t="shared" si="44"/>
        <v/>
      </c>
      <c r="S210" s="11" t="e">
        <f>VLOOKUP(B210,Amenadim!$B$4:$G$18,6,FALSE)</f>
        <v>#N/A</v>
      </c>
      <c r="T210" s="11" t="e">
        <f>IF(S210&gt;0,RANK(S210,$S$2:$S$240)+COUNTIF($S$2:S210,S210)-1,"")</f>
        <v>#N/A</v>
      </c>
      <c r="U210" s="11" t="str">
        <f t="shared" si="45"/>
        <v/>
      </c>
      <c r="V210" s="11" t="str">
        <f t="shared" si="46"/>
        <v/>
      </c>
      <c r="W210" s="11" t="str">
        <f t="shared" si="47"/>
        <v/>
      </c>
    </row>
    <row r="211" spans="1:23" x14ac:dyDescent="0.25">
      <c r="A211" s="17">
        <v>210</v>
      </c>
      <c r="B211" s="18" t="str">
        <f>Jugadores!N17</f>
        <v xml:space="preserve">Wilson Arango </v>
      </c>
      <c r="C211" s="17" t="str">
        <f>+Jugadores!$N$2</f>
        <v>Los Aliados</v>
      </c>
      <c r="D211" s="11">
        <f>VLOOKUP(B211,'Los Aliados'!$B$4:$G$18,3,FALSE)</f>
        <v>2</v>
      </c>
      <c r="E211" s="11">
        <f>IF(D211&gt;0,RANK(D211,$D$2:$D$241)+COUNTIF($D$2:D211,D211)-1,"")</f>
        <v>133</v>
      </c>
      <c r="F211" s="11" t="str">
        <f t="shared" si="36"/>
        <v/>
      </c>
      <c r="G211" s="11" t="str">
        <f t="shared" si="37"/>
        <v/>
      </c>
      <c r="H211" s="36" t="str">
        <f t="shared" si="38"/>
        <v/>
      </c>
      <c r="I211" s="11">
        <f>VLOOKUP(B211,'Los Aliados'!$B$4:$G$18,4,FALSE)</f>
        <v>2</v>
      </c>
      <c r="J211" s="11">
        <f>IF(I211&gt;0,RANK(I211,$I$2:$I$240)+COUNTIF($I$2:I211,I211)-1,"")</f>
        <v>64</v>
      </c>
      <c r="K211" s="11" t="str">
        <f t="shared" si="39"/>
        <v/>
      </c>
      <c r="L211" s="11" t="str">
        <f t="shared" si="40"/>
        <v/>
      </c>
      <c r="M211" s="11" t="str">
        <f t="shared" si="41"/>
        <v/>
      </c>
      <c r="N211" s="11" t="e">
        <f>VLOOKUP(B211,Amenadim!$B$4:$G$18,5,FALSE)</f>
        <v>#N/A</v>
      </c>
      <c r="O211" s="11" t="e">
        <f>IF(N211&gt;0,RANK(N211,$N$2:$N$240)+COUNTIF($N$2:N211,N211)-1,"")</f>
        <v>#N/A</v>
      </c>
      <c r="P211" s="11" t="str">
        <f t="shared" si="42"/>
        <v/>
      </c>
      <c r="Q211" s="11" t="str">
        <f t="shared" si="43"/>
        <v/>
      </c>
      <c r="R211" s="11" t="str">
        <f t="shared" si="44"/>
        <v/>
      </c>
      <c r="S211" s="11" t="e">
        <f>VLOOKUP(B211,Amenadim!$B$4:$G$18,6,FALSE)</f>
        <v>#N/A</v>
      </c>
      <c r="T211" s="11" t="e">
        <f>IF(S211&gt;0,RANK(S211,$S$2:$S$240)+COUNTIF($S$2:S211,S211)-1,"")</f>
        <v>#N/A</v>
      </c>
      <c r="U211" s="11" t="str">
        <f t="shared" si="45"/>
        <v/>
      </c>
      <c r="V211" s="11" t="str">
        <f t="shared" si="46"/>
        <v/>
      </c>
      <c r="W211" s="11" t="str">
        <f t="shared" si="47"/>
        <v/>
      </c>
    </row>
    <row r="212" spans="1:23" x14ac:dyDescent="0.25">
      <c r="A212" s="17">
        <v>211</v>
      </c>
      <c r="B212" s="18" t="str">
        <f>Jugadores!O3</f>
        <v>Jhonatan Santiago</v>
      </c>
      <c r="C212" s="17" t="str">
        <f>+Jugadores!$O$2</f>
        <v>Atalanta</v>
      </c>
      <c r="D212" s="11">
        <f>VLOOKUP(B212,Atalanta!$B$4:$G$18,3,FALSE)</f>
        <v>6</v>
      </c>
      <c r="E212" s="11">
        <f>IF(D212&gt;0,RANK(D212,$D$2:$D$241)+COUNTIF($D$2:D212,D212)-1,"")</f>
        <v>62</v>
      </c>
      <c r="F212" s="11" t="str">
        <f t="shared" si="36"/>
        <v/>
      </c>
      <c r="G212" s="11" t="str">
        <f t="shared" si="37"/>
        <v/>
      </c>
      <c r="H212" s="36" t="str">
        <f t="shared" si="38"/>
        <v/>
      </c>
      <c r="I212" s="11">
        <f>VLOOKUP(B212,Atalanta!$B$4:$G$18,4,FALSE)</f>
        <v>2</v>
      </c>
      <c r="J212" s="11">
        <f>IF(I212&gt;0,RANK(I212,$I$2:$I$240)+COUNTIF($I$2:I212,I212)-1,"")</f>
        <v>65</v>
      </c>
      <c r="K212" s="11" t="str">
        <f t="shared" si="39"/>
        <v/>
      </c>
      <c r="L212" s="11" t="str">
        <f t="shared" si="40"/>
        <v/>
      </c>
      <c r="M212" s="11" t="str">
        <f t="shared" si="41"/>
        <v/>
      </c>
      <c r="N212" s="11" t="e">
        <f>VLOOKUP(B212,'Los Amigos'!$B$4:$G$18,5,FALSE)</f>
        <v>#N/A</v>
      </c>
      <c r="O212" s="11" t="e">
        <f>IF(N212&gt;0,RANK(N212,$N$2:$N$240)+COUNTIF($N$2:N212,N212)-1,"")</f>
        <v>#N/A</v>
      </c>
      <c r="P212" s="11" t="str">
        <f t="shared" si="42"/>
        <v/>
      </c>
      <c r="Q212" s="11" t="str">
        <f t="shared" si="43"/>
        <v/>
      </c>
      <c r="R212" s="11" t="str">
        <f t="shared" si="44"/>
        <v/>
      </c>
      <c r="S212" s="11" t="e">
        <f>VLOOKUP(B212,'Los Amigos'!$B$4:$G$18,6,FALSE)</f>
        <v>#N/A</v>
      </c>
      <c r="T212" s="11" t="e">
        <f>IF(S212&gt;0,RANK(S212,$S$2:$S$240)+COUNTIF($S$2:S212,S212)-1,"")</f>
        <v>#N/A</v>
      </c>
      <c r="U212" s="11" t="str">
        <f t="shared" si="45"/>
        <v/>
      </c>
      <c r="V212" s="11" t="str">
        <f t="shared" si="46"/>
        <v/>
      </c>
      <c r="W212" s="11" t="str">
        <f t="shared" si="47"/>
        <v/>
      </c>
    </row>
    <row r="213" spans="1:23" x14ac:dyDescent="0.25">
      <c r="A213" s="17">
        <v>212</v>
      </c>
      <c r="B213" s="18" t="str">
        <f>Jugadores!O4</f>
        <v>Rafael Santos</v>
      </c>
      <c r="C213" s="17" t="str">
        <f>+Jugadores!$O$2</f>
        <v>Atalanta</v>
      </c>
      <c r="D213" s="11">
        <f>VLOOKUP(B213,Atalanta!$B$4:$G$18,3,FALSE)</f>
        <v>3</v>
      </c>
      <c r="E213" s="11">
        <f>IF(D213&gt;0,RANK(D213,$D$2:$D$241)+COUNTIF($D$2:D213,D213)-1,"")</f>
        <v>110</v>
      </c>
      <c r="F213" s="11" t="str">
        <f t="shared" si="36"/>
        <v/>
      </c>
      <c r="G213" s="11" t="str">
        <f t="shared" si="37"/>
        <v/>
      </c>
      <c r="H213" s="36" t="str">
        <f t="shared" si="38"/>
        <v/>
      </c>
      <c r="I213" s="11">
        <f>VLOOKUP(B213,Atalanta!$B$4:$G$18,4,FALSE)</f>
        <v>0</v>
      </c>
      <c r="J213" s="11" t="str">
        <f>IF(I213&gt;0,RANK(I213,$I$2:$I$240)+COUNTIF($I$2:I213,I213)-1,"")</f>
        <v/>
      </c>
      <c r="K213" s="11" t="str">
        <f t="shared" si="39"/>
        <v/>
      </c>
      <c r="L213" s="11" t="str">
        <f t="shared" si="40"/>
        <v/>
      </c>
      <c r="M213" s="11" t="str">
        <f t="shared" si="41"/>
        <v/>
      </c>
      <c r="N213" s="11" t="e">
        <f>VLOOKUP(B213,'Los Amigos'!$B$4:$G$18,5,FALSE)</f>
        <v>#N/A</v>
      </c>
      <c r="O213" s="11" t="e">
        <f>IF(N213&gt;0,RANK(N213,$N$2:$N$240)+COUNTIF($N$2:N213,N213)-1,"")</f>
        <v>#N/A</v>
      </c>
      <c r="P213" s="11" t="str">
        <f t="shared" si="42"/>
        <v/>
      </c>
      <c r="Q213" s="11" t="str">
        <f t="shared" si="43"/>
        <v/>
      </c>
      <c r="R213" s="11" t="str">
        <f t="shared" si="44"/>
        <v/>
      </c>
      <c r="S213" s="11" t="e">
        <f>VLOOKUP(B213,'Los Amigos'!$B$4:$G$18,6,FALSE)</f>
        <v>#N/A</v>
      </c>
      <c r="T213" s="11" t="e">
        <f>IF(S213&gt;0,RANK(S213,$S$2:$S$240)+COUNTIF($S$2:S213,S213)-1,"")</f>
        <v>#N/A</v>
      </c>
      <c r="U213" s="11" t="str">
        <f t="shared" si="45"/>
        <v/>
      </c>
      <c r="V213" s="11" t="str">
        <f t="shared" si="46"/>
        <v/>
      </c>
      <c r="W213" s="11" t="str">
        <f t="shared" si="47"/>
        <v/>
      </c>
    </row>
    <row r="214" spans="1:23" x14ac:dyDescent="0.25">
      <c r="A214" s="17">
        <v>213</v>
      </c>
      <c r="B214" s="18" t="str">
        <f>Jugadores!O5</f>
        <v xml:space="preserve">Jesus Colina </v>
      </c>
      <c r="C214" s="17" t="str">
        <f>+Jugadores!$O$2</f>
        <v>Atalanta</v>
      </c>
      <c r="D214" s="11">
        <f>VLOOKUP(B214,Atalanta!$B$4:$G$18,3,FALSE)</f>
        <v>0</v>
      </c>
      <c r="E214" s="11" t="str">
        <f>IF(D214&gt;0,RANK(D214,$D$2:$D$241)+COUNTIF($D$2:D214,D214)-1,"")</f>
        <v/>
      </c>
      <c r="F214" s="11" t="str">
        <f t="shared" si="36"/>
        <v/>
      </c>
      <c r="G214" s="11" t="str">
        <f t="shared" si="37"/>
        <v/>
      </c>
      <c r="H214" s="36" t="str">
        <f t="shared" si="38"/>
        <v/>
      </c>
      <c r="I214" s="11">
        <f>VLOOKUP(B214,Atalanta!$B$4:$G$18,4,FALSE)</f>
        <v>0</v>
      </c>
      <c r="J214" s="11" t="str">
        <f>IF(I214&gt;0,RANK(I214,$I$2:$I$240)+COUNTIF($I$2:I214,I214)-1,"")</f>
        <v/>
      </c>
      <c r="K214" s="11" t="str">
        <f t="shared" si="39"/>
        <v/>
      </c>
      <c r="L214" s="11" t="str">
        <f t="shared" si="40"/>
        <v/>
      </c>
      <c r="M214" s="11" t="str">
        <f t="shared" si="41"/>
        <v/>
      </c>
      <c r="N214" s="11" t="e">
        <f>VLOOKUP(B214,'Los Amigos'!$B$4:$G$18,5,FALSE)</f>
        <v>#N/A</v>
      </c>
      <c r="O214" s="11" t="e">
        <f>IF(N214&gt;0,RANK(N214,$N$2:$N$240)+COUNTIF($N$2:N214,N214)-1,"")</f>
        <v>#N/A</v>
      </c>
      <c r="P214" s="11" t="str">
        <f t="shared" si="42"/>
        <v/>
      </c>
      <c r="Q214" s="11" t="str">
        <f t="shared" si="43"/>
        <v/>
      </c>
      <c r="R214" s="11" t="str">
        <f t="shared" si="44"/>
        <v/>
      </c>
      <c r="S214" s="11" t="e">
        <f>VLOOKUP(B214,'Los Amigos'!$B$4:$G$18,6,FALSE)</f>
        <v>#N/A</v>
      </c>
      <c r="T214" s="11" t="e">
        <f>IF(S214&gt;0,RANK(S214,$S$2:$S$240)+COUNTIF($S$2:S214,S214)-1,"")</f>
        <v>#N/A</v>
      </c>
      <c r="U214" s="11" t="str">
        <f t="shared" si="45"/>
        <v/>
      </c>
      <c r="V214" s="11" t="str">
        <f t="shared" si="46"/>
        <v/>
      </c>
      <c r="W214" s="11" t="str">
        <f t="shared" si="47"/>
        <v/>
      </c>
    </row>
    <row r="215" spans="1:23" x14ac:dyDescent="0.25">
      <c r="A215" s="17">
        <v>214</v>
      </c>
      <c r="B215" s="18" t="str">
        <f>Jugadores!O6</f>
        <v xml:space="preserve">David Delgado </v>
      </c>
      <c r="C215" s="17" t="str">
        <f>+Jugadores!$O$2</f>
        <v>Atalanta</v>
      </c>
      <c r="D215" s="11">
        <f>VLOOKUP(B215,Atalanta!$B$4:$G$18,3,FALSE)</f>
        <v>4</v>
      </c>
      <c r="E215" s="11">
        <f>IF(D215&gt;0,RANK(D215,$D$2:$D$241)+COUNTIF($D$2:D215,D215)-1,"")</f>
        <v>88</v>
      </c>
      <c r="F215" s="11" t="str">
        <f t="shared" si="36"/>
        <v/>
      </c>
      <c r="G215" s="11" t="str">
        <f t="shared" si="37"/>
        <v/>
      </c>
      <c r="H215" s="36" t="str">
        <f t="shared" si="38"/>
        <v/>
      </c>
      <c r="I215" s="11">
        <f>VLOOKUP(B215,Atalanta!$B$4:$G$18,4,FALSE)</f>
        <v>0</v>
      </c>
      <c r="J215" s="11" t="str">
        <f>IF(I215&gt;0,RANK(I215,$I$2:$I$240)+COUNTIF($I$2:I215,I215)-1,"")</f>
        <v/>
      </c>
      <c r="K215" s="11" t="str">
        <f t="shared" si="39"/>
        <v/>
      </c>
      <c r="L215" s="11" t="str">
        <f t="shared" si="40"/>
        <v/>
      </c>
      <c r="M215" s="11" t="str">
        <f t="shared" si="41"/>
        <v/>
      </c>
      <c r="N215" s="11" t="e">
        <f>VLOOKUP(B215,'Los Amigos'!$B$4:$G$18,5,FALSE)</f>
        <v>#N/A</v>
      </c>
      <c r="O215" s="11" t="e">
        <f>IF(N215&gt;0,RANK(N215,$N$2:$N$240)+COUNTIF($N$2:N215,N215)-1,"")</f>
        <v>#N/A</v>
      </c>
      <c r="P215" s="11" t="str">
        <f t="shared" si="42"/>
        <v/>
      </c>
      <c r="Q215" s="11" t="str">
        <f t="shared" si="43"/>
        <v/>
      </c>
      <c r="R215" s="11" t="str">
        <f t="shared" si="44"/>
        <v/>
      </c>
      <c r="S215" s="11" t="e">
        <f>VLOOKUP(B215,'Los Amigos'!$B$4:$G$18,6,FALSE)</f>
        <v>#N/A</v>
      </c>
      <c r="T215" s="11" t="e">
        <f>IF(S215&gt;0,RANK(S215,$S$2:$S$240)+COUNTIF($S$2:S215,S215)-1,"")</f>
        <v>#N/A</v>
      </c>
      <c r="U215" s="11" t="str">
        <f t="shared" si="45"/>
        <v/>
      </c>
      <c r="V215" s="11" t="str">
        <f t="shared" si="46"/>
        <v/>
      </c>
      <c r="W215" s="11" t="str">
        <f t="shared" si="47"/>
        <v/>
      </c>
    </row>
    <row r="216" spans="1:23" x14ac:dyDescent="0.25">
      <c r="A216" s="17">
        <v>215</v>
      </c>
      <c r="B216" s="18" t="str">
        <f>Jugadores!O7</f>
        <v xml:space="preserve">Shame García </v>
      </c>
      <c r="C216" s="17" t="str">
        <f>+Jugadores!$O$2</f>
        <v>Atalanta</v>
      </c>
      <c r="D216" s="11">
        <f>VLOOKUP(B216,Atalanta!$B$4:$G$18,3,FALSE)</f>
        <v>1</v>
      </c>
      <c r="E216" s="11">
        <f>IF(D216&gt;0,RANK(D216,$D$2:$D$241)+COUNTIF($D$2:D216,D216)-1,"")</f>
        <v>176</v>
      </c>
      <c r="F216" s="11" t="str">
        <f t="shared" si="36"/>
        <v/>
      </c>
      <c r="G216" s="11" t="str">
        <f t="shared" si="37"/>
        <v/>
      </c>
      <c r="H216" s="36" t="str">
        <f t="shared" si="38"/>
        <v/>
      </c>
      <c r="I216" s="11">
        <f>VLOOKUP(B216,Atalanta!$B$4:$G$18,4,FALSE)</f>
        <v>0</v>
      </c>
      <c r="J216" s="11" t="str">
        <f>IF(I216&gt;0,RANK(I216,$I$2:$I$240)+COUNTIF($I$2:I216,I216)-1,"")</f>
        <v/>
      </c>
      <c r="K216" s="11" t="str">
        <f t="shared" si="39"/>
        <v/>
      </c>
      <c r="L216" s="11" t="str">
        <f t="shared" si="40"/>
        <v/>
      </c>
      <c r="M216" s="11" t="str">
        <f t="shared" si="41"/>
        <v/>
      </c>
      <c r="N216" s="11" t="e">
        <f>VLOOKUP(B216,'Los Amigos'!$B$4:$G$18,5,FALSE)</f>
        <v>#N/A</v>
      </c>
      <c r="O216" s="11" t="e">
        <f>IF(N216&gt;0,RANK(N216,$N$2:$N$240)+COUNTIF($N$2:N216,N216)-1,"")</f>
        <v>#N/A</v>
      </c>
      <c r="P216" s="11" t="str">
        <f t="shared" si="42"/>
        <v/>
      </c>
      <c r="Q216" s="11" t="str">
        <f t="shared" si="43"/>
        <v/>
      </c>
      <c r="R216" s="11" t="str">
        <f t="shared" si="44"/>
        <v/>
      </c>
      <c r="S216" s="11" t="e">
        <f>VLOOKUP(B216,'Los Amigos'!$B$4:$G$18,6,FALSE)</f>
        <v>#N/A</v>
      </c>
      <c r="T216" s="11" t="e">
        <f>IF(S216&gt;0,RANK(S216,$S$2:$S$240)+COUNTIF($S$2:S216,S216)-1,"")</f>
        <v>#N/A</v>
      </c>
      <c r="U216" s="11" t="str">
        <f t="shared" si="45"/>
        <v/>
      </c>
      <c r="V216" s="11" t="str">
        <f t="shared" si="46"/>
        <v/>
      </c>
      <c r="W216" s="11" t="str">
        <f t="shared" si="47"/>
        <v/>
      </c>
    </row>
    <row r="217" spans="1:23" x14ac:dyDescent="0.25">
      <c r="A217" s="17">
        <v>216</v>
      </c>
      <c r="B217" s="18" t="str">
        <f>Jugadores!O8</f>
        <v>José Pedroso</v>
      </c>
      <c r="C217" s="17" t="str">
        <f>+Jugadores!$O$2</f>
        <v>Atalanta</v>
      </c>
      <c r="D217" s="11">
        <f>VLOOKUP(B217,Atalanta!$B$4:$G$18,3,FALSE)</f>
        <v>3</v>
      </c>
      <c r="E217" s="11">
        <f>IF(D217&gt;0,RANK(D217,$D$2:$D$241)+COUNTIF($D$2:D217,D217)-1,"")</f>
        <v>111</v>
      </c>
      <c r="F217" s="11" t="str">
        <f t="shared" si="36"/>
        <v/>
      </c>
      <c r="G217" s="11" t="str">
        <f t="shared" si="37"/>
        <v/>
      </c>
      <c r="H217" s="36" t="str">
        <f t="shared" si="38"/>
        <v/>
      </c>
      <c r="I217" s="11">
        <f>VLOOKUP(B217,Atalanta!$B$4:$G$18,4,FALSE)</f>
        <v>0</v>
      </c>
      <c r="J217" s="11" t="str">
        <f>IF(I217&gt;0,RANK(I217,$I$2:$I$240)+COUNTIF($I$2:I217,I217)-1,"")</f>
        <v/>
      </c>
      <c r="K217" s="11" t="str">
        <f t="shared" si="39"/>
        <v/>
      </c>
      <c r="L217" s="11" t="str">
        <f t="shared" si="40"/>
        <v/>
      </c>
      <c r="M217" s="11" t="str">
        <f t="shared" si="41"/>
        <v/>
      </c>
      <c r="N217" s="11" t="e">
        <f>VLOOKUP(B217,'Los Amigos'!$B$4:$G$18,5,FALSE)</f>
        <v>#N/A</v>
      </c>
      <c r="O217" s="11" t="e">
        <f>IF(N217&gt;0,RANK(N217,$N$2:$N$240)+COUNTIF($N$2:N217,N217)-1,"")</f>
        <v>#N/A</v>
      </c>
      <c r="P217" s="11" t="str">
        <f t="shared" si="42"/>
        <v/>
      </c>
      <c r="Q217" s="11" t="str">
        <f t="shared" si="43"/>
        <v/>
      </c>
      <c r="R217" s="11" t="str">
        <f t="shared" si="44"/>
        <v/>
      </c>
      <c r="S217" s="11" t="e">
        <f>VLOOKUP(B217,'Los Amigos'!$B$4:$G$18,6,FALSE)</f>
        <v>#N/A</v>
      </c>
      <c r="T217" s="11" t="e">
        <f>IF(S217&gt;0,RANK(S217,$S$2:$S$240)+COUNTIF($S$2:S217,S217)-1,"")</f>
        <v>#N/A</v>
      </c>
      <c r="U217" s="11" t="str">
        <f t="shared" si="45"/>
        <v/>
      </c>
      <c r="V217" s="11" t="str">
        <f t="shared" si="46"/>
        <v/>
      </c>
      <c r="W217" s="11" t="str">
        <f t="shared" si="47"/>
        <v/>
      </c>
    </row>
    <row r="218" spans="1:23" x14ac:dyDescent="0.25">
      <c r="A218" s="17">
        <v>217</v>
      </c>
      <c r="B218" s="18" t="str">
        <f>Jugadores!O9</f>
        <v xml:space="preserve">Manuel Arrieche </v>
      </c>
      <c r="C218" s="17" t="str">
        <f>+Jugadores!$O$2</f>
        <v>Atalanta</v>
      </c>
      <c r="D218" s="11">
        <f>VLOOKUP(B218,Atalanta!$B$4:$G$18,3,FALSE)</f>
        <v>0</v>
      </c>
      <c r="E218" s="11" t="str">
        <f>IF(D218&gt;0,RANK(D218,$D$2:$D$241)+COUNTIF($D$2:D218,D218)-1,"")</f>
        <v/>
      </c>
      <c r="F218" s="11" t="str">
        <f t="shared" si="36"/>
        <v/>
      </c>
      <c r="G218" s="11" t="str">
        <f t="shared" si="37"/>
        <v/>
      </c>
      <c r="H218" s="36" t="str">
        <f t="shared" si="38"/>
        <v/>
      </c>
      <c r="I218" s="11">
        <f>VLOOKUP(B218,Atalanta!$B$4:$G$18,4,FALSE)</f>
        <v>0</v>
      </c>
      <c r="J218" s="11" t="str">
        <f>IF(I218&gt;0,RANK(I218,$I$2:$I$240)+COUNTIF($I$2:I218,I218)-1,"")</f>
        <v/>
      </c>
      <c r="K218" s="11" t="str">
        <f t="shared" si="39"/>
        <v/>
      </c>
      <c r="L218" s="11" t="str">
        <f t="shared" si="40"/>
        <v/>
      </c>
      <c r="M218" s="11" t="str">
        <f t="shared" si="41"/>
        <v/>
      </c>
      <c r="N218" s="11" t="e">
        <f>VLOOKUP(B218,'Los Amigos'!$B$4:$G$18,5,FALSE)</f>
        <v>#N/A</v>
      </c>
      <c r="O218" s="11" t="e">
        <f>IF(N218&gt;0,RANK(N218,$N$2:$N$240)+COUNTIF($N$2:N218,N218)-1,"")</f>
        <v>#N/A</v>
      </c>
      <c r="P218" s="11" t="str">
        <f t="shared" si="42"/>
        <v/>
      </c>
      <c r="Q218" s="11" t="str">
        <f t="shared" si="43"/>
        <v/>
      </c>
      <c r="R218" s="11" t="str">
        <f t="shared" si="44"/>
        <v/>
      </c>
      <c r="S218" s="11" t="e">
        <f>VLOOKUP(B218,'Los Amigos'!$B$4:$G$18,6,FALSE)</f>
        <v>#N/A</v>
      </c>
      <c r="T218" s="11" t="e">
        <f>IF(S218&gt;0,RANK(S218,$S$2:$S$240)+COUNTIF($S$2:S218,S218)-1,"")</f>
        <v>#N/A</v>
      </c>
      <c r="U218" s="11" t="str">
        <f t="shared" si="45"/>
        <v/>
      </c>
      <c r="V218" s="11" t="str">
        <f t="shared" si="46"/>
        <v/>
      </c>
      <c r="W218" s="11" t="str">
        <f t="shared" si="47"/>
        <v/>
      </c>
    </row>
    <row r="219" spans="1:23" x14ac:dyDescent="0.25">
      <c r="A219" s="17">
        <v>218</v>
      </c>
      <c r="B219" s="18" t="str">
        <f>Jugadores!O10</f>
        <v xml:space="preserve">Gustavo González </v>
      </c>
      <c r="C219" s="17" t="str">
        <f>+Jugadores!$O$2</f>
        <v>Atalanta</v>
      </c>
      <c r="D219" s="11">
        <f>VLOOKUP(B219,Atalanta!$B$4:$G$18,3,FALSE)</f>
        <v>1</v>
      </c>
      <c r="E219" s="11">
        <f>IF(D219&gt;0,RANK(D219,$D$2:$D$241)+COUNTIF($D$2:D219,D219)-1,"")</f>
        <v>177</v>
      </c>
      <c r="F219" s="11" t="str">
        <f t="shared" si="36"/>
        <v/>
      </c>
      <c r="G219" s="11" t="str">
        <f t="shared" si="37"/>
        <v/>
      </c>
      <c r="H219" s="36" t="str">
        <f t="shared" si="38"/>
        <v/>
      </c>
      <c r="I219" s="11">
        <f>VLOOKUP(B219,Atalanta!$B$4:$G$18,4,FALSE)</f>
        <v>2</v>
      </c>
      <c r="J219" s="11">
        <f>IF(I219&gt;0,RANK(I219,$I$2:$I$240)+COUNTIF($I$2:I219,I219)-1,"")</f>
        <v>66</v>
      </c>
      <c r="K219" s="11" t="str">
        <f t="shared" si="39"/>
        <v/>
      </c>
      <c r="L219" s="11" t="str">
        <f t="shared" si="40"/>
        <v/>
      </c>
      <c r="M219" s="11" t="str">
        <f t="shared" si="41"/>
        <v/>
      </c>
      <c r="N219" s="11" t="e">
        <f>VLOOKUP(B219,'Los Amigos'!$B$4:$G$18,5,FALSE)</f>
        <v>#N/A</v>
      </c>
      <c r="O219" s="11" t="e">
        <f>IF(N219&gt;0,RANK(N219,$N$2:$N$240)+COUNTIF($N$2:N219,N219)-1,"")</f>
        <v>#N/A</v>
      </c>
      <c r="P219" s="11" t="str">
        <f t="shared" si="42"/>
        <v/>
      </c>
      <c r="Q219" s="11" t="str">
        <f t="shared" si="43"/>
        <v/>
      </c>
      <c r="R219" s="11" t="str">
        <f t="shared" si="44"/>
        <v/>
      </c>
      <c r="S219" s="11" t="e">
        <f>VLOOKUP(B219,'Los Amigos'!$B$4:$G$18,6,FALSE)</f>
        <v>#N/A</v>
      </c>
      <c r="T219" s="11" t="e">
        <f>IF(S219&gt;0,RANK(S219,$S$2:$S$240)+COUNTIF($S$2:S219,S219)-1,"")</f>
        <v>#N/A</v>
      </c>
      <c r="U219" s="11" t="str">
        <f t="shared" si="45"/>
        <v/>
      </c>
      <c r="V219" s="11" t="str">
        <f t="shared" si="46"/>
        <v/>
      </c>
      <c r="W219" s="11" t="str">
        <f t="shared" si="47"/>
        <v/>
      </c>
    </row>
    <row r="220" spans="1:23" x14ac:dyDescent="0.25">
      <c r="A220" s="17">
        <v>219</v>
      </c>
      <c r="B220" s="18" t="str">
        <f>Jugadores!O11</f>
        <v xml:space="preserve">Luis Rodríguez </v>
      </c>
      <c r="C220" s="17" t="str">
        <f>+Jugadores!$O$2</f>
        <v>Atalanta</v>
      </c>
      <c r="D220" s="11">
        <f>VLOOKUP(B220,Atalanta!$B$4:$G$18,3,FALSE)</f>
        <v>2</v>
      </c>
      <c r="E220" s="11">
        <f>IF(D220&gt;0,RANK(D220,$D$2:$D$241)+COUNTIF($D$2:D220,D220)-1,"")</f>
        <v>134</v>
      </c>
      <c r="F220" s="11" t="str">
        <f t="shared" si="36"/>
        <v/>
      </c>
      <c r="G220" s="11" t="str">
        <f t="shared" si="37"/>
        <v/>
      </c>
      <c r="H220" s="36" t="str">
        <f t="shared" si="38"/>
        <v/>
      </c>
      <c r="I220" s="11">
        <f>VLOOKUP(B220,Atalanta!$B$4:$G$18,4,FALSE)</f>
        <v>0</v>
      </c>
      <c r="J220" s="11" t="str">
        <f>IF(I220&gt;0,RANK(I220,$I$2:$I$240)+COUNTIF($I$2:I220,I220)-1,"")</f>
        <v/>
      </c>
      <c r="K220" s="11" t="str">
        <f t="shared" si="39"/>
        <v/>
      </c>
      <c r="L220" s="11" t="str">
        <f t="shared" si="40"/>
        <v/>
      </c>
      <c r="M220" s="11" t="str">
        <f t="shared" si="41"/>
        <v/>
      </c>
      <c r="N220" s="11" t="e">
        <f>VLOOKUP(B220,'Los Amigos'!$B$4:$G$18,5,FALSE)</f>
        <v>#N/A</v>
      </c>
      <c r="O220" s="11" t="e">
        <f>IF(N220&gt;0,RANK(N220,$N$2:$N$240)+COUNTIF($N$2:N220,N220)-1,"")</f>
        <v>#N/A</v>
      </c>
      <c r="P220" s="11" t="str">
        <f t="shared" si="42"/>
        <v/>
      </c>
      <c r="Q220" s="11" t="str">
        <f t="shared" si="43"/>
        <v/>
      </c>
      <c r="R220" s="11" t="str">
        <f t="shared" si="44"/>
        <v/>
      </c>
      <c r="S220" s="11" t="e">
        <f>VLOOKUP(B220,'Los Amigos'!$B$4:$G$18,6,FALSE)</f>
        <v>#N/A</v>
      </c>
      <c r="T220" s="11" t="e">
        <f>IF(S220&gt;0,RANK(S220,$S$2:$S$240)+COUNTIF($S$2:S220,S220)-1,"")</f>
        <v>#N/A</v>
      </c>
      <c r="U220" s="11" t="str">
        <f t="shared" si="45"/>
        <v/>
      </c>
      <c r="V220" s="11" t="str">
        <f t="shared" si="46"/>
        <v/>
      </c>
      <c r="W220" s="11" t="str">
        <f t="shared" si="47"/>
        <v/>
      </c>
    </row>
    <row r="221" spans="1:23" x14ac:dyDescent="0.25">
      <c r="A221" s="17">
        <v>220</v>
      </c>
      <c r="B221" s="18" t="str">
        <f>Jugadores!O12</f>
        <v>Juan Ortíz</v>
      </c>
      <c r="C221" s="17" t="str">
        <f>+Jugadores!$O$2</f>
        <v>Atalanta</v>
      </c>
      <c r="D221" s="11">
        <f>VLOOKUP(B221,Atalanta!$B$4:$G$18,3,FALSE)</f>
        <v>6</v>
      </c>
      <c r="E221" s="11">
        <f>IF(D221&gt;0,RANK(D221,$D$2:$D$241)+COUNTIF($D$2:D221,D221)-1,"")</f>
        <v>63</v>
      </c>
      <c r="F221" s="11" t="str">
        <f t="shared" si="36"/>
        <v/>
      </c>
      <c r="G221" s="11" t="str">
        <f t="shared" si="37"/>
        <v/>
      </c>
      <c r="H221" s="36" t="str">
        <f t="shared" si="38"/>
        <v/>
      </c>
      <c r="I221" s="11">
        <f>VLOOKUP(B221,Atalanta!$B$4:$G$18,4,FALSE)</f>
        <v>2</v>
      </c>
      <c r="J221" s="11">
        <f>IF(I221&gt;0,RANK(I221,$I$2:$I$240)+COUNTIF($I$2:I221,I221)-1,"")</f>
        <v>67</v>
      </c>
      <c r="K221" s="11" t="str">
        <f t="shared" si="39"/>
        <v/>
      </c>
      <c r="L221" s="11" t="str">
        <f t="shared" si="40"/>
        <v/>
      </c>
      <c r="M221" s="11" t="str">
        <f t="shared" si="41"/>
        <v/>
      </c>
      <c r="N221" s="11" t="e">
        <f>VLOOKUP(B221,'Los Amigos'!$B$4:$G$18,5,FALSE)</f>
        <v>#N/A</v>
      </c>
      <c r="O221" s="11" t="e">
        <f>IF(N221&gt;0,RANK(N221,$N$2:$N$240)+COUNTIF($N$2:N221,N221)-1,"")</f>
        <v>#N/A</v>
      </c>
      <c r="P221" s="11" t="str">
        <f t="shared" si="42"/>
        <v/>
      </c>
      <c r="Q221" s="11" t="str">
        <f t="shared" si="43"/>
        <v/>
      </c>
      <c r="R221" s="11" t="str">
        <f t="shared" si="44"/>
        <v/>
      </c>
      <c r="S221" s="11" t="e">
        <f>VLOOKUP(B221,'Los Amigos'!$B$4:$G$18,6,FALSE)</f>
        <v>#N/A</v>
      </c>
      <c r="T221" s="11" t="e">
        <f>IF(S221&gt;0,RANK(S221,$S$2:$S$240)+COUNTIF($S$2:S221,S221)-1,"")</f>
        <v>#N/A</v>
      </c>
      <c r="U221" s="11" t="str">
        <f t="shared" si="45"/>
        <v/>
      </c>
      <c r="V221" s="11" t="str">
        <f t="shared" si="46"/>
        <v/>
      </c>
      <c r="W221" s="11" t="str">
        <f t="shared" si="47"/>
        <v/>
      </c>
    </row>
    <row r="222" spans="1:23" x14ac:dyDescent="0.25">
      <c r="A222" s="17">
        <v>221</v>
      </c>
      <c r="B222" s="18" t="str">
        <f>Jugadores!O13</f>
        <v>José Llorente</v>
      </c>
      <c r="C222" s="17" t="str">
        <f>+Jugadores!$O$2</f>
        <v>Atalanta</v>
      </c>
      <c r="D222" s="11">
        <f>VLOOKUP(B222,Atalanta!$B$4:$G$18,3,FALSE)</f>
        <v>5</v>
      </c>
      <c r="E222" s="11">
        <f>IF(D222&gt;0,RANK(D222,$D$2:$D$241)+COUNTIF($D$2:D222,D222)-1,"")</f>
        <v>67</v>
      </c>
      <c r="F222" s="11" t="str">
        <f t="shared" si="36"/>
        <v/>
      </c>
      <c r="G222" s="11" t="str">
        <f t="shared" si="37"/>
        <v/>
      </c>
      <c r="H222" s="36" t="str">
        <f t="shared" si="38"/>
        <v/>
      </c>
      <c r="I222" s="11">
        <f>VLOOKUP(B222,Atalanta!$B$4:$G$18,4,FALSE)</f>
        <v>0</v>
      </c>
      <c r="J222" s="11" t="str">
        <f>IF(I222&gt;0,RANK(I222,$I$2:$I$240)+COUNTIF($I$2:I222,I222)-1,"")</f>
        <v/>
      </c>
      <c r="K222" s="11" t="str">
        <f t="shared" si="39"/>
        <v/>
      </c>
      <c r="L222" s="11" t="str">
        <f t="shared" si="40"/>
        <v/>
      </c>
      <c r="M222" s="11" t="str">
        <f t="shared" si="41"/>
        <v/>
      </c>
      <c r="N222" s="11" t="e">
        <f>VLOOKUP(B222,'Los Amigos'!$B$4:$G$18,5,FALSE)</f>
        <v>#N/A</v>
      </c>
      <c r="O222" s="11" t="e">
        <f>IF(N222&gt;0,RANK(N222,$N$2:$N$240)+COUNTIF($N$2:N222,N222)-1,"")</f>
        <v>#N/A</v>
      </c>
      <c r="P222" s="11" t="str">
        <f t="shared" si="42"/>
        <v/>
      </c>
      <c r="Q222" s="11" t="str">
        <f t="shared" si="43"/>
        <v/>
      </c>
      <c r="R222" s="11" t="str">
        <f t="shared" si="44"/>
        <v/>
      </c>
      <c r="S222" s="11" t="e">
        <f>VLOOKUP(B222,'Los Amigos'!$B$4:$G$18,6,FALSE)</f>
        <v>#N/A</v>
      </c>
      <c r="T222" s="11" t="e">
        <f>IF(S222&gt;0,RANK(S222,$S$2:$S$240)+COUNTIF($S$2:S222,S222)-1,"")</f>
        <v>#N/A</v>
      </c>
      <c r="U222" s="11" t="str">
        <f t="shared" si="45"/>
        <v/>
      </c>
      <c r="V222" s="11" t="str">
        <f t="shared" si="46"/>
        <v/>
      </c>
      <c r="W222" s="11" t="str">
        <f t="shared" si="47"/>
        <v/>
      </c>
    </row>
    <row r="223" spans="1:23" x14ac:dyDescent="0.25">
      <c r="A223" s="17">
        <v>222</v>
      </c>
      <c r="B223" s="18" t="str">
        <f>Jugadores!O14</f>
        <v>Nilson Beltran</v>
      </c>
      <c r="C223" s="17" t="str">
        <f>+Jugadores!$O$2</f>
        <v>Atalanta</v>
      </c>
      <c r="D223" s="11">
        <f>VLOOKUP(B223,Atalanta!$B$4:$G$18,3,FALSE)</f>
        <v>4</v>
      </c>
      <c r="E223" s="11">
        <f>IF(D223&gt;0,RANK(D223,$D$2:$D$241)+COUNTIF($D$2:D223,D223)-1,"")</f>
        <v>89</v>
      </c>
      <c r="F223" s="11" t="str">
        <f t="shared" si="36"/>
        <v/>
      </c>
      <c r="G223" s="11" t="str">
        <f t="shared" si="37"/>
        <v/>
      </c>
      <c r="H223" s="36" t="str">
        <f t="shared" si="38"/>
        <v/>
      </c>
      <c r="I223" s="11">
        <f>VLOOKUP(B223,Atalanta!$B$4:$G$18,4,FALSE)</f>
        <v>2</v>
      </c>
      <c r="J223" s="11">
        <f>IF(I223&gt;0,RANK(I223,$I$2:$I$240)+COUNTIF($I$2:I223,I223)-1,"")</f>
        <v>68</v>
      </c>
      <c r="K223" s="11" t="str">
        <f t="shared" si="39"/>
        <v/>
      </c>
      <c r="L223" s="11" t="str">
        <f t="shared" si="40"/>
        <v/>
      </c>
      <c r="M223" s="11" t="str">
        <f t="shared" si="41"/>
        <v/>
      </c>
      <c r="N223" s="11" t="e">
        <f>VLOOKUP(B223,'Los Amigos'!$B$4:$G$18,5,FALSE)</f>
        <v>#N/A</v>
      </c>
      <c r="O223" s="11" t="e">
        <f>IF(N223&gt;0,RANK(N223,$N$2:$N$240)+COUNTIF($N$2:N223,N223)-1,"")</f>
        <v>#N/A</v>
      </c>
      <c r="P223" s="11" t="str">
        <f t="shared" si="42"/>
        <v/>
      </c>
      <c r="Q223" s="11" t="str">
        <f t="shared" si="43"/>
        <v/>
      </c>
      <c r="R223" s="11" t="str">
        <f t="shared" si="44"/>
        <v/>
      </c>
      <c r="S223" s="11" t="e">
        <f>VLOOKUP(B223,'Los Amigos'!$B$4:$G$18,6,FALSE)</f>
        <v>#N/A</v>
      </c>
      <c r="T223" s="11" t="e">
        <f>IF(S223&gt;0,RANK(S223,$S$2:$S$240)+COUNTIF($S$2:S223,S223)-1,"")</f>
        <v>#N/A</v>
      </c>
      <c r="U223" s="11" t="str">
        <f t="shared" si="45"/>
        <v/>
      </c>
      <c r="V223" s="11" t="str">
        <f t="shared" si="46"/>
        <v/>
      </c>
      <c r="W223" s="11" t="str">
        <f t="shared" si="47"/>
        <v/>
      </c>
    </row>
    <row r="224" spans="1:23" x14ac:dyDescent="0.25">
      <c r="A224" s="17">
        <v>223</v>
      </c>
      <c r="B224" s="18" t="str">
        <f>Jugadores!O15</f>
        <v>Antony Sánchez</v>
      </c>
      <c r="C224" s="17" t="str">
        <f>+Jugadores!$O$2</f>
        <v>Atalanta</v>
      </c>
      <c r="D224" s="11">
        <f>VLOOKUP(B224,Atalanta!$B$4:$G$18,3,FALSE)</f>
        <v>1</v>
      </c>
      <c r="E224" s="11">
        <f>IF(D224&gt;0,RANK(D224,$D$2:$D$241)+COUNTIF($D$2:D224,D224)-1,"")</f>
        <v>178</v>
      </c>
      <c r="F224" s="11" t="str">
        <f t="shared" si="36"/>
        <v/>
      </c>
      <c r="G224" s="11" t="str">
        <f t="shared" si="37"/>
        <v/>
      </c>
      <c r="H224" s="36" t="str">
        <f t="shared" si="38"/>
        <v/>
      </c>
      <c r="I224" s="11">
        <f>VLOOKUP(B224,Atalanta!$B$4:$G$18,4,FALSE)</f>
        <v>1</v>
      </c>
      <c r="J224" s="11">
        <f>IF(I224&gt;0,RANK(I224,$I$2:$I$240)+COUNTIF($I$2:I224,I224)-1,"")</f>
        <v>122</v>
      </c>
      <c r="K224" s="11" t="str">
        <f t="shared" si="39"/>
        <v/>
      </c>
      <c r="L224" s="11" t="str">
        <f t="shared" si="40"/>
        <v/>
      </c>
      <c r="M224" s="11" t="str">
        <f t="shared" si="41"/>
        <v/>
      </c>
      <c r="N224" s="11" t="e">
        <f>VLOOKUP(B224,'Los Amigos'!$B$4:$G$18,5,FALSE)</f>
        <v>#N/A</v>
      </c>
      <c r="O224" s="11" t="e">
        <f>IF(N224&gt;0,RANK(N224,$N$2:$N$240)+COUNTIF($N$2:N224,N224)-1,"")</f>
        <v>#N/A</v>
      </c>
      <c r="P224" s="11" t="str">
        <f t="shared" si="42"/>
        <v/>
      </c>
      <c r="Q224" s="11" t="str">
        <f t="shared" si="43"/>
        <v/>
      </c>
      <c r="R224" s="11" t="str">
        <f t="shared" si="44"/>
        <v/>
      </c>
      <c r="S224" s="11" t="e">
        <f>VLOOKUP(B224,'Los Amigos'!$B$4:$G$18,6,FALSE)</f>
        <v>#N/A</v>
      </c>
      <c r="T224" s="11" t="e">
        <f>IF(S224&gt;0,RANK(S224,$S$2:$S$240)+COUNTIF($S$2:S224,S224)-1,"")</f>
        <v>#N/A</v>
      </c>
      <c r="U224" s="11" t="str">
        <f t="shared" si="45"/>
        <v/>
      </c>
      <c r="V224" s="11" t="str">
        <f t="shared" si="46"/>
        <v/>
      </c>
      <c r="W224" s="11" t="str">
        <f t="shared" si="47"/>
        <v/>
      </c>
    </row>
    <row r="225" spans="1:23" s="25" customFormat="1" x14ac:dyDescent="0.25">
      <c r="A225" s="17">
        <v>224</v>
      </c>
      <c r="B225" s="18" t="str">
        <f>Jugadores!O16</f>
        <v>Iván Betancourt</v>
      </c>
      <c r="C225" s="17" t="str">
        <f>+Jugadores!$O$2</f>
        <v>Atalanta</v>
      </c>
      <c r="D225" s="11">
        <f>VLOOKUP(B225,Atalanta!$B$4:$G$18,3,FALSE)</f>
        <v>5</v>
      </c>
      <c r="E225" s="11">
        <f>IF(D225&gt;0,RANK(D225,$D$2:$D$241)+COUNTIF($D$2:D225,D225)-1,"")</f>
        <v>68</v>
      </c>
      <c r="F225" s="11" t="str">
        <f t="shared" si="36"/>
        <v/>
      </c>
      <c r="G225" s="11" t="str">
        <f t="shared" si="37"/>
        <v/>
      </c>
      <c r="H225" s="36" t="str">
        <f t="shared" si="38"/>
        <v/>
      </c>
      <c r="I225" s="11">
        <f>VLOOKUP(B225,Atalanta!$B$4:$G$18,4,FALSE)</f>
        <v>1</v>
      </c>
      <c r="J225" s="11">
        <f>IF(I225&gt;0,RANK(I225,$I$2:$I$240)+COUNTIF($I$2:I225,I225)-1,"")</f>
        <v>123</v>
      </c>
      <c r="K225" s="11" t="str">
        <f t="shared" si="39"/>
        <v/>
      </c>
      <c r="L225" s="11" t="str">
        <f t="shared" si="40"/>
        <v/>
      </c>
      <c r="M225" s="11" t="str">
        <f t="shared" si="41"/>
        <v/>
      </c>
      <c r="N225" s="11" t="e">
        <f>VLOOKUP(B225,'Los Amigos'!$B$4:$G$18,5,FALSE)</f>
        <v>#N/A</v>
      </c>
      <c r="O225" s="11" t="e">
        <f>IF(N225&gt;0,RANK(N225,$N$2:$N$240)+COUNTIF($N$2:N225,N225)-1,"")</f>
        <v>#N/A</v>
      </c>
      <c r="P225" s="11" t="str">
        <f t="shared" si="42"/>
        <v/>
      </c>
      <c r="Q225" s="11" t="str">
        <f t="shared" si="43"/>
        <v/>
      </c>
      <c r="R225" s="11" t="str">
        <f t="shared" si="44"/>
        <v/>
      </c>
      <c r="S225" s="11" t="e">
        <f>VLOOKUP(B225,'Los Amigos'!$B$4:$G$18,6,FALSE)</f>
        <v>#N/A</v>
      </c>
      <c r="T225" s="11" t="e">
        <f>IF(S225&gt;0,RANK(S225,$S$2:$S$240)+COUNTIF($S$2:S225,S225)-1,"")</f>
        <v>#N/A</v>
      </c>
      <c r="U225" s="11" t="str">
        <f t="shared" si="45"/>
        <v/>
      </c>
      <c r="V225" s="11" t="str">
        <f t="shared" si="46"/>
        <v/>
      </c>
      <c r="W225" s="11" t="str">
        <f t="shared" si="47"/>
        <v/>
      </c>
    </row>
    <row r="226" spans="1:23" x14ac:dyDescent="0.25">
      <c r="A226" s="17">
        <v>225</v>
      </c>
      <c r="B226" s="18">
        <f>Jugadores!O17</f>
        <v>0</v>
      </c>
      <c r="C226" s="17" t="str">
        <f>+Jugadores!$O$2</f>
        <v>Atalanta</v>
      </c>
      <c r="D226" s="11">
        <f>VLOOKUP(B226,Atalanta!$B$4:$G$18,3,FALSE)</f>
        <v>5</v>
      </c>
      <c r="E226" s="11">
        <f>IF(D226&gt;0,RANK(D226,$D$2:$D$241)+COUNTIF($D$2:D226,D226)-1,"")</f>
        <v>69</v>
      </c>
      <c r="F226" s="11" t="str">
        <f t="shared" si="36"/>
        <v/>
      </c>
      <c r="G226" s="11" t="str">
        <f t="shared" si="37"/>
        <v/>
      </c>
      <c r="H226" s="36" t="str">
        <f t="shared" si="38"/>
        <v/>
      </c>
      <c r="I226" s="11">
        <f>VLOOKUP(B226,Atalanta!$B$4:$G$18,4,FALSE)</f>
        <v>0</v>
      </c>
      <c r="J226" s="11" t="str">
        <f>IF(I226&gt;0,RANK(I226,$I$2:$I$240)+COUNTIF($I$2:I226,I226)-1,"")</f>
        <v/>
      </c>
      <c r="K226" s="11" t="str">
        <f t="shared" si="39"/>
        <v/>
      </c>
      <c r="L226" s="11" t="str">
        <f t="shared" si="40"/>
        <v/>
      </c>
      <c r="M226" s="11" t="str">
        <f t="shared" si="41"/>
        <v/>
      </c>
      <c r="N226" s="11" t="e">
        <f>VLOOKUP(B226,'Los Amigos'!$B$4:$G$18,5,FALSE)</f>
        <v>#N/A</v>
      </c>
      <c r="O226" s="11" t="e">
        <f>IF(N226&gt;0,RANK(N226,$N$2:$N$240)+COUNTIF($N$2:N226,N226)-1,"")</f>
        <v>#N/A</v>
      </c>
      <c r="P226" s="11" t="str">
        <f t="shared" si="42"/>
        <v/>
      </c>
      <c r="Q226" s="11" t="str">
        <f t="shared" si="43"/>
        <v/>
      </c>
      <c r="R226" s="11" t="str">
        <f t="shared" si="44"/>
        <v/>
      </c>
      <c r="S226" s="11" t="e">
        <f>VLOOKUP(B226,'Los Amigos'!$B$4:$G$18,6,FALSE)</f>
        <v>#N/A</v>
      </c>
      <c r="T226" s="11" t="e">
        <f>IF(S226&gt;0,RANK(S226,$S$2:$S$240)+COUNTIF($S$2:S226,S226)-1,"")</f>
        <v>#N/A</v>
      </c>
      <c r="U226" s="11" t="str">
        <f t="shared" si="45"/>
        <v/>
      </c>
      <c r="V226" s="11" t="str">
        <f t="shared" si="46"/>
        <v/>
      </c>
      <c r="W226" s="11" t="str">
        <f t="shared" si="47"/>
        <v/>
      </c>
    </row>
    <row r="227" spans="1:23" x14ac:dyDescent="0.25">
      <c r="A227" s="17">
        <v>226</v>
      </c>
      <c r="B227" s="18" t="str">
        <f>Jugadores!P3</f>
        <v>Andy Urango Viloria</v>
      </c>
      <c r="C227" s="17" t="str">
        <f>+Jugadores!$P$2</f>
        <v>CD El Corozo</v>
      </c>
      <c r="D227" s="11">
        <f>VLOOKUP(B227,'CD El Corozo'!$B$4:$G$18,3,FALSE)</f>
        <v>7</v>
      </c>
      <c r="E227" s="11">
        <f>IF(D227&gt;0,RANK(D227,$D$2:$D$241)+COUNTIF($D$2:D227,D227)-1,"")</f>
        <v>48</v>
      </c>
      <c r="F227" s="11" t="str">
        <f t="shared" si="36"/>
        <v/>
      </c>
      <c r="G227" s="11" t="str">
        <f t="shared" si="37"/>
        <v/>
      </c>
      <c r="H227" s="36" t="str">
        <f t="shared" si="38"/>
        <v/>
      </c>
      <c r="I227" s="11">
        <f>VLOOKUP(B227,'CD El Corozo'!$B$4:$G$18,4,FALSE)</f>
        <v>1</v>
      </c>
      <c r="J227" s="11">
        <f>IF(I227&gt;0,RANK(I227,$I$2:$I$240)+COUNTIF($I$2:I227,I227)-1,"")</f>
        <v>124</v>
      </c>
      <c r="K227" s="11" t="str">
        <f t="shared" si="39"/>
        <v/>
      </c>
      <c r="L227" s="11" t="str">
        <f t="shared" si="40"/>
        <v/>
      </c>
      <c r="M227" s="11" t="str">
        <f t="shared" si="41"/>
        <v/>
      </c>
      <c r="N227" s="11" t="e">
        <f>VLOOKUP(B227,'Deportivo Fénix'!$B$4:$G$18,5,FALSE)</f>
        <v>#N/A</v>
      </c>
      <c r="O227" s="11" t="e">
        <f>IF(N227&gt;0,RANK(N227,$N$2:$N$240)+COUNTIF($N$2:N227,N227)-1,"")</f>
        <v>#N/A</v>
      </c>
      <c r="P227" s="11" t="str">
        <f t="shared" si="42"/>
        <v/>
      </c>
      <c r="Q227" s="11" t="str">
        <f t="shared" si="43"/>
        <v/>
      </c>
      <c r="R227" s="11" t="str">
        <f t="shared" si="44"/>
        <v/>
      </c>
      <c r="S227" s="11" t="e">
        <f>VLOOKUP(B227,'Deportivo Fénix'!$B$4:$G$18,6,FALSE)</f>
        <v>#N/A</v>
      </c>
      <c r="T227" s="11" t="e">
        <f>IF(S227&gt;0,RANK(S227,$S$2:$S$240)+COUNTIF($S$2:S227,S227)-1,"")</f>
        <v>#N/A</v>
      </c>
      <c r="U227" s="11" t="str">
        <f t="shared" si="45"/>
        <v/>
      </c>
      <c r="V227" s="11" t="str">
        <f t="shared" si="46"/>
        <v/>
      </c>
      <c r="W227" s="11" t="str">
        <f t="shared" ref="W227" si="48">IFERROR(INDEX(S$2:S$226,MATCH($U227,$B$2:$B$226,0)),"")</f>
        <v/>
      </c>
    </row>
    <row r="228" spans="1:23" x14ac:dyDescent="0.25">
      <c r="A228" s="17">
        <v>227</v>
      </c>
      <c r="B228" s="18" t="str">
        <f>Jugadores!P4</f>
        <v>Andrés Suárez Martínez</v>
      </c>
      <c r="C228" s="17" t="str">
        <f>+Jugadores!$P$2</f>
        <v>CD El Corozo</v>
      </c>
      <c r="D228" s="11">
        <f>VLOOKUP(B228,'CD El Corozo'!$B$4:$G$18,3,FALSE)</f>
        <v>1</v>
      </c>
      <c r="E228" s="11">
        <f>IF(D228&gt;0,RANK(D228,$D$2:$D$241)+COUNTIF($D$2:D228,D228)-1,"")</f>
        <v>179</v>
      </c>
      <c r="F228" s="11" t="str">
        <f t="shared" si="36"/>
        <v/>
      </c>
      <c r="G228" s="11" t="str">
        <f t="shared" si="37"/>
        <v/>
      </c>
      <c r="H228" s="36" t="str">
        <f t="shared" si="38"/>
        <v/>
      </c>
      <c r="I228" s="11">
        <f>VLOOKUP(B228,'CD El Corozo'!$B$4:$G$18,4,FALSE)</f>
        <v>1</v>
      </c>
      <c r="J228" s="11">
        <f>IF(I228&gt;0,RANK(I228,$I$2:$I$240)+COUNTIF($I$2:I228,I228)-1,"")</f>
        <v>125</v>
      </c>
      <c r="K228" s="11" t="str">
        <f t="shared" si="39"/>
        <v/>
      </c>
      <c r="L228" s="11" t="str">
        <f t="shared" si="40"/>
        <v/>
      </c>
      <c r="M228" s="11" t="str">
        <f t="shared" si="41"/>
        <v/>
      </c>
      <c r="N228" s="11" t="e">
        <f>VLOOKUP(B228,'Deportivo Fénix'!$B$4:$G$18,5,FALSE)</f>
        <v>#N/A</v>
      </c>
      <c r="O228" s="11" t="e">
        <f>IF(N228&gt;0,RANK(N228,$N$2:$N$240)+COUNTIF($N$2:N228,N228)-1,"")</f>
        <v>#N/A</v>
      </c>
      <c r="P228" s="11" t="str">
        <f t="shared" si="42"/>
        <v/>
      </c>
      <c r="Q228" s="11" t="str">
        <f t="shared" si="43"/>
        <v/>
      </c>
      <c r="R228" s="11" t="str">
        <f t="shared" si="44"/>
        <v/>
      </c>
      <c r="S228" s="11" t="e">
        <f>VLOOKUP(B228,'Deportivo Fénix'!$B$4:$G$18,6,FALSE)</f>
        <v>#N/A</v>
      </c>
      <c r="T228" s="11" t="e">
        <f>IF(S228&gt;0,RANK(S228,$S$2:$S$240)+COUNTIF($S$2:S228,S228)-1,"")</f>
        <v>#N/A</v>
      </c>
      <c r="U228" s="11" t="str">
        <f t="shared" si="45"/>
        <v/>
      </c>
      <c r="V228" s="11" t="str">
        <f t="shared" si="46"/>
        <v/>
      </c>
      <c r="W228" s="11" t="str">
        <f t="shared" ref="W228:W242" si="49">IFERROR(INDEX(S$2:S$226,MATCH($U228,$B$2:$B$226,0)),"")</f>
        <v/>
      </c>
    </row>
    <row r="229" spans="1:23" x14ac:dyDescent="0.25">
      <c r="A229" s="17">
        <v>228</v>
      </c>
      <c r="B229" s="18" t="str">
        <f>Jugadores!P5</f>
        <v>Osneider Benítez Feria</v>
      </c>
      <c r="C229" s="17" t="str">
        <f>+Jugadores!$P$2</f>
        <v>CD El Corozo</v>
      </c>
      <c r="D229" s="11">
        <f>VLOOKUP(B229,'CD El Corozo'!$B$4:$G$18,3,FALSE)</f>
        <v>3</v>
      </c>
      <c r="E229" s="11">
        <f>IF(D229&gt;0,RANK(D229,$D$2:$D$241)+COUNTIF($D$2:D229,D229)-1,"")</f>
        <v>112</v>
      </c>
      <c r="F229" s="11" t="str">
        <f t="shared" si="36"/>
        <v/>
      </c>
      <c r="G229" s="11" t="str">
        <f t="shared" si="37"/>
        <v/>
      </c>
      <c r="H229" s="36" t="str">
        <f t="shared" si="38"/>
        <v/>
      </c>
      <c r="I229" s="11">
        <f>VLOOKUP(B229,'CD El Corozo'!$B$4:$G$18,4,FALSE)</f>
        <v>2</v>
      </c>
      <c r="J229" s="11">
        <f>IF(I229&gt;0,RANK(I229,$I$2:$I$240)+COUNTIF($I$2:I229,I229)-1,"")</f>
        <v>69</v>
      </c>
      <c r="K229" s="11" t="str">
        <f t="shared" si="39"/>
        <v/>
      </c>
      <c r="L229" s="11" t="str">
        <f t="shared" si="40"/>
        <v/>
      </c>
      <c r="M229" s="11" t="str">
        <f t="shared" si="41"/>
        <v/>
      </c>
      <c r="N229" s="11" t="e">
        <f>VLOOKUP(B229,'Deportivo Fénix'!$B$4:$G$18,5,FALSE)</f>
        <v>#N/A</v>
      </c>
      <c r="O229" s="11" t="e">
        <f>IF(N229&gt;0,RANK(N229,$N$2:$N$240)+COUNTIF($N$2:N229,N229)-1,"")</f>
        <v>#N/A</v>
      </c>
      <c r="P229" s="11" t="str">
        <f t="shared" si="42"/>
        <v/>
      </c>
      <c r="Q229" s="11" t="str">
        <f t="shared" si="43"/>
        <v/>
      </c>
      <c r="R229" s="11" t="str">
        <f t="shared" si="44"/>
        <v/>
      </c>
      <c r="S229" s="11" t="e">
        <f>VLOOKUP(B229,'Deportivo Fénix'!$B$4:$G$18,6,FALSE)</f>
        <v>#N/A</v>
      </c>
      <c r="T229" s="11" t="e">
        <f>IF(S229&gt;0,RANK(S229,$S$2:$S$240)+COUNTIF($S$2:S229,S229)-1,"")</f>
        <v>#N/A</v>
      </c>
      <c r="U229" s="11" t="str">
        <f t="shared" si="45"/>
        <v/>
      </c>
      <c r="V229" s="11" t="str">
        <f t="shared" si="46"/>
        <v/>
      </c>
      <c r="W229" s="11" t="str">
        <f t="shared" si="49"/>
        <v/>
      </c>
    </row>
    <row r="230" spans="1:23" x14ac:dyDescent="0.25">
      <c r="A230" s="17">
        <v>229</v>
      </c>
      <c r="B230" s="18" t="str">
        <f>Jugadores!P6</f>
        <v>Carlos Suárez Martínez</v>
      </c>
      <c r="C230" s="17" t="str">
        <f>+Jugadores!$P$2</f>
        <v>CD El Corozo</v>
      </c>
      <c r="D230" s="11">
        <f>VLOOKUP(B230,'CD El Corozo'!$B$4:$G$18,3,FALSE)</f>
        <v>9</v>
      </c>
      <c r="E230" s="11">
        <f>IF(D230&gt;0,RANK(D230,$D$2:$D$241)+COUNTIF($D$2:D230,D230)-1,"")</f>
        <v>31</v>
      </c>
      <c r="F230" s="11" t="str">
        <f t="shared" si="36"/>
        <v/>
      </c>
      <c r="G230" s="11" t="str">
        <f t="shared" si="37"/>
        <v/>
      </c>
      <c r="H230" s="36" t="str">
        <f t="shared" si="38"/>
        <v/>
      </c>
      <c r="I230" s="11">
        <f>VLOOKUP(B230,'CD El Corozo'!$B$4:$G$18,4,FALSE)</f>
        <v>2</v>
      </c>
      <c r="J230" s="11">
        <f>IF(I230&gt;0,RANK(I230,$I$2:$I$240)+COUNTIF($I$2:I230,I230)-1,"")</f>
        <v>70</v>
      </c>
      <c r="K230" s="11" t="str">
        <f t="shared" si="39"/>
        <v/>
      </c>
      <c r="L230" s="11" t="str">
        <f t="shared" si="40"/>
        <v/>
      </c>
      <c r="M230" s="11" t="str">
        <f t="shared" si="41"/>
        <v/>
      </c>
      <c r="N230" s="11" t="e">
        <f>VLOOKUP(B230,'Deportivo Fénix'!$B$4:$G$18,5,FALSE)</f>
        <v>#N/A</v>
      </c>
      <c r="O230" s="11" t="e">
        <f>IF(N230&gt;0,RANK(N230,$N$2:$N$240)+COUNTIF($N$2:N230,N230)-1,"")</f>
        <v>#N/A</v>
      </c>
      <c r="P230" s="11" t="str">
        <f t="shared" si="42"/>
        <v/>
      </c>
      <c r="Q230" s="11" t="str">
        <f t="shared" si="43"/>
        <v/>
      </c>
      <c r="R230" s="11" t="str">
        <f t="shared" si="44"/>
        <v/>
      </c>
      <c r="S230" s="11" t="e">
        <f>VLOOKUP(B230,'Deportivo Fénix'!$B$4:$G$18,6,FALSE)</f>
        <v>#N/A</v>
      </c>
      <c r="T230" s="11" t="e">
        <f>IF(S230&gt;0,RANK(S230,$S$2:$S$240)+COUNTIF($S$2:S230,S230)-1,"")</f>
        <v>#N/A</v>
      </c>
      <c r="U230" s="11" t="str">
        <f t="shared" si="45"/>
        <v/>
      </c>
      <c r="V230" s="11" t="str">
        <f t="shared" si="46"/>
        <v/>
      </c>
      <c r="W230" s="11" t="str">
        <f t="shared" si="49"/>
        <v/>
      </c>
    </row>
    <row r="231" spans="1:23" x14ac:dyDescent="0.25">
      <c r="A231" s="17">
        <v>230</v>
      </c>
      <c r="B231" s="18" t="str">
        <f>Jugadores!P7</f>
        <v>Germán Urango Suárez</v>
      </c>
      <c r="C231" s="17" t="str">
        <f>+Jugadores!$P$2</f>
        <v>CD El Corozo</v>
      </c>
      <c r="D231" s="11">
        <f>VLOOKUP(B231,'CD El Corozo'!$B$4:$G$18,3,FALSE)</f>
        <v>1</v>
      </c>
      <c r="E231" s="11">
        <f>IF(D231&gt;0,RANK(D231,$D$2:$D$241)+COUNTIF($D$2:D231,D231)-1,"")</f>
        <v>180</v>
      </c>
      <c r="F231" s="11" t="str">
        <f t="shared" si="36"/>
        <v/>
      </c>
      <c r="G231" s="11" t="str">
        <f t="shared" si="37"/>
        <v/>
      </c>
      <c r="H231" s="36" t="str">
        <f t="shared" si="38"/>
        <v/>
      </c>
      <c r="I231" s="11">
        <f>VLOOKUP(B231,'CD El Corozo'!$B$4:$G$18,4,FALSE)</f>
        <v>0</v>
      </c>
      <c r="J231" s="11" t="str">
        <f>IF(I231&gt;0,RANK(I231,$I$2:$I$240)+COUNTIF($I$2:I231,I231)-1,"")</f>
        <v/>
      </c>
      <c r="K231" s="11" t="str">
        <f t="shared" si="39"/>
        <v/>
      </c>
      <c r="L231" s="11" t="str">
        <f t="shared" si="40"/>
        <v/>
      </c>
      <c r="M231" s="11" t="str">
        <f t="shared" si="41"/>
        <v/>
      </c>
      <c r="N231" s="11" t="e">
        <f>VLOOKUP(B231,'Deportivo Fénix'!$B$4:$G$18,5,FALSE)</f>
        <v>#N/A</v>
      </c>
      <c r="O231" s="11" t="e">
        <f>IF(N231&gt;0,RANK(N231,$N$2:$N$240)+COUNTIF($N$2:N231,N231)-1,"")</f>
        <v>#N/A</v>
      </c>
      <c r="P231" s="11" t="str">
        <f t="shared" si="42"/>
        <v/>
      </c>
      <c r="Q231" s="11" t="str">
        <f t="shared" si="43"/>
        <v/>
      </c>
      <c r="R231" s="11" t="str">
        <f t="shared" si="44"/>
        <v/>
      </c>
      <c r="S231" s="11" t="e">
        <f>VLOOKUP(B231,'Deportivo Fénix'!$B$4:$G$18,6,FALSE)</f>
        <v>#N/A</v>
      </c>
      <c r="T231" s="11" t="e">
        <f>IF(S231&gt;0,RANK(S231,$S$2:$S$240)+COUNTIF($S$2:S231,S231)-1,"")</f>
        <v>#N/A</v>
      </c>
      <c r="U231" s="11" t="str">
        <f t="shared" si="45"/>
        <v/>
      </c>
      <c r="V231" s="11" t="str">
        <f t="shared" si="46"/>
        <v/>
      </c>
      <c r="W231" s="11" t="str">
        <f t="shared" si="49"/>
        <v/>
      </c>
    </row>
    <row r="232" spans="1:23" x14ac:dyDescent="0.25">
      <c r="A232" s="17">
        <v>231</v>
      </c>
      <c r="B232" s="18" t="str">
        <f>Jugadores!P8</f>
        <v>Manuel Carrascal Espitía</v>
      </c>
      <c r="C232" s="17" t="str">
        <f>+Jugadores!$P$2</f>
        <v>CD El Corozo</v>
      </c>
      <c r="D232" s="11">
        <f>VLOOKUP(B232,'CD El Corozo'!$B$4:$G$18,3,FALSE)</f>
        <v>14</v>
      </c>
      <c r="E232" s="11">
        <f>IF(D232&gt;0,RANK(D232,$D$2:$D$241)+COUNTIF($D$2:D232,D232)-1,"")</f>
        <v>16</v>
      </c>
      <c r="F232" s="11" t="str">
        <f t="shared" si="36"/>
        <v/>
      </c>
      <c r="G232" s="11" t="str">
        <f t="shared" si="37"/>
        <v/>
      </c>
      <c r="H232" s="36" t="str">
        <f t="shared" si="38"/>
        <v/>
      </c>
      <c r="I232" s="11">
        <f>VLOOKUP(B232,'CD El Corozo'!$B$4:$G$18,4,FALSE)</f>
        <v>3</v>
      </c>
      <c r="J232" s="11">
        <f>IF(I232&gt;0,RANK(I232,$I$2:$I$240)+COUNTIF($I$2:I232,I232)-1,"")</f>
        <v>32</v>
      </c>
      <c r="K232" s="11" t="str">
        <f t="shared" si="39"/>
        <v/>
      </c>
      <c r="L232" s="11" t="str">
        <f t="shared" si="40"/>
        <v/>
      </c>
      <c r="M232" s="11" t="str">
        <f t="shared" si="41"/>
        <v/>
      </c>
      <c r="N232" s="11" t="e">
        <f>VLOOKUP(B232,'Deportivo Fénix'!$B$4:$G$18,5,FALSE)</f>
        <v>#N/A</v>
      </c>
      <c r="O232" s="11" t="e">
        <f>IF(N232&gt;0,RANK(N232,$N$2:$N$240)+COUNTIF($N$2:N232,N232)-1,"")</f>
        <v>#N/A</v>
      </c>
      <c r="P232" s="11" t="str">
        <f t="shared" si="42"/>
        <v/>
      </c>
      <c r="Q232" s="11" t="str">
        <f t="shared" si="43"/>
        <v/>
      </c>
      <c r="R232" s="11" t="str">
        <f t="shared" si="44"/>
        <v/>
      </c>
      <c r="S232" s="11" t="e">
        <f>VLOOKUP(B232,'Deportivo Fénix'!$B$4:$G$18,6,FALSE)</f>
        <v>#N/A</v>
      </c>
      <c r="T232" s="11" t="e">
        <f>IF(S232&gt;0,RANK(S232,$S$2:$S$240)+COUNTIF($S$2:S232,S232)-1,"")</f>
        <v>#N/A</v>
      </c>
      <c r="U232" s="11" t="str">
        <f t="shared" si="45"/>
        <v/>
      </c>
      <c r="V232" s="11" t="str">
        <f t="shared" si="46"/>
        <v/>
      </c>
      <c r="W232" s="11" t="str">
        <f t="shared" si="49"/>
        <v/>
      </c>
    </row>
    <row r="233" spans="1:23" x14ac:dyDescent="0.25">
      <c r="A233" s="17">
        <v>232</v>
      </c>
      <c r="B233" s="18" t="str">
        <f>Jugadores!P9</f>
        <v>Elkín Osorio</v>
      </c>
      <c r="C233" s="17" t="str">
        <f>+Jugadores!$P$2</f>
        <v>CD El Corozo</v>
      </c>
      <c r="D233" s="11">
        <f>VLOOKUP(B233,'CD El Corozo'!$B$4:$G$18,3,FALSE)</f>
        <v>1</v>
      </c>
      <c r="E233" s="11">
        <f>IF(D233&gt;0,RANK(D233,$D$2:$D$241)+COUNTIF($D$2:D233,D233)-1,"")</f>
        <v>181</v>
      </c>
      <c r="F233" s="11" t="str">
        <f t="shared" si="36"/>
        <v/>
      </c>
      <c r="G233" s="11" t="str">
        <f t="shared" si="37"/>
        <v/>
      </c>
      <c r="H233" s="36" t="str">
        <f t="shared" si="38"/>
        <v/>
      </c>
      <c r="I233" s="11">
        <f>VLOOKUP(B233,'CD El Corozo'!$B$4:$G$18,4,FALSE)</f>
        <v>2</v>
      </c>
      <c r="J233" s="11">
        <f>IF(I233&gt;0,RANK(I233,$I$2:$I$240)+COUNTIF($I$2:I233,I233)-1,"")</f>
        <v>71</v>
      </c>
      <c r="K233" s="11" t="str">
        <f t="shared" si="39"/>
        <v/>
      </c>
      <c r="L233" s="11" t="str">
        <f t="shared" si="40"/>
        <v/>
      </c>
      <c r="M233" s="11" t="str">
        <f t="shared" si="41"/>
        <v/>
      </c>
      <c r="N233" s="11" t="e">
        <f>VLOOKUP(B233,'Deportivo Fénix'!$B$4:$G$18,5,FALSE)</f>
        <v>#N/A</v>
      </c>
      <c r="O233" s="11" t="e">
        <f>IF(N233&gt;0,RANK(N233,$N$2:$N$240)+COUNTIF($N$2:N233,N233)-1,"")</f>
        <v>#N/A</v>
      </c>
      <c r="P233" s="11" t="str">
        <f t="shared" si="42"/>
        <v/>
      </c>
      <c r="Q233" s="11" t="str">
        <f t="shared" si="43"/>
        <v/>
      </c>
      <c r="R233" s="11" t="str">
        <f t="shared" si="44"/>
        <v/>
      </c>
      <c r="S233" s="11" t="e">
        <f>VLOOKUP(B233,'Deportivo Fénix'!$B$4:$G$18,6,FALSE)</f>
        <v>#N/A</v>
      </c>
      <c r="T233" s="11" t="e">
        <f>IF(S233&gt;0,RANK(S233,$S$2:$S$240)+COUNTIF($S$2:S233,S233)-1,"")</f>
        <v>#N/A</v>
      </c>
      <c r="U233" s="11" t="str">
        <f t="shared" si="45"/>
        <v/>
      </c>
      <c r="V233" s="11" t="str">
        <f t="shared" si="46"/>
        <v/>
      </c>
      <c r="W233" s="11" t="str">
        <f t="shared" si="49"/>
        <v/>
      </c>
    </row>
    <row r="234" spans="1:23" x14ac:dyDescent="0.25">
      <c r="A234" s="17">
        <v>233</v>
      </c>
      <c r="B234" s="18" t="str">
        <f>Jugadores!P10</f>
        <v>Lucas Urango Viloria</v>
      </c>
      <c r="C234" s="17" t="str">
        <f>+Jugadores!$P$2</f>
        <v>CD El Corozo</v>
      </c>
      <c r="D234" s="11">
        <f>VLOOKUP(B234,'CD El Corozo'!$B$4:$G$18,3,FALSE)</f>
        <v>0</v>
      </c>
      <c r="E234" s="11" t="str">
        <f>IF(D234&gt;0,RANK(D234,$D$2:$D$241)+COUNTIF($D$2:D234,D234)-1,"")</f>
        <v/>
      </c>
      <c r="F234" s="11" t="str">
        <f t="shared" si="36"/>
        <v/>
      </c>
      <c r="G234" s="11" t="str">
        <f t="shared" si="37"/>
        <v/>
      </c>
      <c r="H234" s="36" t="str">
        <f t="shared" si="38"/>
        <v/>
      </c>
      <c r="I234" s="11">
        <f>VLOOKUP(B234,'CD El Corozo'!$B$4:$G$18,4,FALSE)</f>
        <v>1</v>
      </c>
      <c r="J234" s="11">
        <f>IF(I234&gt;0,RANK(I234,$I$2:$I$240)+COUNTIF($I$2:I234,I234)-1,"")</f>
        <v>126</v>
      </c>
      <c r="K234" s="11" t="str">
        <f t="shared" si="39"/>
        <v/>
      </c>
      <c r="L234" s="11" t="str">
        <f t="shared" si="40"/>
        <v/>
      </c>
      <c r="M234" s="11" t="str">
        <f t="shared" si="41"/>
        <v/>
      </c>
      <c r="N234" s="11" t="e">
        <f>VLOOKUP(B234,'Deportivo Fénix'!$B$4:$G$18,5,FALSE)</f>
        <v>#N/A</v>
      </c>
      <c r="O234" s="11" t="e">
        <f>IF(N234&gt;0,RANK(N234,$N$2:$N$240)+COUNTIF($N$2:N234,N234)-1,"")</f>
        <v>#N/A</v>
      </c>
      <c r="P234" s="11" t="str">
        <f t="shared" si="42"/>
        <v/>
      </c>
      <c r="Q234" s="11" t="str">
        <f t="shared" si="43"/>
        <v/>
      </c>
      <c r="R234" s="11" t="str">
        <f t="shared" si="44"/>
        <v/>
      </c>
      <c r="S234" s="11" t="e">
        <f>VLOOKUP(B234,'Deportivo Fénix'!$B$4:$G$18,6,FALSE)</f>
        <v>#N/A</v>
      </c>
      <c r="T234" s="11" t="e">
        <f>IF(S234&gt;0,RANK(S234,$S$2:$S$240)+COUNTIF($S$2:S234,S234)-1,"")</f>
        <v>#N/A</v>
      </c>
      <c r="U234" s="11" t="str">
        <f t="shared" si="45"/>
        <v/>
      </c>
      <c r="V234" s="11" t="str">
        <f t="shared" si="46"/>
        <v/>
      </c>
      <c r="W234" s="11" t="str">
        <f t="shared" si="49"/>
        <v/>
      </c>
    </row>
    <row r="235" spans="1:23" x14ac:dyDescent="0.25">
      <c r="A235" s="17">
        <v>234</v>
      </c>
      <c r="B235" s="18" t="str">
        <f>Jugadores!P11</f>
        <v>Aldrin Calderín Ruiz</v>
      </c>
      <c r="C235" s="17" t="str">
        <f>+Jugadores!$P$2</f>
        <v>CD El Corozo</v>
      </c>
      <c r="D235" s="11">
        <f>VLOOKUP(B235,'CD El Corozo'!$B$4:$G$18,3,FALSE)</f>
        <v>19</v>
      </c>
      <c r="E235" s="11">
        <f>IF(D235&gt;0,RANK(D235,$D$2:$D$241)+COUNTIF($D$2:D235,D235)-1,"")</f>
        <v>11</v>
      </c>
      <c r="F235" s="11" t="str">
        <f t="shared" si="36"/>
        <v/>
      </c>
      <c r="G235" s="11" t="str">
        <f t="shared" si="37"/>
        <v/>
      </c>
      <c r="H235" s="36" t="str">
        <f t="shared" si="38"/>
        <v/>
      </c>
      <c r="I235" s="11">
        <f>VLOOKUP(B235,'CD El Corozo'!$B$4:$G$18,4,FALSE)</f>
        <v>2</v>
      </c>
      <c r="J235" s="11">
        <f>IF(I235&gt;0,RANK(I235,$I$2:$I$240)+COUNTIF($I$2:I235,I235)-1,"")</f>
        <v>72</v>
      </c>
      <c r="K235" s="11" t="str">
        <f t="shared" si="39"/>
        <v/>
      </c>
      <c r="L235" s="11" t="str">
        <f t="shared" si="40"/>
        <v/>
      </c>
      <c r="M235" s="11" t="str">
        <f t="shared" si="41"/>
        <v/>
      </c>
      <c r="N235" s="11" t="e">
        <f>VLOOKUP(B235,'Deportivo Fénix'!$B$4:$G$18,5,FALSE)</f>
        <v>#N/A</v>
      </c>
      <c r="O235" s="11" t="e">
        <f>IF(N235&gt;0,RANK(N235,$N$2:$N$240)+COUNTIF($N$2:N235,N235)-1,"")</f>
        <v>#N/A</v>
      </c>
      <c r="P235" s="11" t="str">
        <f t="shared" si="42"/>
        <v/>
      </c>
      <c r="Q235" s="11" t="str">
        <f t="shared" si="43"/>
        <v/>
      </c>
      <c r="R235" s="11" t="str">
        <f t="shared" si="44"/>
        <v/>
      </c>
      <c r="S235" s="11" t="e">
        <f>VLOOKUP(B235,'Deportivo Fénix'!$B$4:$G$18,6,FALSE)</f>
        <v>#N/A</v>
      </c>
      <c r="T235" s="11" t="e">
        <f>IF(S235&gt;0,RANK(S235,$S$2:$S$240)+COUNTIF($S$2:S235,S235)-1,"")</f>
        <v>#N/A</v>
      </c>
      <c r="U235" s="11" t="str">
        <f t="shared" si="45"/>
        <v/>
      </c>
      <c r="V235" s="11" t="str">
        <f t="shared" si="46"/>
        <v/>
      </c>
      <c r="W235" s="11" t="str">
        <f t="shared" si="49"/>
        <v/>
      </c>
    </row>
    <row r="236" spans="1:23" x14ac:dyDescent="0.25">
      <c r="A236" s="17">
        <v>235</v>
      </c>
      <c r="B236" s="18" t="str">
        <f>Jugadores!P12</f>
        <v>Antonio Urango Suárez</v>
      </c>
      <c r="C236" s="17" t="str">
        <f>+Jugadores!$P$2</f>
        <v>CD El Corozo</v>
      </c>
      <c r="D236" s="11">
        <f>VLOOKUP(B236,'CD El Corozo'!$B$4:$G$18,3,FALSE)</f>
        <v>1</v>
      </c>
      <c r="E236" s="11">
        <f>IF(D236&gt;0,RANK(D236,$D$2:$D$241)+COUNTIF($D$2:D236,D236)-1,"")</f>
        <v>182</v>
      </c>
      <c r="F236" s="11" t="str">
        <f t="shared" si="36"/>
        <v/>
      </c>
      <c r="G236" s="11" t="str">
        <f t="shared" si="37"/>
        <v/>
      </c>
      <c r="H236" s="36" t="str">
        <f t="shared" si="38"/>
        <v/>
      </c>
      <c r="I236" s="11">
        <f>VLOOKUP(B236,'CD El Corozo'!$B$4:$G$18,4,FALSE)</f>
        <v>0</v>
      </c>
      <c r="J236" s="11" t="str">
        <f>IF(I236&gt;0,RANK(I236,$I$2:$I$240)+COUNTIF($I$2:I236,I236)-1,"")</f>
        <v/>
      </c>
      <c r="K236" s="11" t="str">
        <f t="shared" si="39"/>
        <v/>
      </c>
      <c r="L236" s="11" t="str">
        <f t="shared" si="40"/>
        <v/>
      </c>
      <c r="M236" s="11" t="str">
        <f t="shared" si="41"/>
        <v/>
      </c>
      <c r="N236" s="11" t="e">
        <f>VLOOKUP(B236,'Deportivo Fénix'!$B$4:$G$18,5,FALSE)</f>
        <v>#N/A</v>
      </c>
      <c r="O236" s="11" t="e">
        <f>IF(N236&gt;0,RANK(N236,$N$2:$N$240)+COUNTIF($N$2:N236,N236)-1,"")</f>
        <v>#N/A</v>
      </c>
      <c r="P236" s="11" t="str">
        <f t="shared" si="42"/>
        <v/>
      </c>
      <c r="Q236" s="11" t="str">
        <f t="shared" si="43"/>
        <v/>
      </c>
      <c r="R236" s="11" t="str">
        <f t="shared" si="44"/>
        <v/>
      </c>
      <c r="S236" s="11" t="e">
        <f>VLOOKUP(B236,'Deportivo Fénix'!$B$4:$G$18,6,FALSE)</f>
        <v>#N/A</v>
      </c>
      <c r="T236" s="11" t="e">
        <f>IF(S236&gt;0,RANK(S236,$S$2:$S$240)+COUNTIF($S$2:S236,S236)-1,"")</f>
        <v>#N/A</v>
      </c>
      <c r="U236" s="11" t="str">
        <f t="shared" si="45"/>
        <v/>
      </c>
      <c r="V236" s="11" t="str">
        <f t="shared" si="46"/>
        <v/>
      </c>
      <c r="W236" s="11" t="str">
        <f t="shared" si="49"/>
        <v/>
      </c>
    </row>
    <row r="237" spans="1:23" x14ac:dyDescent="0.25">
      <c r="A237" s="17">
        <v>236</v>
      </c>
      <c r="B237" s="18" t="str">
        <f>Jugadores!P13</f>
        <v>Jesús de Hoyos</v>
      </c>
      <c r="C237" s="17" t="str">
        <f>+Jugadores!$P$2</f>
        <v>CD El Corozo</v>
      </c>
      <c r="D237" s="11">
        <f>VLOOKUP(B237,'CD El Corozo'!$B$4:$G$18,3,FALSE)</f>
        <v>1</v>
      </c>
      <c r="E237" s="11">
        <f>IF(D237&gt;0,RANK(D237,$D$2:$D$241)+COUNTIF($D$2:D237,D237)-1,"")</f>
        <v>183</v>
      </c>
      <c r="F237" s="11" t="str">
        <f t="shared" si="36"/>
        <v/>
      </c>
      <c r="G237" s="11" t="str">
        <f t="shared" si="37"/>
        <v/>
      </c>
      <c r="H237" s="36" t="str">
        <f t="shared" si="38"/>
        <v/>
      </c>
      <c r="I237" s="11">
        <f>VLOOKUP(B237,'CD El Corozo'!$B$4:$G$18,4,FALSE)</f>
        <v>0</v>
      </c>
      <c r="J237" s="11" t="str">
        <f>IF(I237&gt;0,RANK(I237,$I$2:$I$240)+COUNTIF($I$2:I237,I237)-1,"")</f>
        <v/>
      </c>
      <c r="K237" s="11" t="str">
        <f t="shared" si="39"/>
        <v/>
      </c>
      <c r="L237" s="11" t="str">
        <f t="shared" si="40"/>
        <v/>
      </c>
      <c r="M237" s="11" t="str">
        <f t="shared" si="41"/>
        <v/>
      </c>
      <c r="N237" s="11" t="e">
        <f>VLOOKUP(B237,'Deportivo Fénix'!$B$4:$G$18,5,FALSE)</f>
        <v>#N/A</v>
      </c>
      <c r="O237" s="11" t="e">
        <f>IF(N237&gt;0,RANK(N237,$N$2:$N$240)+COUNTIF($N$2:N237,N237)-1,"")</f>
        <v>#N/A</v>
      </c>
      <c r="P237" s="11" t="str">
        <f t="shared" si="42"/>
        <v/>
      </c>
      <c r="Q237" s="11" t="str">
        <f t="shared" si="43"/>
        <v/>
      </c>
      <c r="R237" s="11" t="str">
        <f t="shared" si="44"/>
        <v/>
      </c>
      <c r="S237" s="11" t="e">
        <f>VLOOKUP(B237,'Deportivo Fénix'!$B$4:$G$18,6,FALSE)</f>
        <v>#N/A</v>
      </c>
      <c r="T237" s="11" t="e">
        <f>IF(S237&gt;0,RANK(S237,$S$2:$S$240)+COUNTIF($S$2:S237,S237)-1,"")</f>
        <v>#N/A</v>
      </c>
      <c r="U237" s="11" t="str">
        <f t="shared" si="45"/>
        <v/>
      </c>
      <c r="V237" s="11" t="str">
        <f t="shared" si="46"/>
        <v/>
      </c>
      <c r="W237" s="11" t="str">
        <f t="shared" si="49"/>
        <v/>
      </c>
    </row>
    <row r="238" spans="1:23" x14ac:dyDescent="0.25">
      <c r="A238" s="17">
        <v>237</v>
      </c>
      <c r="B238" s="18" t="str">
        <f>Jugadores!P14</f>
        <v xml:space="preserve">Jhonys Chávez </v>
      </c>
      <c r="C238" s="17" t="str">
        <f>+Jugadores!$P$2</f>
        <v>CD El Corozo</v>
      </c>
      <c r="D238" s="11">
        <f>VLOOKUP(B238,'CD El Corozo'!$B$4:$G$18,3,FALSE)</f>
        <v>1</v>
      </c>
      <c r="E238" s="11">
        <f>IF(D238&gt;0,RANK(D238,$D$2:$D$241)+COUNTIF($D$2:D238,D238)-1,"")</f>
        <v>184</v>
      </c>
      <c r="F238" s="11" t="str">
        <f t="shared" si="36"/>
        <v/>
      </c>
      <c r="G238" s="11" t="str">
        <f t="shared" si="37"/>
        <v/>
      </c>
      <c r="H238" s="36" t="str">
        <f t="shared" si="38"/>
        <v/>
      </c>
      <c r="I238" s="11">
        <f>VLOOKUP(B238,'CD El Corozo'!$B$4:$G$18,4,FALSE)</f>
        <v>1</v>
      </c>
      <c r="J238" s="11">
        <f>IF(I238&gt;0,RANK(I238,$I$2:$I$240)+COUNTIF($I$2:I238,I238)-1,"")</f>
        <v>127</v>
      </c>
      <c r="K238" s="11" t="str">
        <f t="shared" si="39"/>
        <v/>
      </c>
      <c r="L238" s="11" t="str">
        <f t="shared" si="40"/>
        <v/>
      </c>
      <c r="M238" s="11" t="str">
        <f t="shared" si="41"/>
        <v/>
      </c>
      <c r="N238" s="11" t="e">
        <f>VLOOKUP(B238,'Deportivo Fénix'!$B$4:$G$18,5,FALSE)</f>
        <v>#N/A</v>
      </c>
      <c r="O238" s="11" t="e">
        <f>IF(N238&gt;0,RANK(N238,$N$2:$N$240)+COUNTIF($N$2:N238,N238)-1,"")</f>
        <v>#N/A</v>
      </c>
      <c r="P238" s="11" t="str">
        <f t="shared" si="42"/>
        <v/>
      </c>
      <c r="Q238" s="11" t="str">
        <f t="shared" si="43"/>
        <v/>
      </c>
      <c r="R238" s="11" t="str">
        <f t="shared" si="44"/>
        <v/>
      </c>
      <c r="S238" s="11" t="e">
        <f>VLOOKUP(B238,'Deportivo Fénix'!$B$4:$G$18,6,FALSE)</f>
        <v>#N/A</v>
      </c>
      <c r="T238" s="11" t="e">
        <f>IF(S238&gt;0,RANK(S238,$S$2:$S$240)+COUNTIF($S$2:S238,S238)-1,"")</f>
        <v>#N/A</v>
      </c>
      <c r="U238" s="11" t="str">
        <f t="shared" si="45"/>
        <v/>
      </c>
      <c r="V238" s="11" t="str">
        <f t="shared" si="46"/>
        <v/>
      </c>
      <c r="W238" s="11" t="str">
        <f t="shared" si="49"/>
        <v/>
      </c>
    </row>
    <row r="239" spans="1:23" x14ac:dyDescent="0.25">
      <c r="A239" s="17">
        <v>238</v>
      </c>
      <c r="B239" s="18" t="str">
        <f>Jugadores!P15</f>
        <v>Francico Montoya</v>
      </c>
      <c r="C239" s="17" t="str">
        <f>+Jugadores!$P$2</f>
        <v>CD El Corozo</v>
      </c>
      <c r="D239" s="11">
        <f>VLOOKUP(B239,'CD El Corozo'!$B$4:$G$18,3,FALSE)</f>
        <v>1</v>
      </c>
      <c r="E239" s="11">
        <f>IF(D239&gt;0,RANK(D239,$D$2:$D$241)+COUNTIF($D$2:D239,D239)-1,"")</f>
        <v>185</v>
      </c>
      <c r="F239" s="11" t="str">
        <f t="shared" si="36"/>
        <v/>
      </c>
      <c r="G239" s="11" t="str">
        <f t="shared" si="37"/>
        <v/>
      </c>
      <c r="H239" s="36" t="str">
        <f t="shared" si="38"/>
        <v/>
      </c>
      <c r="I239" s="11">
        <f>VLOOKUP(B239,'CD El Corozo'!$B$4:$G$18,4,FALSE)</f>
        <v>0</v>
      </c>
      <c r="J239" s="11" t="str">
        <f>IF(I239&gt;0,RANK(I239,$I$2:$I$240)+COUNTIF($I$2:I239,I239)-1,"")</f>
        <v/>
      </c>
      <c r="K239" s="11" t="str">
        <f t="shared" si="39"/>
        <v/>
      </c>
      <c r="L239" s="11" t="str">
        <f t="shared" si="40"/>
        <v/>
      </c>
      <c r="M239" s="11" t="str">
        <f t="shared" si="41"/>
        <v/>
      </c>
      <c r="N239" s="11" t="e">
        <f>VLOOKUP(B239,'Deportivo Fénix'!$B$4:$G$18,5,FALSE)</f>
        <v>#N/A</v>
      </c>
      <c r="O239" s="11" t="e">
        <f>IF(N239&gt;0,RANK(N239,$N$2:$N$240)+COUNTIF($N$2:N239,N239)-1,"")</f>
        <v>#N/A</v>
      </c>
      <c r="P239" s="11" t="str">
        <f t="shared" si="42"/>
        <v/>
      </c>
      <c r="Q239" s="11" t="str">
        <f t="shared" si="43"/>
        <v/>
      </c>
      <c r="R239" s="11" t="str">
        <f t="shared" si="44"/>
        <v/>
      </c>
      <c r="S239" s="11" t="e">
        <f>VLOOKUP(B239,'Deportivo Fénix'!$B$4:$G$18,6,FALSE)</f>
        <v>#N/A</v>
      </c>
      <c r="T239" s="11" t="e">
        <f>IF(S239&gt;0,RANK(S239,$S$2:$S$240)+COUNTIF($S$2:S239,S239)-1,"")</f>
        <v>#N/A</v>
      </c>
      <c r="U239" s="11" t="str">
        <f t="shared" si="45"/>
        <v/>
      </c>
      <c r="V239" s="11" t="str">
        <f t="shared" si="46"/>
        <v/>
      </c>
      <c r="W239" s="11" t="str">
        <f t="shared" si="49"/>
        <v/>
      </c>
    </row>
    <row r="240" spans="1:23" x14ac:dyDescent="0.25">
      <c r="A240" s="17">
        <v>239</v>
      </c>
      <c r="B240" s="18" t="str">
        <f>Jugadores!P16</f>
        <v>Jhoser Pastrana</v>
      </c>
      <c r="C240" s="17" t="str">
        <f>+Jugadores!$P$2</f>
        <v>CD El Corozo</v>
      </c>
      <c r="D240" s="11">
        <f>VLOOKUP(B240,'CD El Corozo'!$B$4:$G$18,3,FALSE)</f>
        <v>1</v>
      </c>
      <c r="E240" s="11">
        <f>IF(D240&gt;0,RANK(D240,$D$2:$D$241)+COUNTIF($D$2:D240,D240)-1,"")</f>
        <v>186</v>
      </c>
      <c r="F240" s="11" t="str">
        <f t="shared" si="36"/>
        <v/>
      </c>
      <c r="G240" s="11" t="str">
        <f t="shared" si="37"/>
        <v/>
      </c>
      <c r="H240" s="36" t="str">
        <f t="shared" si="38"/>
        <v/>
      </c>
      <c r="I240" s="11">
        <f>VLOOKUP(B240,'CD El Corozo'!$B$4:$G$18,4,FALSE)</f>
        <v>1</v>
      </c>
      <c r="J240" s="11">
        <f>IF(I240&gt;0,RANK(I240,$I$2:$I$240)+COUNTIF($I$2:I240,I240)-1,"")</f>
        <v>128</v>
      </c>
      <c r="K240" s="11" t="str">
        <f t="shared" si="39"/>
        <v/>
      </c>
      <c r="L240" s="11" t="str">
        <f t="shared" si="40"/>
        <v/>
      </c>
      <c r="M240" s="11" t="str">
        <f t="shared" si="41"/>
        <v/>
      </c>
      <c r="N240" s="11" t="e">
        <f>VLOOKUP(B240,'Deportivo Fénix'!$B$4:$G$18,5,FALSE)</f>
        <v>#N/A</v>
      </c>
      <c r="O240" s="11" t="e">
        <f>IF(N240&gt;0,RANK(N240,$N$2:$N$240)+COUNTIF($N$2:N240,N240)-1,"")</f>
        <v>#N/A</v>
      </c>
      <c r="P240" s="11" t="str">
        <f t="shared" si="42"/>
        <v/>
      </c>
      <c r="Q240" s="11" t="str">
        <f t="shared" si="43"/>
        <v/>
      </c>
      <c r="R240" s="11" t="str">
        <f t="shared" si="44"/>
        <v/>
      </c>
      <c r="S240" s="11" t="e">
        <f>VLOOKUP(B240,'Deportivo Fénix'!$B$4:$G$18,6,FALSE)</f>
        <v>#N/A</v>
      </c>
      <c r="T240" s="11" t="e">
        <f>IF(S240&gt;0,RANK(S240,$S$2:$S$240)+COUNTIF($S$2:S240,S240)-1,"")</f>
        <v>#N/A</v>
      </c>
      <c r="U240" s="11" t="str">
        <f t="shared" si="45"/>
        <v/>
      </c>
      <c r="V240" s="11" t="str">
        <f t="shared" si="46"/>
        <v/>
      </c>
      <c r="W240" s="11" t="str">
        <f t="shared" si="49"/>
        <v/>
      </c>
    </row>
    <row r="241" spans="1:23" x14ac:dyDescent="0.25">
      <c r="A241" s="17">
        <v>240</v>
      </c>
      <c r="B241" s="18" t="str">
        <f>Jugadores!P17</f>
        <v>Michael Guerrero</v>
      </c>
      <c r="C241" s="17" t="str">
        <f>+Jugadores!$P$2</f>
        <v>CD El Corozo</v>
      </c>
      <c r="D241" s="11">
        <f>VLOOKUP(B241,'CD El Corozo'!$B$4:$G$18,3,FALSE)</f>
        <v>2</v>
      </c>
      <c r="E241" s="11">
        <f>IF(D241&gt;0,RANK(D241,$D$2:$D$241)+COUNTIF($D$2:D241,D241)-1,"")</f>
        <v>135</v>
      </c>
      <c r="F241" s="11" t="str">
        <f t="shared" si="36"/>
        <v/>
      </c>
      <c r="G241" s="11" t="str">
        <f t="shared" si="37"/>
        <v/>
      </c>
      <c r="H241" s="36" t="str">
        <f t="shared" si="38"/>
        <v/>
      </c>
      <c r="I241" s="11">
        <f>VLOOKUP(B241,'CD El Corozo'!$B$4:$G$18,4,FALSE)</f>
        <v>1</v>
      </c>
      <c r="J241" s="11">
        <f>IF(I241&gt;0,RANK(I241,$I$2:$I$240)+COUNTIF($I$2:I241,I241)-1,"")</f>
        <v>129</v>
      </c>
      <c r="K241" s="11" t="str">
        <f t="shared" si="39"/>
        <v/>
      </c>
      <c r="L241" s="11" t="str">
        <f t="shared" si="40"/>
        <v/>
      </c>
      <c r="M241" s="11" t="str">
        <f t="shared" si="41"/>
        <v/>
      </c>
      <c r="N241" s="11" t="e">
        <f>VLOOKUP(B241,'Deportivo Fénix'!$B$4:$G$18,5,FALSE)</f>
        <v>#N/A</v>
      </c>
      <c r="O241" s="11" t="e">
        <f>IF(N241&gt;0,RANK(N241,$N$2:$N$240)+COUNTIF($N$2:N241,N241)-1,"")</f>
        <v>#N/A</v>
      </c>
      <c r="P241" s="11" t="str">
        <f t="shared" si="42"/>
        <v/>
      </c>
      <c r="Q241" s="11" t="str">
        <f t="shared" si="43"/>
        <v/>
      </c>
      <c r="R241" s="11" t="str">
        <f t="shared" si="44"/>
        <v/>
      </c>
      <c r="S241" s="11" t="e">
        <f>VLOOKUP(B241,'Deportivo Fénix'!$B$4:$G$18,6,FALSE)</f>
        <v>#N/A</v>
      </c>
      <c r="T241" s="11" t="e">
        <f>IF(S241&gt;0,RANK(S241,$S$2:$S$240)+COUNTIF($S$2:S241,S241)-1,"")</f>
        <v>#N/A</v>
      </c>
      <c r="U241" s="11" t="str">
        <f t="shared" si="45"/>
        <v/>
      </c>
      <c r="V241" s="11" t="str">
        <f t="shared" si="46"/>
        <v/>
      </c>
      <c r="W241" s="11" t="str">
        <f t="shared" si="49"/>
        <v/>
      </c>
    </row>
    <row r="242" spans="1:23" x14ac:dyDescent="0.25">
      <c r="A242" s="17">
        <v>241</v>
      </c>
      <c r="B242" s="18" t="str">
        <f>Jugadores!Q3</f>
        <v>Equıpo 17 1</v>
      </c>
      <c r="C242" s="17">
        <f>+Jugadores!$Q$2</f>
        <v>0</v>
      </c>
      <c r="D242" s="11">
        <f>VLOOKUP(B242,'Equıpo 17'!$B$4:$G$18,3,FALSE)</f>
        <v>0</v>
      </c>
      <c r="E242" s="11" t="str">
        <f>IF(D242&gt;0,RANK(D242,$D$2:$D$241)+COUNTIF($D$2:D242,D242)-1,"")</f>
        <v/>
      </c>
      <c r="F242" s="11" t="str">
        <f t="shared" si="36"/>
        <v/>
      </c>
      <c r="G242" s="11" t="str">
        <f t="shared" si="37"/>
        <v/>
      </c>
      <c r="H242" s="36" t="str">
        <f t="shared" si="38"/>
        <v/>
      </c>
      <c r="I242" s="11">
        <f>VLOOKUP(B242,'Equıpo 17'!$B$4:$G$18,4,FALSE)</f>
        <v>0</v>
      </c>
      <c r="J242" s="11" t="str">
        <f>IF(I242&gt;0,RANK(I242,$I$2:$I$240)+COUNTIF($I$2:I242,I242)-1,"")</f>
        <v/>
      </c>
      <c r="K242" s="11" t="str">
        <f t="shared" si="39"/>
        <v/>
      </c>
      <c r="L242" s="11" t="str">
        <f t="shared" si="40"/>
        <v/>
      </c>
      <c r="M242" s="11" t="str">
        <f t="shared" si="41"/>
        <v/>
      </c>
      <c r="N242" s="11">
        <f>VLOOKUP(B242,'Equıpo 17'!$B$4:$G$18,5,FALSE)</f>
        <v>0</v>
      </c>
      <c r="O242" s="11" t="str">
        <f>IF(N242&gt;0,RANK(N242,$N$2:$N$240)+COUNTIF($N$2:N242,N242)-1,"")</f>
        <v/>
      </c>
      <c r="P242" s="11" t="str">
        <f t="shared" si="42"/>
        <v/>
      </c>
      <c r="Q242" s="11" t="str">
        <f t="shared" si="43"/>
        <v/>
      </c>
      <c r="R242" s="11" t="str">
        <f t="shared" si="44"/>
        <v/>
      </c>
      <c r="S242" s="11" t="e">
        <f>VLOOKUP(B242,'Deportivo Fénix'!$B$4:$G$18,6,FALSE)</f>
        <v>#N/A</v>
      </c>
      <c r="T242" s="11" t="e">
        <f>IF(S242&gt;0,RANK(S242,$S$2:$S$240)+COUNTIF($S$2:S242,S242)-1,"")</f>
        <v>#N/A</v>
      </c>
      <c r="U242" s="11" t="str">
        <f t="shared" si="45"/>
        <v/>
      </c>
      <c r="V242" s="11" t="str">
        <f t="shared" si="46"/>
        <v/>
      </c>
      <c r="W242" s="11" t="str">
        <f t="shared" si="49"/>
        <v/>
      </c>
    </row>
    <row r="243" spans="1:23" x14ac:dyDescent="0.25">
      <c r="A243" s="17">
        <v>242</v>
      </c>
      <c r="B243" s="18" t="str">
        <f>Jugadores!Q4</f>
        <v>Equıpo 17 2</v>
      </c>
      <c r="C243" s="17">
        <f>+Jugadores!$Q$2</f>
        <v>0</v>
      </c>
      <c r="D243" s="11">
        <f>VLOOKUP(B243,'Equıpo 17'!$B$4:$G$18,3,FALSE)</f>
        <v>0</v>
      </c>
      <c r="E243" s="11" t="str">
        <f>IF(D243&gt;0,RANK(D243,$D$2:$D$241)+COUNTIF($D$2:D243,D243)-1,"")</f>
        <v/>
      </c>
      <c r="F243" s="11" t="str">
        <f t="shared" si="36"/>
        <v/>
      </c>
      <c r="G243" s="11" t="str">
        <f t="shared" si="37"/>
        <v/>
      </c>
      <c r="H243" s="36" t="str">
        <f t="shared" si="38"/>
        <v/>
      </c>
      <c r="I243" s="11">
        <f>VLOOKUP(B243,'Equıpo 17'!$B$4:$G$18,4,FALSE)</f>
        <v>0</v>
      </c>
      <c r="J243" s="11" t="str">
        <f>IF(I243&gt;0,RANK(I243,$I$2:$I$240)+COUNTIF($I$2:I243,I243)-1,"")</f>
        <v/>
      </c>
      <c r="K243" s="11" t="str">
        <f t="shared" si="39"/>
        <v/>
      </c>
      <c r="L243" s="11" t="str">
        <f t="shared" si="40"/>
        <v/>
      </c>
      <c r="M243" s="11" t="str">
        <f t="shared" si="41"/>
        <v/>
      </c>
      <c r="N243" s="11">
        <f>VLOOKUP(B243,'Equıpo 17'!$B$4:$G$18,5,FALSE)</f>
        <v>0</v>
      </c>
      <c r="O243" s="11" t="str">
        <f>IF(N243&gt;0,RANK(N243,$N$2:$N$240)+COUNTIF($N$2:N243,N243)-1,"")</f>
        <v/>
      </c>
      <c r="P243" s="11" t="str">
        <f t="shared" si="42"/>
        <v/>
      </c>
      <c r="Q243" s="11" t="str">
        <f t="shared" si="43"/>
        <v/>
      </c>
      <c r="R243" s="11" t="str">
        <f t="shared" si="44"/>
        <v/>
      </c>
      <c r="S243" s="11" t="e">
        <f>VLOOKUP(B243,'Deportivo Fénix'!$B$4:$G$18,6,FALSE)</f>
        <v>#N/A</v>
      </c>
      <c r="T243" s="11" t="e">
        <f>IF(S243&gt;0,RANK(S243,$S$2:$S$240)+COUNTIF($S$2:S243,S243)-1,"")</f>
        <v>#N/A</v>
      </c>
      <c r="U243" s="11" t="str">
        <f t="shared" si="45"/>
        <v/>
      </c>
      <c r="V243" s="11" t="str">
        <f t="shared" si="46"/>
        <v/>
      </c>
      <c r="W243" s="11" t="str">
        <f t="shared" ref="W243:W256" si="50">IFERROR(INDEX(S$2:S$226,MATCH($U243,$B$2:$B$226,0)),"")</f>
        <v/>
      </c>
    </row>
    <row r="244" spans="1:23" x14ac:dyDescent="0.25">
      <c r="A244" s="17">
        <v>243</v>
      </c>
      <c r="B244" s="18" t="str">
        <f>Jugadores!Q5</f>
        <v>Equıpo 17 3</v>
      </c>
      <c r="C244" s="17">
        <f>+Jugadores!$Q$2</f>
        <v>0</v>
      </c>
      <c r="D244" s="11">
        <f>VLOOKUP(B244,'Equıpo 17'!$B$4:$G$18,3,FALSE)</f>
        <v>0</v>
      </c>
      <c r="E244" s="11" t="str">
        <f>IF(D244&gt;0,RANK(D244,$D$2:$D$241)+COUNTIF($D$2:D244,D244)-1,"")</f>
        <v/>
      </c>
      <c r="F244" s="11" t="str">
        <f t="shared" si="36"/>
        <v/>
      </c>
      <c r="G244" s="11" t="str">
        <f t="shared" si="37"/>
        <v/>
      </c>
      <c r="H244" s="36" t="str">
        <f t="shared" si="38"/>
        <v/>
      </c>
      <c r="I244" s="11">
        <f>VLOOKUP(B244,'Equıpo 17'!$B$4:$G$18,4,FALSE)</f>
        <v>0</v>
      </c>
      <c r="J244" s="11" t="str">
        <f>IF(I244&gt;0,RANK(I244,$I$2:$I$240)+COUNTIF($I$2:I244,I244)-1,"")</f>
        <v/>
      </c>
      <c r="K244" s="11" t="str">
        <f t="shared" si="39"/>
        <v/>
      </c>
      <c r="L244" s="11" t="str">
        <f t="shared" si="40"/>
        <v/>
      </c>
      <c r="M244" s="11" t="str">
        <f t="shared" si="41"/>
        <v/>
      </c>
      <c r="N244" s="11">
        <f>VLOOKUP(B244,'Equıpo 17'!$B$4:$G$18,5,FALSE)</f>
        <v>0</v>
      </c>
      <c r="O244" s="11" t="str">
        <f>IF(N244&gt;0,RANK(N244,$N$2:$N$240)+COUNTIF($N$2:N244,N244)-1,"")</f>
        <v/>
      </c>
      <c r="P244" s="11" t="str">
        <f t="shared" si="42"/>
        <v/>
      </c>
      <c r="Q244" s="11" t="str">
        <f t="shared" si="43"/>
        <v/>
      </c>
      <c r="R244" s="11" t="str">
        <f t="shared" si="44"/>
        <v/>
      </c>
      <c r="S244" s="11" t="e">
        <f>VLOOKUP(B244,'Deportivo Fénix'!$B$4:$G$18,6,FALSE)</f>
        <v>#N/A</v>
      </c>
      <c r="T244" s="11" t="e">
        <f>IF(S244&gt;0,RANK(S244,$S$2:$S$240)+COUNTIF($S$2:S244,S244)-1,"")</f>
        <v>#N/A</v>
      </c>
      <c r="U244" s="11" t="str">
        <f t="shared" si="45"/>
        <v/>
      </c>
      <c r="V244" s="11" t="str">
        <f t="shared" si="46"/>
        <v/>
      </c>
      <c r="W244" s="11" t="str">
        <f t="shared" si="50"/>
        <v/>
      </c>
    </row>
    <row r="245" spans="1:23" x14ac:dyDescent="0.25">
      <c r="A245" s="17">
        <v>244</v>
      </c>
      <c r="B245" s="18" t="str">
        <f>Jugadores!Q6</f>
        <v>Equıpo 17 4</v>
      </c>
      <c r="C245" s="17">
        <f>+Jugadores!$Q$2</f>
        <v>0</v>
      </c>
      <c r="D245" s="11">
        <f>VLOOKUP(B245,'Equıpo 17'!$B$4:$G$18,3,FALSE)</f>
        <v>0</v>
      </c>
      <c r="E245" s="11" t="str">
        <f>IF(D245&gt;0,RANK(D245,$D$2:$D$241)+COUNTIF($D$2:D245,D245)-1,"")</f>
        <v/>
      </c>
      <c r="F245" s="11" t="str">
        <f t="shared" si="36"/>
        <v/>
      </c>
      <c r="G245" s="11" t="str">
        <f t="shared" si="37"/>
        <v/>
      </c>
      <c r="H245" s="36" t="str">
        <f t="shared" si="38"/>
        <v/>
      </c>
      <c r="I245" s="11">
        <f>VLOOKUP(B245,'Equıpo 17'!$B$4:$G$18,4,FALSE)</f>
        <v>0</v>
      </c>
      <c r="J245" s="11" t="str">
        <f>IF(I245&gt;0,RANK(I245,$I$2:$I$240)+COUNTIF($I$2:I245,I245)-1,"")</f>
        <v/>
      </c>
      <c r="K245" s="11" t="str">
        <f t="shared" si="39"/>
        <v/>
      </c>
      <c r="L245" s="11" t="str">
        <f t="shared" si="40"/>
        <v/>
      </c>
      <c r="M245" s="11" t="str">
        <f t="shared" si="41"/>
        <v/>
      </c>
      <c r="N245" s="11">
        <f>VLOOKUP(B245,'Equıpo 17'!$B$4:$G$18,5,FALSE)</f>
        <v>0</v>
      </c>
      <c r="O245" s="11" t="str">
        <f>IF(N245&gt;0,RANK(N245,$N$2:$N$240)+COUNTIF($N$2:N245,N245)-1,"")</f>
        <v/>
      </c>
      <c r="P245" s="11" t="str">
        <f t="shared" si="42"/>
        <v/>
      </c>
      <c r="Q245" s="11" t="str">
        <f t="shared" si="43"/>
        <v/>
      </c>
      <c r="R245" s="11" t="str">
        <f t="shared" si="44"/>
        <v/>
      </c>
      <c r="S245" s="11" t="e">
        <f>VLOOKUP(B245,'Deportivo Fénix'!$B$4:$G$18,6,FALSE)</f>
        <v>#N/A</v>
      </c>
      <c r="T245" s="11" t="e">
        <f>IF(S245&gt;0,RANK(S245,$S$2:$S$240)+COUNTIF($S$2:S245,S245)-1,"")</f>
        <v>#N/A</v>
      </c>
      <c r="U245" s="11" t="str">
        <f t="shared" si="45"/>
        <v/>
      </c>
      <c r="V245" s="11" t="str">
        <f t="shared" si="46"/>
        <v/>
      </c>
      <c r="W245" s="11" t="str">
        <f t="shared" si="50"/>
        <v/>
      </c>
    </row>
    <row r="246" spans="1:23" x14ac:dyDescent="0.25">
      <c r="A246" s="17">
        <v>245</v>
      </c>
      <c r="B246" s="18" t="str">
        <f>Jugadores!Q7</f>
        <v>Equıpo 17 5</v>
      </c>
      <c r="C246" s="17">
        <f>+Jugadores!$Q$2</f>
        <v>0</v>
      </c>
      <c r="D246" s="11">
        <f>VLOOKUP(B246,'Equıpo 17'!$B$4:$G$18,3,FALSE)</f>
        <v>0</v>
      </c>
      <c r="E246" s="11" t="str">
        <f>IF(D246&gt;0,RANK(D246,$D$2:$D$241)+COUNTIF($D$2:D246,D246)-1,"")</f>
        <v/>
      </c>
      <c r="F246" s="11" t="str">
        <f t="shared" si="36"/>
        <v/>
      </c>
      <c r="G246" s="11" t="str">
        <f t="shared" si="37"/>
        <v/>
      </c>
      <c r="H246" s="36" t="str">
        <f t="shared" si="38"/>
        <v/>
      </c>
      <c r="I246" s="11">
        <f>VLOOKUP(B246,'Equıpo 17'!$B$4:$G$18,4,FALSE)</f>
        <v>0</v>
      </c>
      <c r="J246" s="11" t="str">
        <f>IF(I246&gt;0,RANK(I246,$I$2:$I$240)+COUNTIF($I$2:I246,I246)-1,"")</f>
        <v/>
      </c>
      <c r="K246" s="11" t="str">
        <f t="shared" si="39"/>
        <v/>
      </c>
      <c r="L246" s="11" t="str">
        <f t="shared" si="40"/>
        <v/>
      </c>
      <c r="M246" s="11" t="str">
        <f t="shared" si="41"/>
        <v/>
      </c>
      <c r="N246" s="11">
        <f>VLOOKUP(B246,'Equıpo 17'!$B$4:$G$18,5,FALSE)</f>
        <v>0</v>
      </c>
      <c r="O246" s="11" t="str">
        <f>IF(N246&gt;0,RANK(N246,$N$2:$N$240)+COUNTIF($N$2:N246,N246)-1,"")</f>
        <v/>
      </c>
      <c r="P246" s="11" t="str">
        <f t="shared" si="42"/>
        <v/>
      </c>
      <c r="Q246" s="11" t="str">
        <f t="shared" si="43"/>
        <v/>
      </c>
      <c r="R246" s="11" t="str">
        <f t="shared" si="44"/>
        <v/>
      </c>
      <c r="S246" s="11" t="e">
        <f>VLOOKUP(B246,'Deportivo Fénix'!$B$4:$G$18,6,FALSE)</f>
        <v>#N/A</v>
      </c>
      <c r="T246" s="11" t="e">
        <f>IF(S246&gt;0,RANK(S246,$S$2:$S$240)+COUNTIF($S$2:S246,S246)-1,"")</f>
        <v>#N/A</v>
      </c>
      <c r="U246" s="11" t="str">
        <f t="shared" si="45"/>
        <v/>
      </c>
      <c r="V246" s="11" t="str">
        <f t="shared" si="46"/>
        <v/>
      </c>
      <c r="W246" s="11" t="str">
        <f t="shared" si="50"/>
        <v/>
      </c>
    </row>
    <row r="247" spans="1:23" x14ac:dyDescent="0.25">
      <c r="A247" s="17">
        <v>246</v>
      </c>
      <c r="B247" s="18" t="str">
        <f>Jugadores!Q8</f>
        <v>Equıpo 17 6</v>
      </c>
      <c r="C247" s="17">
        <f>+Jugadores!$Q$2</f>
        <v>0</v>
      </c>
      <c r="D247" s="11">
        <f>VLOOKUP(B247,'Equıpo 17'!$B$4:$G$18,3,FALSE)</f>
        <v>0</v>
      </c>
      <c r="E247" s="11" t="str">
        <f>IF(D247&gt;0,RANK(D247,$D$2:$D$241)+COUNTIF($D$2:D247,D247)-1,"")</f>
        <v/>
      </c>
      <c r="F247" s="11" t="str">
        <f t="shared" si="36"/>
        <v/>
      </c>
      <c r="G247" s="11" t="str">
        <f t="shared" si="37"/>
        <v/>
      </c>
      <c r="H247" s="36" t="str">
        <f t="shared" si="38"/>
        <v/>
      </c>
      <c r="I247" s="11">
        <f>VLOOKUP(B247,'Equıpo 17'!$B$4:$G$18,4,FALSE)</f>
        <v>0</v>
      </c>
      <c r="J247" s="11" t="str">
        <f>IF(I247&gt;0,RANK(I247,$I$2:$I$240)+COUNTIF($I$2:I247,I247)-1,"")</f>
        <v/>
      </c>
      <c r="K247" s="11" t="str">
        <f t="shared" si="39"/>
        <v/>
      </c>
      <c r="L247" s="11" t="str">
        <f t="shared" si="40"/>
        <v/>
      </c>
      <c r="M247" s="11" t="str">
        <f t="shared" si="41"/>
        <v/>
      </c>
      <c r="N247" s="11">
        <f>VLOOKUP(B247,'Equıpo 17'!$B$4:$G$18,5,FALSE)</f>
        <v>0</v>
      </c>
      <c r="O247" s="11" t="str">
        <f>IF(N247&gt;0,RANK(N247,$N$2:$N$240)+COUNTIF($N$2:N247,N247)-1,"")</f>
        <v/>
      </c>
      <c r="P247" s="11" t="str">
        <f t="shared" si="42"/>
        <v/>
      </c>
      <c r="Q247" s="11" t="str">
        <f t="shared" si="43"/>
        <v/>
      </c>
      <c r="R247" s="11" t="str">
        <f t="shared" si="44"/>
        <v/>
      </c>
      <c r="S247" s="11" t="e">
        <f>VLOOKUP(B247,'Deportivo Fénix'!$B$4:$G$18,6,FALSE)</f>
        <v>#N/A</v>
      </c>
      <c r="T247" s="11" t="e">
        <f>IF(S247&gt;0,RANK(S247,$S$2:$S$240)+COUNTIF($S$2:S247,S247)-1,"")</f>
        <v>#N/A</v>
      </c>
      <c r="U247" s="11" t="str">
        <f t="shared" si="45"/>
        <v/>
      </c>
      <c r="V247" s="11" t="str">
        <f t="shared" si="46"/>
        <v/>
      </c>
      <c r="W247" s="11" t="str">
        <f t="shared" si="50"/>
        <v/>
      </c>
    </row>
    <row r="248" spans="1:23" x14ac:dyDescent="0.25">
      <c r="A248" s="17">
        <v>247</v>
      </c>
      <c r="B248" s="18" t="str">
        <f>Jugadores!Q9</f>
        <v>Equıpo 17 7</v>
      </c>
      <c r="C248" s="17">
        <f>+Jugadores!$Q$2</f>
        <v>0</v>
      </c>
      <c r="D248" s="11">
        <f>VLOOKUP(B248,'Equıpo 17'!$B$4:$G$18,3,FALSE)</f>
        <v>0</v>
      </c>
      <c r="E248" s="11" t="str">
        <f>IF(D248&gt;0,RANK(D248,$D$2:$D$241)+COUNTIF($D$2:D248,D248)-1,"")</f>
        <v/>
      </c>
      <c r="F248" s="11" t="str">
        <f t="shared" si="36"/>
        <v/>
      </c>
      <c r="G248" s="11" t="str">
        <f t="shared" si="37"/>
        <v/>
      </c>
      <c r="H248" s="36" t="str">
        <f t="shared" si="38"/>
        <v/>
      </c>
      <c r="I248" s="11">
        <f>VLOOKUP(B248,'Equıpo 17'!$B$4:$G$18,4,FALSE)</f>
        <v>0</v>
      </c>
      <c r="J248" s="11" t="str">
        <f>IF(I248&gt;0,RANK(I248,$I$2:$I$240)+COUNTIF($I$2:I248,I248)-1,"")</f>
        <v/>
      </c>
      <c r="K248" s="11" t="str">
        <f t="shared" si="39"/>
        <v/>
      </c>
      <c r="L248" s="11" t="str">
        <f t="shared" si="40"/>
        <v/>
      </c>
      <c r="M248" s="11" t="str">
        <f t="shared" si="41"/>
        <v/>
      </c>
      <c r="N248" s="11">
        <f>VLOOKUP(B248,'Equıpo 17'!$B$4:$G$18,5,FALSE)</f>
        <v>0</v>
      </c>
      <c r="O248" s="11" t="str">
        <f>IF(N248&gt;0,RANK(N248,$N$2:$N$240)+COUNTIF($N$2:N248,N248)-1,"")</f>
        <v/>
      </c>
      <c r="P248" s="11" t="str">
        <f t="shared" si="42"/>
        <v/>
      </c>
      <c r="Q248" s="11" t="str">
        <f t="shared" si="43"/>
        <v/>
      </c>
      <c r="R248" s="11" t="str">
        <f t="shared" si="44"/>
        <v/>
      </c>
      <c r="S248" s="11" t="e">
        <f>VLOOKUP(B248,'Deportivo Fénix'!$B$4:$G$18,6,FALSE)</f>
        <v>#N/A</v>
      </c>
      <c r="T248" s="11" t="e">
        <f>IF(S248&gt;0,RANK(S248,$S$2:$S$240)+COUNTIF($S$2:S248,S248)-1,"")</f>
        <v>#N/A</v>
      </c>
      <c r="U248" s="11" t="str">
        <f t="shared" si="45"/>
        <v/>
      </c>
      <c r="V248" s="11" t="str">
        <f t="shared" si="46"/>
        <v/>
      </c>
      <c r="W248" s="11" t="str">
        <f t="shared" si="50"/>
        <v/>
      </c>
    </row>
    <row r="249" spans="1:23" x14ac:dyDescent="0.25">
      <c r="A249" s="17">
        <v>248</v>
      </c>
      <c r="B249" s="18" t="str">
        <f>Jugadores!Q10</f>
        <v>Equıpo 17 8</v>
      </c>
      <c r="C249" s="17">
        <f>+Jugadores!$Q$2</f>
        <v>0</v>
      </c>
      <c r="D249" s="11">
        <f>VLOOKUP(B249,'Equıpo 17'!$B$4:$G$18,3,FALSE)</f>
        <v>0</v>
      </c>
      <c r="E249" s="11" t="str">
        <f>IF(D249&gt;0,RANK(D249,$D$2:$D$241)+COUNTIF($D$2:D249,D249)-1,"")</f>
        <v/>
      </c>
      <c r="F249" s="11" t="str">
        <f t="shared" si="36"/>
        <v/>
      </c>
      <c r="G249" s="11" t="str">
        <f t="shared" si="37"/>
        <v/>
      </c>
      <c r="H249" s="36" t="str">
        <f t="shared" si="38"/>
        <v/>
      </c>
      <c r="I249" s="11">
        <f>VLOOKUP(B249,'Equıpo 17'!$B$4:$G$18,4,FALSE)</f>
        <v>0</v>
      </c>
      <c r="J249" s="11" t="str">
        <f>IF(I249&gt;0,RANK(I249,$I$2:$I$240)+COUNTIF($I$2:I249,I249)-1,"")</f>
        <v/>
      </c>
      <c r="K249" s="11" t="str">
        <f t="shared" si="39"/>
        <v/>
      </c>
      <c r="L249" s="11" t="str">
        <f t="shared" si="40"/>
        <v/>
      </c>
      <c r="M249" s="11" t="str">
        <f t="shared" si="41"/>
        <v/>
      </c>
      <c r="N249" s="11">
        <f>VLOOKUP(B249,'Equıpo 17'!$B$4:$G$18,5,FALSE)</f>
        <v>0</v>
      </c>
      <c r="O249" s="11" t="str">
        <f>IF(N249&gt;0,RANK(N249,$N$2:$N$240)+COUNTIF($N$2:N249,N249)-1,"")</f>
        <v/>
      </c>
      <c r="P249" s="11" t="str">
        <f t="shared" si="42"/>
        <v/>
      </c>
      <c r="Q249" s="11" t="str">
        <f t="shared" si="43"/>
        <v/>
      </c>
      <c r="R249" s="11" t="str">
        <f t="shared" si="44"/>
        <v/>
      </c>
      <c r="S249" s="11" t="e">
        <f>VLOOKUP(B249,'Deportivo Fénix'!$B$4:$G$18,6,FALSE)</f>
        <v>#N/A</v>
      </c>
      <c r="T249" s="11" t="e">
        <f>IF(S249&gt;0,RANK(S249,$S$2:$S$240)+COUNTIF($S$2:S249,S249)-1,"")</f>
        <v>#N/A</v>
      </c>
      <c r="U249" s="11" t="str">
        <f t="shared" si="45"/>
        <v/>
      </c>
      <c r="V249" s="11" t="str">
        <f t="shared" si="46"/>
        <v/>
      </c>
      <c r="W249" s="11" t="str">
        <f t="shared" si="50"/>
        <v/>
      </c>
    </row>
    <row r="250" spans="1:23" x14ac:dyDescent="0.25">
      <c r="A250" s="17">
        <v>249</v>
      </c>
      <c r="B250" s="18" t="str">
        <f>Jugadores!Q11</f>
        <v>Equıpo 17 9</v>
      </c>
      <c r="C250" s="17">
        <f>+Jugadores!$Q$2</f>
        <v>0</v>
      </c>
      <c r="D250" s="11">
        <f>VLOOKUP(B250,'Equıpo 17'!$B$4:$G$18,3,FALSE)</f>
        <v>0</v>
      </c>
      <c r="E250" s="11" t="str">
        <f>IF(D250&gt;0,RANK(D250,$D$2:$D$241)+COUNTIF($D$2:D250,D250)-1,"")</f>
        <v/>
      </c>
      <c r="F250" s="11" t="str">
        <f t="shared" si="36"/>
        <v/>
      </c>
      <c r="G250" s="11" t="str">
        <f t="shared" si="37"/>
        <v/>
      </c>
      <c r="H250" s="36" t="str">
        <f t="shared" si="38"/>
        <v/>
      </c>
      <c r="I250" s="11">
        <f>VLOOKUP(B250,'Equıpo 17'!$B$4:$G$18,4,FALSE)</f>
        <v>0</v>
      </c>
      <c r="J250" s="11" t="str">
        <f>IF(I250&gt;0,RANK(I250,$I$2:$I$240)+COUNTIF($I$2:I250,I250)-1,"")</f>
        <v/>
      </c>
      <c r="K250" s="11" t="str">
        <f t="shared" si="39"/>
        <v/>
      </c>
      <c r="L250" s="11" t="str">
        <f t="shared" si="40"/>
        <v/>
      </c>
      <c r="M250" s="11" t="str">
        <f t="shared" si="41"/>
        <v/>
      </c>
      <c r="N250" s="11">
        <f>VLOOKUP(B250,'Equıpo 17'!$B$4:$G$18,5,FALSE)</f>
        <v>0</v>
      </c>
      <c r="O250" s="11" t="str">
        <f>IF(N250&gt;0,RANK(N250,$N$2:$N$240)+COUNTIF($N$2:N250,N250)-1,"")</f>
        <v/>
      </c>
      <c r="P250" s="11" t="str">
        <f t="shared" si="42"/>
        <v/>
      </c>
      <c r="Q250" s="11" t="str">
        <f t="shared" si="43"/>
        <v/>
      </c>
      <c r="R250" s="11" t="str">
        <f t="shared" si="44"/>
        <v/>
      </c>
      <c r="S250" s="11" t="e">
        <f>VLOOKUP(B250,'Deportivo Fénix'!$B$4:$G$18,6,FALSE)</f>
        <v>#N/A</v>
      </c>
      <c r="T250" s="11" t="e">
        <f>IF(S250&gt;0,RANK(S250,$S$2:$S$240)+COUNTIF($S$2:S250,S250)-1,"")</f>
        <v>#N/A</v>
      </c>
      <c r="U250" s="11" t="str">
        <f t="shared" si="45"/>
        <v/>
      </c>
      <c r="V250" s="11" t="str">
        <f t="shared" si="46"/>
        <v/>
      </c>
      <c r="W250" s="11" t="str">
        <f t="shared" si="50"/>
        <v/>
      </c>
    </row>
    <row r="251" spans="1:23" x14ac:dyDescent="0.25">
      <c r="A251" s="17">
        <v>250</v>
      </c>
      <c r="B251" s="18" t="str">
        <f>Jugadores!Q12</f>
        <v>Equıpo 17 10</v>
      </c>
      <c r="C251" s="17">
        <f>+Jugadores!$Q$2</f>
        <v>0</v>
      </c>
      <c r="D251" s="11">
        <f>VLOOKUP(B251,'Equıpo 17'!$B$4:$G$18,3,FALSE)</f>
        <v>0</v>
      </c>
      <c r="E251" s="11" t="str">
        <f>IF(D251&gt;0,RANK(D251,$D$2:$D$241)+COUNTIF($D$2:D251,D251)-1,"")</f>
        <v/>
      </c>
      <c r="F251" s="11" t="str">
        <f t="shared" si="36"/>
        <v/>
      </c>
      <c r="G251" s="11" t="str">
        <f t="shared" si="37"/>
        <v/>
      </c>
      <c r="H251" s="36" t="str">
        <f t="shared" si="38"/>
        <v/>
      </c>
      <c r="I251" s="11">
        <f>VLOOKUP(B251,'Equıpo 17'!$B$4:$G$18,4,FALSE)</f>
        <v>0</v>
      </c>
      <c r="J251" s="11" t="str">
        <f>IF(I251&gt;0,RANK(I251,$I$2:$I$240)+COUNTIF($I$2:I251,I251)-1,"")</f>
        <v/>
      </c>
      <c r="K251" s="11" t="str">
        <f t="shared" si="39"/>
        <v/>
      </c>
      <c r="L251" s="11" t="str">
        <f t="shared" si="40"/>
        <v/>
      </c>
      <c r="M251" s="11" t="str">
        <f t="shared" si="41"/>
        <v/>
      </c>
      <c r="N251" s="11">
        <f>VLOOKUP(B251,'Equıpo 17'!$B$4:$G$18,5,FALSE)</f>
        <v>0</v>
      </c>
      <c r="O251" s="11" t="str">
        <f>IF(N251&gt;0,RANK(N251,$N$2:$N$240)+COUNTIF($N$2:N251,N251)-1,"")</f>
        <v/>
      </c>
      <c r="P251" s="11" t="str">
        <f t="shared" si="42"/>
        <v/>
      </c>
      <c r="Q251" s="11" t="str">
        <f t="shared" si="43"/>
        <v/>
      </c>
      <c r="R251" s="11" t="str">
        <f t="shared" si="44"/>
        <v/>
      </c>
      <c r="S251" s="11" t="e">
        <f>VLOOKUP(B251,'Deportivo Fénix'!$B$4:$G$18,6,FALSE)</f>
        <v>#N/A</v>
      </c>
      <c r="T251" s="11" t="e">
        <f>IF(S251&gt;0,RANK(S251,$S$2:$S$240)+COUNTIF($S$2:S251,S251)-1,"")</f>
        <v>#N/A</v>
      </c>
      <c r="U251" s="11" t="str">
        <f t="shared" si="45"/>
        <v/>
      </c>
      <c r="V251" s="11" t="str">
        <f t="shared" si="46"/>
        <v/>
      </c>
      <c r="W251" s="11" t="str">
        <f t="shared" si="50"/>
        <v/>
      </c>
    </row>
    <row r="252" spans="1:23" x14ac:dyDescent="0.25">
      <c r="A252" s="17">
        <v>251</v>
      </c>
      <c r="B252" s="18" t="str">
        <f>Jugadores!Q13</f>
        <v>Equıpo 17 11</v>
      </c>
      <c r="C252" s="17">
        <f>+Jugadores!$Q$2</f>
        <v>0</v>
      </c>
      <c r="D252" s="11">
        <f>VLOOKUP(B252,'Equıpo 17'!$B$4:$G$18,3,FALSE)</f>
        <v>0</v>
      </c>
      <c r="E252" s="11" t="str">
        <f>IF(D252&gt;0,RANK(D252,$D$2:$D$241)+COUNTIF($D$2:D252,D252)-1,"")</f>
        <v/>
      </c>
      <c r="F252" s="11" t="str">
        <f t="shared" si="36"/>
        <v/>
      </c>
      <c r="G252" s="11" t="str">
        <f t="shared" si="37"/>
        <v/>
      </c>
      <c r="H252" s="36" t="str">
        <f t="shared" si="38"/>
        <v/>
      </c>
      <c r="I252" s="11">
        <f>VLOOKUP(B252,'Equıpo 17'!$B$4:$G$18,4,FALSE)</f>
        <v>0</v>
      </c>
      <c r="J252" s="11" t="str">
        <f>IF(I252&gt;0,RANK(I252,$I$2:$I$240)+COUNTIF($I$2:I252,I252)-1,"")</f>
        <v/>
      </c>
      <c r="K252" s="11" t="str">
        <f t="shared" si="39"/>
        <v/>
      </c>
      <c r="L252" s="11" t="str">
        <f t="shared" si="40"/>
        <v/>
      </c>
      <c r="M252" s="11" t="str">
        <f t="shared" si="41"/>
        <v/>
      </c>
      <c r="N252" s="11">
        <f>VLOOKUP(B252,'Equıpo 17'!$B$4:$G$18,5,FALSE)</f>
        <v>0</v>
      </c>
      <c r="O252" s="11" t="str">
        <f>IF(N252&gt;0,RANK(N252,$N$2:$N$240)+COUNTIF($N$2:N252,N252)-1,"")</f>
        <v/>
      </c>
      <c r="P252" s="11" t="str">
        <f t="shared" si="42"/>
        <v/>
      </c>
      <c r="Q252" s="11" t="str">
        <f t="shared" si="43"/>
        <v/>
      </c>
      <c r="R252" s="11" t="str">
        <f t="shared" si="44"/>
        <v/>
      </c>
      <c r="S252" s="11" t="e">
        <f>VLOOKUP(B252,'Deportivo Fénix'!$B$4:$G$18,6,FALSE)</f>
        <v>#N/A</v>
      </c>
      <c r="T252" s="11" t="e">
        <f>IF(S252&gt;0,RANK(S252,$S$2:$S$240)+COUNTIF($S$2:S252,S252)-1,"")</f>
        <v>#N/A</v>
      </c>
      <c r="U252" s="11" t="str">
        <f t="shared" si="45"/>
        <v/>
      </c>
      <c r="V252" s="11" t="str">
        <f t="shared" si="46"/>
        <v/>
      </c>
      <c r="W252" s="11" t="str">
        <f t="shared" si="50"/>
        <v/>
      </c>
    </row>
    <row r="253" spans="1:23" x14ac:dyDescent="0.25">
      <c r="A253" s="17">
        <v>252</v>
      </c>
      <c r="B253" s="18" t="str">
        <f>Jugadores!Q14</f>
        <v>Equıpo 17 12</v>
      </c>
      <c r="C253" s="17">
        <f>+Jugadores!$Q$2</f>
        <v>0</v>
      </c>
      <c r="D253" s="11">
        <f>VLOOKUP(B253,'Equıpo 17'!$B$4:$G$18,3,FALSE)</f>
        <v>0</v>
      </c>
      <c r="E253" s="11" t="str">
        <f>IF(D253&gt;0,RANK(D253,$D$2:$D$241)+COUNTIF($D$2:D253,D253)-1,"")</f>
        <v/>
      </c>
      <c r="F253" s="11" t="str">
        <f t="shared" si="36"/>
        <v/>
      </c>
      <c r="G253" s="11" t="str">
        <f t="shared" si="37"/>
        <v/>
      </c>
      <c r="H253" s="36" t="str">
        <f t="shared" si="38"/>
        <v/>
      </c>
      <c r="I253" s="11">
        <f>VLOOKUP(B253,'Equıpo 17'!$B$4:$G$18,4,FALSE)</f>
        <v>0</v>
      </c>
      <c r="J253" s="11" t="str">
        <f>IF(I253&gt;0,RANK(I253,$I$2:$I$240)+COUNTIF($I$2:I253,I253)-1,"")</f>
        <v/>
      </c>
      <c r="K253" s="11" t="str">
        <f t="shared" si="39"/>
        <v/>
      </c>
      <c r="L253" s="11" t="str">
        <f t="shared" si="40"/>
        <v/>
      </c>
      <c r="M253" s="11" t="str">
        <f t="shared" si="41"/>
        <v/>
      </c>
      <c r="N253" s="11">
        <f>VLOOKUP(B253,'Equıpo 17'!$B$4:$G$18,5,FALSE)</f>
        <v>0</v>
      </c>
      <c r="O253" s="11" t="str">
        <f>IF(N253&gt;0,RANK(N253,$N$2:$N$240)+COUNTIF($N$2:N253,N253)-1,"")</f>
        <v/>
      </c>
      <c r="P253" s="11" t="str">
        <f t="shared" si="42"/>
        <v/>
      </c>
      <c r="Q253" s="11" t="str">
        <f t="shared" si="43"/>
        <v/>
      </c>
      <c r="R253" s="11" t="str">
        <f t="shared" si="44"/>
        <v/>
      </c>
      <c r="S253" s="11" t="e">
        <f>VLOOKUP(B253,'Deportivo Fénix'!$B$4:$G$18,6,FALSE)</f>
        <v>#N/A</v>
      </c>
      <c r="T253" s="11" t="e">
        <f>IF(S253&gt;0,RANK(S253,$S$2:$S$240)+COUNTIF($S$2:S253,S253)-1,"")</f>
        <v>#N/A</v>
      </c>
      <c r="U253" s="11" t="str">
        <f t="shared" si="45"/>
        <v/>
      </c>
      <c r="V253" s="11" t="str">
        <f t="shared" si="46"/>
        <v/>
      </c>
      <c r="W253" s="11" t="str">
        <f t="shared" si="50"/>
        <v/>
      </c>
    </row>
    <row r="254" spans="1:23" x14ac:dyDescent="0.25">
      <c r="A254" s="17">
        <v>253</v>
      </c>
      <c r="B254" s="18" t="str">
        <f>Jugadores!Q15</f>
        <v>Equıpo 17 13</v>
      </c>
      <c r="C254" s="17">
        <f>+Jugadores!$Q$2</f>
        <v>0</v>
      </c>
      <c r="D254" s="11">
        <f>VLOOKUP(B254,'Equıpo 17'!$B$4:$G$18,3,FALSE)</f>
        <v>0</v>
      </c>
      <c r="E254" s="11" t="str">
        <f>IF(D254&gt;0,RANK(D254,$D$2:$D$241)+COUNTIF($D$2:D254,D254)-1,"")</f>
        <v/>
      </c>
      <c r="F254" s="11" t="str">
        <f t="shared" si="36"/>
        <v/>
      </c>
      <c r="G254" s="11" t="str">
        <f t="shared" si="37"/>
        <v/>
      </c>
      <c r="H254" s="36" t="str">
        <f t="shared" si="38"/>
        <v/>
      </c>
      <c r="I254" s="11">
        <f>VLOOKUP(B254,'Equıpo 17'!$B$4:$G$18,4,FALSE)</f>
        <v>0</v>
      </c>
      <c r="J254" s="11" t="str">
        <f>IF(I254&gt;0,RANK(I254,$I$2:$I$240)+COUNTIF($I$2:I254,I254)-1,"")</f>
        <v/>
      </c>
      <c r="K254" s="11" t="str">
        <f t="shared" si="39"/>
        <v/>
      </c>
      <c r="L254" s="11" t="str">
        <f t="shared" si="40"/>
        <v/>
      </c>
      <c r="M254" s="11" t="str">
        <f t="shared" si="41"/>
        <v/>
      </c>
      <c r="N254" s="11">
        <f>VLOOKUP(B254,'Equıpo 17'!$B$4:$G$18,5,FALSE)</f>
        <v>0</v>
      </c>
      <c r="O254" s="11" t="str">
        <f>IF(N254&gt;0,RANK(N254,$N$2:$N$240)+COUNTIF($N$2:N254,N254)-1,"")</f>
        <v/>
      </c>
      <c r="P254" s="11" t="str">
        <f t="shared" si="42"/>
        <v/>
      </c>
      <c r="Q254" s="11" t="str">
        <f t="shared" si="43"/>
        <v/>
      </c>
      <c r="R254" s="11" t="str">
        <f t="shared" si="44"/>
        <v/>
      </c>
      <c r="S254" s="11" t="e">
        <f>VLOOKUP(B254,'Deportivo Fénix'!$B$4:$G$18,6,FALSE)</f>
        <v>#N/A</v>
      </c>
      <c r="T254" s="11" t="e">
        <f>IF(S254&gt;0,RANK(S254,$S$2:$S$240)+COUNTIF($S$2:S254,S254)-1,"")</f>
        <v>#N/A</v>
      </c>
      <c r="U254" s="11" t="str">
        <f t="shared" si="45"/>
        <v/>
      </c>
      <c r="V254" s="11" t="str">
        <f t="shared" si="46"/>
        <v/>
      </c>
      <c r="W254" s="11" t="str">
        <f t="shared" si="50"/>
        <v/>
      </c>
    </row>
    <row r="255" spans="1:23" x14ac:dyDescent="0.25">
      <c r="A255" s="17">
        <v>254</v>
      </c>
      <c r="B255" s="18" t="str">
        <f>Jugadores!Q16</f>
        <v>Equıpo 17 14</v>
      </c>
      <c r="C255" s="17">
        <f>+Jugadores!$Q$2</f>
        <v>0</v>
      </c>
      <c r="D255" s="11">
        <f>VLOOKUP(B255,'Equıpo 17'!$B$4:$G$18,3,FALSE)</f>
        <v>0</v>
      </c>
      <c r="E255" s="11" t="str">
        <f>IF(D255&gt;0,RANK(D255,$D$2:$D$241)+COUNTIF($D$2:D255,D255)-1,"")</f>
        <v/>
      </c>
      <c r="F255" s="11" t="str">
        <f t="shared" si="36"/>
        <v/>
      </c>
      <c r="G255" s="11" t="str">
        <f t="shared" si="37"/>
        <v/>
      </c>
      <c r="H255" s="36" t="str">
        <f t="shared" si="38"/>
        <v/>
      </c>
      <c r="I255" s="11">
        <f>VLOOKUP(B255,'Equıpo 17'!$B$4:$G$18,4,FALSE)</f>
        <v>0</v>
      </c>
      <c r="J255" s="11" t="str">
        <f>IF(I255&gt;0,RANK(I255,$I$2:$I$240)+COUNTIF($I$2:I255,I255)-1,"")</f>
        <v/>
      </c>
      <c r="K255" s="11" t="str">
        <f t="shared" si="39"/>
        <v/>
      </c>
      <c r="L255" s="11" t="str">
        <f t="shared" si="40"/>
        <v/>
      </c>
      <c r="M255" s="11" t="str">
        <f t="shared" si="41"/>
        <v/>
      </c>
      <c r="N255" s="11">
        <f>VLOOKUP(B255,'Equıpo 17'!$B$4:$G$18,5,FALSE)</f>
        <v>0</v>
      </c>
      <c r="O255" s="11" t="str">
        <f>IF(N255&gt;0,RANK(N255,$N$2:$N$240)+COUNTIF($N$2:N255,N255)-1,"")</f>
        <v/>
      </c>
      <c r="P255" s="11" t="str">
        <f t="shared" si="42"/>
        <v/>
      </c>
      <c r="Q255" s="11" t="str">
        <f t="shared" si="43"/>
        <v/>
      </c>
      <c r="R255" s="11" t="str">
        <f t="shared" si="44"/>
        <v/>
      </c>
      <c r="S255" s="11" t="e">
        <f>VLOOKUP(B255,'Deportivo Fénix'!$B$4:$G$18,6,FALSE)</f>
        <v>#N/A</v>
      </c>
      <c r="T255" s="11" t="e">
        <f>IF(S255&gt;0,RANK(S255,$S$2:$S$240)+COUNTIF($S$2:S255,S255)-1,"")</f>
        <v>#N/A</v>
      </c>
      <c r="U255" s="11" t="str">
        <f t="shared" si="45"/>
        <v/>
      </c>
      <c r="V255" s="11" t="str">
        <f t="shared" si="46"/>
        <v/>
      </c>
      <c r="W255" s="11" t="str">
        <f t="shared" si="50"/>
        <v/>
      </c>
    </row>
    <row r="256" spans="1:23" x14ac:dyDescent="0.25">
      <c r="A256" s="17">
        <v>255</v>
      </c>
      <c r="B256" s="18" t="str">
        <f>Jugadores!Q17</f>
        <v>Equıpo 17 15</v>
      </c>
      <c r="C256" s="17">
        <f>+Jugadores!$Q$2</f>
        <v>0</v>
      </c>
      <c r="D256" s="11">
        <f>VLOOKUP(B256,'Equıpo 17'!$B$4:$G$18,3,FALSE)</f>
        <v>0</v>
      </c>
      <c r="E256" s="11" t="str">
        <f>IF(D256&gt;0,RANK(D256,$D$2:$D$241)+COUNTIF($D$2:D256,D256)-1,"")</f>
        <v/>
      </c>
      <c r="F256" s="11" t="str">
        <f t="shared" si="36"/>
        <v/>
      </c>
      <c r="G256" s="11" t="str">
        <f t="shared" si="37"/>
        <v/>
      </c>
      <c r="H256" s="36" t="str">
        <f t="shared" si="38"/>
        <v/>
      </c>
      <c r="I256" s="11">
        <f>VLOOKUP(B256,'Equıpo 17'!$B$4:$G$18,4,FALSE)</f>
        <v>0</v>
      </c>
      <c r="J256" s="11" t="str">
        <f>IF(I256&gt;0,RANK(I256,$I$2:$I$240)+COUNTIF($I$2:I256,I256)-1,"")</f>
        <v/>
      </c>
      <c r="K256" s="11" t="str">
        <f t="shared" si="39"/>
        <v/>
      </c>
      <c r="L256" s="11" t="str">
        <f t="shared" si="40"/>
        <v/>
      </c>
      <c r="M256" s="11" t="str">
        <f t="shared" si="41"/>
        <v/>
      </c>
      <c r="N256" s="11">
        <f>VLOOKUP(B256,'Equıpo 17'!$B$4:$G$18,5,FALSE)</f>
        <v>0</v>
      </c>
      <c r="O256" s="11" t="str">
        <f>IF(N256&gt;0,RANK(N256,$N$2:$N$240)+COUNTIF($N$2:N256,N256)-1,"")</f>
        <v/>
      </c>
      <c r="P256" s="11" t="str">
        <f t="shared" si="42"/>
        <v/>
      </c>
      <c r="Q256" s="11" t="str">
        <f t="shared" si="43"/>
        <v/>
      </c>
      <c r="R256" s="11" t="str">
        <f t="shared" si="44"/>
        <v/>
      </c>
      <c r="S256" s="11" t="e">
        <f>VLOOKUP(B256,'Deportivo Fénix'!$B$4:$G$18,6,FALSE)</f>
        <v>#N/A</v>
      </c>
      <c r="T256" s="11" t="e">
        <f>IF(S256&gt;0,RANK(S256,$S$2:$S$240)+COUNTIF($S$2:S256,S256)-1,"")</f>
        <v>#N/A</v>
      </c>
      <c r="U256" s="11" t="str">
        <f t="shared" si="45"/>
        <v/>
      </c>
      <c r="V256" s="11" t="str">
        <f t="shared" si="46"/>
        <v/>
      </c>
      <c r="W256" s="11" t="str">
        <f t="shared" si="50"/>
        <v/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645D-1FE0-444E-B020-70519A2AAAA3}">
  <dimension ref="A1:CW23"/>
  <sheetViews>
    <sheetView zoomScaleNormal="100" workbookViewId="0">
      <pane xSplit="1" ySplit="5" topLeftCell="BC6" activePane="bottomRight" state="frozen"/>
      <selection pane="topRight" activeCell="B1" sqref="B1"/>
      <selection pane="bottomLeft" activeCell="A6" sqref="A6"/>
      <selection pane="bottomRight" activeCell="CK15" sqref="CK15"/>
    </sheetView>
  </sheetViews>
  <sheetFormatPr baseColWidth="10" defaultRowHeight="15" x14ac:dyDescent="0.25"/>
  <cols>
    <col min="1" max="1" width="14.28515625" bestFit="1" customWidth="1"/>
    <col min="2" max="2" width="3.28515625" customWidth="1"/>
    <col min="3" max="3" width="3.7109375" customWidth="1"/>
    <col min="4" max="5" width="3.42578125" bestFit="1" customWidth="1"/>
    <col min="6" max="7" width="3.85546875" bestFit="1" customWidth="1"/>
    <col min="8" max="9" width="3.42578125" bestFit="1" customWidth="1"/>
    <col min="10" max="11" width="3.85546875" bestFit="1" customWidth="1"/>
    <col min="12" max="12" width="3.42578125" bestFit="1" customWidth="1"/>
    <col min="13" max="13" width="3.5703125" bestFit="1" customWidth="1"/>
    <col min="14" max="15" width="3.85546875" bestFit="1" customWidth="1"/>
    <col min="16" max="16" width="3.5703125" bestFit="1" customWidth="1"/>
    <col min="17" max="17" width="3.42578125" bestFit="1" customWidth="1"/>
    <col min="18" max="19" width="3.85546875" bestFit="1" customWidth="1"/>
    <col min="20" max="20" width="3.5703125" bestFit="1" customWidth="1"/>
    <col min="21" max="21" width="3.42578125" bestFit="1" customWidth="1"/>
    <col min="22" max="22" width="3.85546875" bestFit="1" customWidth="1"/>
    <col min="23" max="25" width="3.42578125" bestFit="1" customWidth="1"/>
    <col min="26" max="26" width="3.85546875" bestFit="1" customWidth="1"/>
    <col min="27" max="29" width="3.42578125" bestFit="1" customWidth="1"/>
    <col min="30" max="30" width="3.85546875" bestFit="1" customWidth="1"/>
    <col min="31" max="33" width="3.42578125" bestFit="1" customWidth="1"/>
    <col min="34" max="34" width="3.85546875" bestFit="1" customWidth="1"/>
    <col min="35" max="37" width="3.42578125" bestFit="1" customWidth="1"/>
    <col min="38" max="38" width="3.85546875" bestFit="1" customWidth="1"/>
    <col min="39" max="41" width="3.42578125" bestFit="1" customWidth="1"/>
    <col min="42" max="42" width="3.85546875" bestFit="1" customWidth="1"/>
    <col min="43" max="45" width="3.42578125" bestFit="1" customWidth="1"/>
    <col min="46" max="46" width="3.85546875" bestFit="1" customWidth="1"/>
    <col min="47" max="49" width="3.42578125" bestFit="1" customWidth="1"/>
    <col min="50" max="50" width="3.85546875" bestFit="1" customWidth="1"/>
    <col min="51" max="53" width="3.42578125" bestFit="1" customWidth="1"/>
    <col min="54" max="54" width="3.85546875" bestFit="1" customWidth="1"/>
    <col min="55" max="57" width="3.42578125" bestFit="1" customWidth="1"/>
    <col min="58" max="58" width="3.85546875" bestFit="1" customWidth="1"/>
    <col min="59" max="61" width="3.42578125" bestFit="1" customWidth="1"/>
    <col min="62" max="62" width="3.85546875" bestFit="1" customWidth="1"/>
    <col min="63" max="63" width="4" customWidth="1"/>
    <col min="64" max="101" width="3.42578125" bestFit="1" customWidth="1"/>
  </cols>
  <sheetData>
    <row r="1" spans="1:101" x14ac:dyDescent="0.25">
      <c r="B1" s="172" t="s">
        <v>5</v>
      </c>
      <c r="C1" s="173"/>
      <c r="D1" s="173"/>
      <c r="E1" s="174"/>
      <c r="F1" s="172" t="s">
        <v>6</v>
      </c>
      <c r="G1" s="173"/>
      <c r="H1" s="173"/>
      <c r="I1" s="174"/>
      <c r="J1" s="172" t="s">
        <v>7</v>
      </c>
      <c r="K1" s="173"/>
      <c r="L1" s="173"/>
      <c r="M1" s="174"/>
      <c r="N1" s="172" t="s">
        <v>8</v>
      </c>
      <c r="O1" s="173"/>
      <c r="P1" s="173"/>
      <c r="Q1" s="174"/>
      <c r="R1" s="172" t="s">
        <v>9</v>
      </c>
      <c r="S1" s="173"/>
      <c r="T1" s="173"/>
      <c r="U1" s="174"/>
      <c r="V1" s="172" t="s">
        <v>10</v>
      </c>
      <c r="W1" s="173"/>
      <c r="X1" s="173"/>
      <c r="Y1" s="174"/>
      <c r="Z1" s="172" t="s">
        <v>11</v>
      </c>
      <c r="AA1" s="173"/>
      <c r="AB1" s="173"/>
      <c r="AC1" s="174"/>
      <c r="AD1" s="172" t="s">
        <v>12</v>
      </c>
      <c r="AE1" s="173"/>
      <c r="AF1" s="173"/>
      <c r="AG1" s="174"/>
      <c r="AH1" s="172" t="s">
        <v>13</v>
      </c>
      <c r="AI1" s="173"/>
      <c r="AJ1" s="173"/>
      <c r="AK1" s="174"/>
      <c r="AL1" s="172" t="s">
        <v>14</v>
      </c>
      <c r="AM1" s="173"/>
      <c r="AN1" s="173"/>
      <c r="AO1" s="174"/>
      <c r="AP1" s="172" t="s">
        <v>15</v>
      </c>
      <c r="AQ1" s="173"/>
      <c r="AR1" s="173"/>
      <c r="AS1" s="174"/>
      <c r="AT1" s="172" t="s">
        <v>16</v>
      </c>
      <c r="AU1" s="173"/>
      <c r="AV1" s="173"/>
      <c r="AW1" s="174"/>
      <c r="AX1" s="172" t="s">
        <v>17</v>
      </c>
      <c r="AY1" s="173"/>
      <c r="AZ1" s="173"/>
      <c r="BA1" s="174"/>
      <c r="BB1" s="172" t="s">
        <v>18</v>
      </c>
      <c r="BC1" s="173"/>
      <c r="BD1" s="173"/>
      <c r="BE1" s="174"/>
      <c r="BF1" s="172" t="s">
        <v>19</v>
      </c>
      <c r="BG1" s="173"/>
      <c r="BH1" s="173"/>
      <c r="BI1" s="174"/>
      <c r="BJ1" s="172" t="s">
        <v>20</v>
      </c>
      <c r="BK1" s="173"/>
      <c r="BL1" s="173"/>
      <c r="BM1" s="174"/>
      <c r="BN1" s="172" t="s">
        <v>51</v>
      </c>
      <c r="BO1" s="173"/>
      <c r="BP1" s="173"/>
      <c r="BQ1" s="174"/>
      <c r="BR1" s="172" t="s">
        <v>81</v>
      </c>
      <c r="BS1" s="173"/>
      <c r="BT1" s="173"/>
      <c r="BU1" s="174"/>
      <c r="BV1" s="172" t="s">
        <v>83</v>
      </c>
      <c r="BW1" s="173"/>
      <c r="BX1" s="173"/>
      <c r="BY1" s="174"/>
      <c r="BZ1" s="172" t="s">
        <v>84</v>
      </c>
      <c r="CA1" s="173"/>
      <c r="CB1" s="173"/>
      <c r="CC1" s="174"/>
      <c r="CD1" s="172" t="s">
        <v>85</v>
      </c>
      <c r="CE1" s="173"/>
      <c r="CF1" s="173"/>
      <c r="CG1" s="174"/>
      <c r="CH1" s="172" t="s">
        <v>93</v>
      </c>
      <c r="CI1" s="173"/>
      <c r="CJ1" s="173"/>
      <c r="CK1" s="174"/>
      <c r="CL1" s="172" t="s">
        <v>94</v>
      </c>
      <c r="CM1" s="173"/>
      <c r="CN1" s="173"/>
      <c r="CO1" s="174"/>
      <c r="CP1" s="172" t="s">
        <v>95</v>
      </c>
      <c r="CQ1" s="173"/>
      <c r="CR1" s="173"/>
      <c r="CS1" s="174"/>
      <c r="CT1" s="172" t="s">
        <v>96</v>
      </c>
      <c r="CU1" s="173"/>
      <c r="CV1" s="173"/>
      <c r="CW1" s="174"/>
    </row>
    <row r="2" spans="1:101" ht="14.45" customHeight="1" x14ac:dyDescent="0.25">
      <c r="B2" s="145" t="s">
        <v>21</v>
      </c>
      <c r="C2" s="148" t="s">
        <v>273</v>
      </c>
      <c r="D2" s="148" t="s">
        <v>274</v>
      </c>
      <c r="E2" s="151" t="s">
        <v>275</v>
      </c>
      <c r="F2" s="145" t="s">
        <v>21</v>
      </c>
      <c r="G2" s="148" t="s">
        <v>273</v>
      </c>
      <c r="H2" s="148" t="s">
        <v>274</v>
      </c>
      <c r="I2" s="151" t="s">
        <v>275</v>
      </c>
      <c r="J2" s="145" t="s">
        <v>21</v>
      </c>
      <c r="K2" s="148" t="s">
        <v>273</v>
      </c>
      <c r="L2" s="148" t="s">
        <v>274</v>
      </c>
      <c r="M2" s="151" t="s">
        <v>275</v>
      </c>
      <c r="N2" s="145" t="s">
        <v>21</v>
      </c>
      <c r="O2" s="148" t="s">
        <v>273</v>
      </c>
      <c r="P2" s="148" t="s">
        <v>274</v>
      </c>
      <c r="Q2" s="151" t="s">
        <v>275</v>
      </c>
      <c r="R2" s="145" t="s">
        <v>21</v>
      </c>
      <c r="S2" s="148" t="s">
        <v>273</v>
      </c>
      <c r="T2" s="148" t="s">
        <v>274</v>
      </c>
      <c r="U2" s="151" t="s">
        <v>275</v>
      </c>
      <c r="V2" s="145" t="s">
        <v>21</v>
      </c>
      <c r="W2" s="148" t="s">
        <v>273</v>
      </c>
      <c r="X2" s="148" t="s">
        <v>274</v>
      </c>
      <c r="Y2" s="151" t="s">
        <v>275</v>
      </c>
      <c r="Z2" s="145" t="s">
        <v>21</v>
      </c>
      <c r="AA2" s="148" t="s">
        <v>273</v>
      </c>
      <c r="AB2" s="148" t="s">
        <v>274</v>
      </c>
      <c r="AC2" s="151" t="s">
        <v>275</v>
      </c>
      <c r="AD2" s="145" t="s">
        <v>21</v>
      </c>
      <c r="AE2" s="148" t="s">
        <v>273</v>
      </c>
      <c r="AF2" s="148" t="s">
        <v>274</v>
      </c>
      <c r="AG2" s="151" t="s">
        <v>275</v>
      </c>
      <c r="AH2" s="145" t="s">
        <v>21</v>
      </c>
      <c r="AI2" s="148" t="s">
        <v>273</v>
      </c>
      <c r="AJ2" s="148" t="s">
        <v>274</v>
      </c>
      <c r="AK2" s="151" t="s">
        <v>275</v>
      </c>
      <c r="AL2" s="145" t="s">
        <v>21</v>
      </c>
      <c r="AM2" s="148" t="s">
        <v>273</v>
      </c>
      <c r="AN2" s="148" t="s">
        <v>274</v>
      </c>
      <c r="AO2" s="151" t="s">
        <v>275</v>
      </c>
      <c r="AP2" s="145" t="s">
        <v>21</v>
      </c>
      <c r="AQ2" s="148" t="s">
        <v>273</v>
      </c>
      <c r="AR2" s="148" t="s">
        <v>274</v>
      </c>
      <c r="AS2" s="151" t="s">
        <v>275</v>
      </c>
      <c r="AT2" s="145" t="s">
        <v>21</v>
      </c>
      <c r="AU2" s="148" t="s">
        <v>273</v>
      </c>
      <c r="AV2" s="148" t="s">
        <v>274</v>
      </c>
      <c r="AW2" s="151" t="s">
        <v>275</v>
      </c>
      <c r="AX2" s="145" t="s">
        <v>21</v>
      </c>
      <c r="AY2" s="148" t="s">
        <v>273</v>
      </c>
      <c r="AZ2" s="148" t="s">
        <v>274</v>
      </c>
      <c r="BA2" s="151" t="s">
        <v>275</v>
      </c>
      <c r="BB2" s="145" t="s">
        <v>21</v>
      </c>
      <c r="BC2" s="148" t="s">
        <v>273</v>
      </c>
      <c r="BD2" s="148" t="s">
        <v>274</v>
      </c>
      <c r="BE2" s="151" t="s">
        <v>275</v>
      </c>
      <c r="BF2" s="145" t="s">
        <v>21</v>
      </c>
      <c r="BG2" s="148" t="s">
        <v>273</v>
      </c>
      <c r="BH2" s="148" t="s">
        <v>274</v>
      </c>
      <c r="BI2" s="151" t="s">
        <v>275</v>
      </c>
      <c r="BJ2" s="145" t="s">
        <v>21</v>
      </c>
      <c r="BK2" s="148" t="s">
        <v>273</v>
      </c>
      <c r="BL2" s="148" t="s">
        <v>274</v>
      </c>
      <c r="BM2" s="151" t="s">
        <v>275</v>
      </c>
      <c r="BN2" s="145" t="s">
        <v>21</v>
      </c>
      <c r="BO2" s="148" t="s">
        <v>273</v>
      </c>
      <c r="BP2" s="148" t="s">
        <v>274</v>
      </c>
      <c r="BQ2" s="151" t="s">
        <v>275</v>
      </c>
      <c r="BR2" s="145" t="s">
        <v>21</v>
      </c>
      <c r="BS2" s="148" t="s">
        <v>273</v>
      </c>
      <c r="BT2" s="148" t="s">
        <v>274</v>
      </c>
      <c r="BU2" s="151" t="s">
        <v>275</v>
      </c>
      <c r="BV2" s="145" t="s">
        <v>21</v>
      </c>
      <c r="BW2" s="148" t="s">
        <v>273</v>
      </c>
      <c r="BX2" s="148" t="s">
        <v>274</v>
      </c>
      <c r="BY2" s="151" t="s">
        <v>275</v>
      </c>
      <c r="BZ2" s="145" t="s">
        <v>21</v>
      </c>
      <c r="CA2" s="148" t="s">
        <v>273</v>
      </c>
      <c r="CB2" s="148" t="s">
        <v>274</v>
      </c>
      <c r="CC2" s="151" t="s">
        <v>275</v>
      </c>
      <c r="CD2" s="145" t="s">
        <v>21</v>
      </c>
      <c r="CE2" s="148" t="s">
        <v>273</v>
      </c>
      <c r="CF2" s="148" t="s">
        <v>274</v>
      </c>
      <c r="CG2" s="151" t="s">
        <v>275</v>
      </c>
      <c r="CH2" s="145" t="s">
        <v>21</v>
      </c>
      <c r="CI2" s="148" t="s">
        <v>273</v>
      </c>
      <c r="CJ2" s="148" t="s">
        <v>274</v>
      </c>
      <c r="CK2" s="151" t="s">
        <v>275</v>
      </c>
      <c r="CL2" s="145" t="s">
        <v>21</v>
      </c>
      <c r="CM2" s="148" t="s">
        <v>273</v>
      </c>
      <c r="CN2" s="148" t="s">
        <v>274</v>
      </c>
      <c r="CO2" s="151" t="s">
        <v>275</v>
      </c>
      <c r="CP2" s="145" t="s">
        <v>21</v>
      </c>
      <c r="CQ2" s="148" t="s">
        <v>273</v>
      </c>
      <c r="CR2" s="148" t="s">
        <v>274</v>
      </c>
      <c r="CS2" s="151" t="s">
        <v>275</v>
      </c>
      <c r="CT2" s="145" t="s">
        <v>21</v>
      </c>
      <c r="CU2" s="148" t="s">
        <v>273</v>
      </c>
      <c r="CV2" s="148" t="s">
        <v>274</v>
      </c>
      <c r="CW2" s="151" t="s">
        <v>275</v>
      </c>
    </row>
    <row r="3" spans="1:101" x14ac:dyDescent="0.25">
      <c r="B3" s="146"/>
      <c r="C3" s="149"/>
      <c r="D3" s="149"/>
      <c r="E3" s="152"/>
      <c r="F3" s="146"/>
      <c r="G3" s="149"/>
      <c r="H3" s="149"/>
      <c r="I3" s="152"/>
      <c r="J3" s="146"/>
      <c r="K3" s="149"/>
      <c r="L3" s="149"/>
      <c r="M3" s="152"/>
      <c r="N3" s="146"/>
      <c r="O3" s="149"/>
      <c r="P3" s="149"/>
      <c r="Q3" s="152"/>
      <c r="R3" s="146"/>
      <c r="S3" s="149"/>
      <c r="T3" s="149"/>
      <c r="U3" s="152"/>
      <c r="V3" s="146"/>
      <c r="W3" s="149"/>
      <c r="X3" s="149"/>
      <c r="Y3" s="152"/>
      <c r="Z3" s="146"/>
      <c r="AA3" s="149"/>
      <c r="AB3" s="149"/>
      <c r="AC3" s="152"/>
      <c r="AD3" s="146"/>
      <c r="AE3" s="149"/>
      <c r="AF3" s="149"/>
      <c r="AG3" s="152"/>
      <c r="AH3" s="146"/>
      <c r="AI3" s="149"/>
      <c r="AJ3" s="149"/>
      <c r="AK3" s="152"/>
      <c r="AL3" s="146"/>
      <c r="AM3" s="149"/>
      <c r="AN3" s="149"/>
      <c r="AO3" s="152"/>
      <c r="AP3" s="146"/>
      <c r="AQ3" s="149"/>
      <c r="AR3" s="149"/>
      <c r="AS3" s="152"/>
      <c r="AT3" s="146"/>
      <c r="AU3" s="149"/>
      <c r="AV3" s="149"/>
      <c r="AW3" s="152"/>
      <c r="AX3" s="146"/>
      <c r="AY3" s="149"/>
      <c r="AZ3" s="149"/>
      <c r="BA3" s="152"/>
      <c r="BB3" s="146"/>
      <c r="BC3" s="149"/>
      <c r="BD3" s="149"/>
      <c r="BE3" s="152"/>
      <c r="BF3" s="146"/>
      <c r="BG3" s="149"/>
      <c r="BH3" s="149"/>
      <c r="BI3" s="152"/>
      <c r="BJ3" s="146"/>
      <c r="BK3" s="149"/>
      <c r="BL3" s="149"/>
      <c r="BM3" s="152"/>
      <c r="BN3" s="146"/>
      <c r="BO3" s="149"/>
      <c r="BP3" s="149"/>
      <c r="BQ3" s="152"/>
      <c r="BR3" s="146"/>
      <c r="BS3" s="149"/>
      <c r="BT3" s="149"/>
      <c r="BU3" s="152"/>
      <c r="BV3" s="146"/>
      <c r="BW3" s="149"/>
      <c r="BX3" s="149"/>
      <c r="BY3" s="152"/>
      <c r="BZ3" s="146"/>
      <c r="CA3" s="149"/>
      <c r="CB3" s="149"/>
      <c r="CC3" s="152"/>
      <c r="CD3" s="146"/>
      <c r="CE3" s="149"/>
      <c r="CF3" s="149"/>
      <c r="CG3" s="152"/>
      <c r="CH3" s="146"/>
      <c r="CI3" s="149"/>
      <c r="CJ3" s="149"/>
      <c r="CK3" s="152"/>
      <c r="CL3" s="146"/>
      <c r="CM3" s="149"/>
      <c r="CN3" s="149"/>
      <c r="CO3" s="152"/>
      <c r="CP3" s="146"/>
      <c r="CQ3" s="149"/>
      <c r="CR3" s="149"/>
      <c r="CS3" s="152"/>
      <c r="CT3" s="146"/>
      <c r="CU3" s="149"/>
      <c r="CV3" s="149"/>
      <c r="CW3" s="152"/>
    </row>
    <row r="4" spans="1:101" x14ac:dyDescent="0.25">
      <c r="B4" s="146"/>
      <c r="C4" s="149"/>
      <c r="D4" s="149"/>
      <c r="E4" s="152"/>
      <c r="F4" s="146"/>
      <c r="G4" s="149"/>
      <c r="H4" s="149"/>
      <c r="I4" s="152"/>
      <c r="J4" s="146"/>
      <c r="K4" s="149"/>
      <c r="L4" s="149"/>
      <c r="M4" s="152"/>
      <c r="N4" s="146"/>
      <c r="O4" s="149"/>
      <c r="P4" s="149"/>
      <c r="Q4" s="152"/>
      <c r="R4" s="146"/>
      <c r="S4" s="149"/>
      <c r="T4" s="149"/>
      <c r="U4" s="152"/>
      <c r="V4" s="146"/>
      <c r="W4" s="149"/>
      <c r="X4" s="149"/>
      <c r="Y4" s="152"/>
      <c r="Z4" s="146"/>
      <c r="AA4" s="149"/>
      <c r="AB4" s="149"/>
      <c r="AC4" s="152"/>
      <c r="AD4" s="146"/>
      <c r="AE4" s="149"/>
      <c r="AF4" s="149"/>
      <c r="AG4" s="152"/>
      <c r="AH4" s="146"/>
      <c r="AI4" s="149"/>
      <c r="AJ4" s="149"/>
      <c r="AK4" s="152"/>
      <c r="AL4" s="146"/>
      <c r="AM4" s="149"/>
      <c r="AN4" s="149"/>
      <c r="AO4" s="152"/>
      <c r="AP4" s="146"/>
      <c r="AQ4" s="149"/>
      <c r="AR4" s="149"/>
      <c r="AS4" s="152"/>
      <c r="AT4" s="146"/>
      <c r="AU4" s="149"/>
      <c r="AV4" s="149"/>
      <c r="AW4" s="152"/>
      <c r="AX4" s="146"/>
      <c r="AY4" s="149"/>
      <c r="AZ4" s="149"/>
      <c r="BA4" s="152"/>
      <c r="BB4" s="146"/>
      <c r="BC4" s="149"/>
      <c r="BD4" s="149"/>
      <c r="BE4" s="152"/>
      <c r="BF4" s="146"/>
      <c r="BG4" s="149"/>
      <c r="BH4" s="149"/>
      <c r="BI4" s="152"/>
      <c r="BJ4" s="146"/>
      <c r="BK4" s="149"/>
      <c r="BL4" s="149"/>
      <c r="BM4" s="152"/>
      <c r="BN4" s="146"/>
      <c r="BO4" s="149"/>
      <c r="BP4" s="149"/>
      <c r="BQ4" s="152"/>
      <c r="BR4" s="146"/>
      <c r="BS4" s="149"/>
      <c r="BT4" s="149"/>
      <c r="BU4" s="152"/>
      <c r="BV4" s="146"/>
      <c r="BW4" s="149"/>
      <c r="BX4" s="149"/>
      <c r="BY4" s="152"/>
      <c r="BZ4" s="146"/>
      <c r="CA4" s="149"/>
      <c r="CB4" s="149"/>
      <c r="CC4" s="152"/>
      <c r="CD4" s="146"/>
      <c r="CE4" s="149"/>
      <c r="CF4" s="149"/>
      <c r="CG4" s="152"/>
      <c r="CH4" s="146"/>
      <c r="CI4" s="149"/>
      <c r="CJ4" s="149"/>
      <c r="CK4" s="152"/>
      <c r="CL4" s="146"/>
      <c r="CM4" s="149"/>
      <c r="CN4" s="149"/>
      <c r="CO4" s="152"/>
      <c r="CP4" s="146"/>
      <c r="CQ4" s="149"/>
      <c r="CR4" s="149"/>
      <c r="CS4" s="152"/>
      <c r="CT4" s="146"/>
      <c r="CU4" s="149"/>
      <c r="CV4" s="149"/>
      <c r="CW4" s="152"/>
    </row>
    <row r="5" spans="1:101" ht="15.75" thickBot="1" x14ac:dyDescent="0.3">
      <c r="B5" s="146"/>
      <c r="C5" s="150"/>
      <c r="D5" s="150"/>
      <c r="E5" s="153"/>
      <c r="F5" s="147"/>
      <c r="G5" s="150"/>
      <c r="H5" s="150"/>
      <c r="I5" s="153"/>
      <c r="J5" s="147"/>
      <c r="K5" s="150"/>
      <c r="L5" s="150"/>
      <c r="M5" s="153"/>
      <c r="N5" s="147"/>
      <c r="O5" s="150"/>
      <c r="P5" s="150"/>
      <c r="Q5" s="153"/>
      <c r="R5" s="147"/>
      <c r="S5" s="150"/>
      <c r="T5" s="150"/>
      <c r="U5" s="153"/>
      <c r="V5" s="147"/>
      <c r="W5" s="150"/>
      <c r="X5" s="150"/>
      <c r="Y5" s="153"/>
      <c r="Z5" s="147"/>
      <c r="AA5" s="150"/>
      <c r="AB5" s="150"/>
      <c r="AC5" s="153"/>
      <c r="AD5" s="147"/>
      <c r="AE5" s="150"/>
      <c r="AF5" s="150"/>
      <c r="AG5" s="153"/>
      <c r="AH5" s="147"/>
      <c r="AI5" s="150"/>
      <c r="AJ5" s="150"/>
      <c r="AK5" s="153"/>
      <c r="AL5" s="147"/>
      <c r="AM5" s="150"/>
      <c r="AN5" s="150"/>
      <c r="AO5" s="153"/>
      <c r="AP5" s="147"/>
      <c r="AQ5" s="150"/>
      <c r="AR5" s="150"/>
      <c r="AS5" s="153"/>
      <c r="AT5" s="147"/>
      <c r="AU5" s="150"/>
      <c r="AV5" s="150"/>
      <c r="AW5" s="153"/>
      <c r="AX5" s="147"/>
      <c r="AY5" s="150"/>
      <c r="AZ5" s="150"/>
      <c r="BA5" s="153"/>
      <c r="BB5" s="147"/>
      <c r="BC5" s="150"/>
      <c r="BD5" s="150"/>
      <c r="BE5" s="153"/>
      <c r="BF5" s="147"/>
      <c r="BG5" s="150"/>
      <c r="BH5" s="150"/>
      <c r="BI5" s="153"/>
      <c r="BJ5" s="147"/>
      <c r="BK5" s="150"/>
      <c r="BL5" s="150"/>
      <c r="BM5" s="153"/>
      <c r="BN5" s="147"/>
      <c r="BO5" s="150"/>
      <c r="BP5" s="150"/>
      <c r="BQ5" s="153"/>
      <c r="BR5" s="147"/>
      <c r="BS5" s="150"/>
      <c r="BT5" s="150"/>
      <c r="BU5" s="153"/>
      <c r="BV5" s="147"/>
      <c r="BW5" s="150"/>
      <c r="BX5" s="150"/>
      <c r="BY5" s="153"/>
      <c r="BZ5" s="147"/>
      <c r="CA5" s="150"/>
      <c r="CB5" s="150"/>
      <c r="CC5" s="153"/>
      <c r="CD5" s="147"/>
      <c r="CE5" s="150"/>
      <c r="CF5" s="150"/>
      <c r="CG5" s="153"/>
      <c r="CH5" s="147"/>
      <c r="CI5" s="150"/>
      <c r="CJ5" s="150"/>
      <c r="CK5" s="153"/>
      <c r="CL5" s="147"/>
      <c r="CM5" s="150"/>
      <c r="CN5" s="150"/>
      <c r="CO5" s="153"/>
      <c r="CP5" s="147"/>
      <c r="CQ5" s="150"/>
      <c r="CR5" s="150"/>
      <c r="CS5" s="153"/>
      <c r="CT5" s="147"/>
      <c r="CU5" s="150"/>
      <c r="CV5" s="150"/>
      <c r="CW5" s="153"/>
    </row>
    <row r="6" spans="1:101" ht="15.75" thickBot="1" x14ac:dyDescent="0.3">
      <c r="A6" s="94" t="str">
        <f>Equipos!B3</f>
        <v>Los Amigos</v>
      </c>
      <c r="B6" s="91">
        <f>'Los Amigos'!H22</f>
        <v>9</v>
      </c>
      <c r="C6" s="91">
        <f>'Los Amigos'!I22</f>
        <v>0</v>
      </c>
      <c r="D6" s="116">
        <f>'Los Amigos'!J22</f>
        <v>0</v>
      </c>
      <c r="E6" s="116">
        <f>'Los Amigos'!K22</f>
        <v>0</v>
      </c>
      <c r="F6" s="91">
        <f>'Los Amigos'!L22</f>
        <v>6</v>
      </c>
      <c r="G6" s="91">
        <f>'Los Amigos'!M22</f>
        <v>1</v>
      </c>
      <c r="H6" s="116">
        <f>'Los Amigos'!N22</f>
        <v>0</v>
      </c>
      <c r="I6" s="116">
        <f>'Los Amigos'!O22</f>
        <v>0</v>
      </c>
      <c r="J6" s="91">
        <f>'Los Amigos'!P22</f>
        <v>7</v>
      </c>
      <c r="K6" s="91">
        <f>'Los Amigos'!Q22</f>
        <v>0</v>
      </c>
      <c r="L6" s="116">
        <f>'Los Amigos'!R22</f>
        <v>0</v>
      </c>
      <c r="M6" s="116">
        <f>'Los Amigos'!S22</f>
        <v>0</v>
      </c>
      <c r="N6" s="91">
        <f>'Los Amigos'!T22</f>
        <v>3</v>
      </c>
      <c r="O6" s="91">
        <f>'Los Amigos'!U22</f>
        <v>2</v>
      </c>
      <c r="P6" s="116">
        <f>'Los Amigos'!V22</f>
        <v>0</v>
      </c>
      <c r="Q6" s="116">
        <f>'Los Amigos'!W22</f>
        <v>1</v>
      </c>
      <c r="R6" s="91">
        <f>'Los Amigos'!X22</f>
        <v>4</v>
      </c>
      <c r="S6" s="91">
        <f>'Los Amigos'!Y22</f>
        <v>1</v>
      </c>
      <c r="T6" s="116">
        <f>'Los Amigos'!Z22</f>
        <v>0</v>
      </c>
      <c r="U6" s="116">
        <f>'Los Amigos'!AA22</f>
        <v>0</v>
      </c>
      <c r="V6" s="91">
        <f>'Los Amigos'!AB22</f>
        <v>6</v>
      </c>
      <c r="W6" s="91">
        <f>'Los Amigos'!AC22</f>
        <v>3</v>
      </c>
      <c r="X6" s="116">
        <f>'Los Amigos'!AD22</f>
        <v>0</v>
      </c>
      <c r="Y6" s="116">
        <f>'Los Amigos'!AE22</f>
        <v>0</v>
      </c>
      <c r="Z6" s="91">
        <f>'Los Amigos'!AF22</f>
        <v>6</v>
      </c>
      <c r="AA6" s="91">
        <f>'Los Amigos'!AG22</f>
        <v>1</v>
      </c>
      <c r="AB6" s="116">
        <f>'Los Amigos'!AH22</f>
        <v>0</v>
      </c>
      <c r="AC6" s="116">
        <f>'Los Amigos'!AI22</f>
        <v>0</v>
      </c>
      <c r="AD6" s="91">
        <f>'Los Amigos'!AJ22</f>
        <v>1</v>
      </c>
      <c r="AE6" s="91">
        <f>'Los Amigos'!AK22</f>
        <v>1</v>
      </c>
      <c r="AF6" s="116">
        <f>'Los Amigos'!AL22</f>
        <v>0</v>
      </c>
      <c r="AG6" s="116">
        <f>'Los Amigos'!AM22</f>
        <v>0</v>
      </c>
      <c r="AH6" s="91">
        <f>'Los Amigos'!AN22</f>
        <v>4</v>
      </c>
      <c r="AI6" s="91">
        <f>'Los Amigos'!AO22</f>
        <v>0</v>
      </c>
      <c r="AJ6" s="116">
        <f>'Los Amigos'!AP22</f>
        <v>0</v>
      </c>
      <c r="AK6" s="116">
        <f>'Los Amigos'!AQ22</f>
        <v>0</v>
      </c>
      <c r="AL6" s="91">
        <f>'Los Amigos'!AR22</f>
        <v>7</v>
      </c>
      <c r="AM6" s="91">
        <f>'Los Amigos'!AS22</f>
        <v>2</v>
      </c>
      <c r="AN6" s="116">
        <f>'Los Amigos'!AT22</f>
        <v>0</v>
      </c>
      <c r="AO6" s="116">
        <f>'Los Amigos'!AU22</f>
        <v>0</v>
      </c>
      <c r="AP6" s="91">
        <f>'Los Amigos'!AV22</f>
        <v>3</v>
      </c>
      <c r="AQ6" s="91">
        <f>'Los Amigos'!AW22</f>
        <v>0</v>
      </c>
      <c r="AR6" s="116">
        <f>'Los Amigos'!AX22</f>
        <v>0</v>
      </c>
      <c r="AS6" s="116">
        <f>'Los Amigos'!AY22</f>
        <v>0</v>
      </c>
      <c r="AT6" s="91">
        <f>'Los Amigos'!AZ22</f>
        <v>5</v>
      </c>
      <c r="AU6" s="91">
        <f>'Los Amigos'!BA22</f>
        <v>1</v>
      </c>
      <c r="AV6" s="116">
        <f>'Los Amigos'!BB22</f>
        <v>0</v>
      </c>
      <c r="AW6" s="116">
        <f>'Los Amigos'!BC22</f>
        <v>0</v>
      </c>
      <c r="AX6" s="91">
        <f>'Los Amigos'!BD22</f>
        <v>3</v>
      </c>
      <c r="AY6" s="91">
        <f>'Los Amigos'!BE22</f>
        <v>0</v>
      </c>
      <c r="AZ6" s="116">
        <f>'Los Amigos'!BF22</f>
        <v>0</v>
      </c>
      <c r="BA6" s="116">
        <f>'Los Amigos'!BG22</f>
        <v>0</v>
      </c>
      <c r="BB6" s="91">
        <f>'Los Amigos'!BH22</f>
        <v>1</v>
      </c>
      <c r="BC6" s="91">
        <f>'Los Amigos'!BI22</f>
        <v>1</v>
      </c>
      <c r="BD6" s="116">
        <f>'Los Amigos'!BJ22</f>
        <v>0</v>
      </c>
      <c r="BE6" s="116">
        <f>'Los Amigos'!BK22</f>
        <v>0</v>
      </c>
      <c r="BF6" s="91">
        <f>'Los Amigos'!BL22</f>
        <v>2</v>
      </c>
      <c r="BG6" s="91">
        <f>'Los Amigos'!BM22</f>
        <v>2</v>
      </c>
      <c r="BH6" s="116">
        <f>'Los Amigos'!BN22</f>
        <v>1</v>
      </c>
      <c r="BI6" s="116">
        <f>'Los Amigos'!BO22</f>
        <v>0</v>
      </c>
      <c r="BJ6" s="91">
        <f>'Los Amigos'!BP22</f>
        <v>4</v>
      </c>
      <c r="BK6" s="91">
        <f>'Los Amigos'!BQ22</f>
        <v>2</v>
      </c>
      <c r="BL6" s="116">
        <f>'Los Amigos'!BR22</f>
        <v>0</v>
      </c>
      <c r="BM6" s="116">
        <f>'Los Amigos'!BS22</f>
        <v>0</v>
      </c>
      <c r="BN6" s="91">
        <f>'Los Amigos'!BT22</f>
        <v>3</v>
      </c>
      <c r="BO6" s="91">
        <f>'Los Amigos'!BU22</f>
        <v>2</v>
      </c>
      <c r="BP6" s="116">
        <f>'Los Amigos'!BV22</f>
        <v>0</v>
      </c>
      <c r="BQ6" s="116">
        <f>'Los Amigos'!BW22</f>
        <v>0</v>
      </c>
      <c r="BR6" s="91">
        <f>'Los Amigos'!BX22</f>
        <v>4</v>
      </c>
      <c r="BS6" s="91">
        <f>'Los Amigos'!BY22</f>
        <v>1</v>
      </c>
      <c r="BT6" s="116">
        <f>'Los Amigos'!BZ22</f>
        <v>0</v>
      </c>
      <c r="BU6" s="116">
        <f>'Los Amigos'!CA22</f>
        <v>0</v>
      </c>
      <c r="BV6" s="91">
        <f>'Los Amigos'!CB22</f>
        <v>8</v>
      </c>
      <c r="BW6" s="91">
        <f>'Los Amigos'!CC22</f>
        <v>1</v>
      </c>
      <c r="BX6" s="116">
        <f>'Los Amigos'!CD22</f>
        <v>0</v>
      </c>
      <c r="BY6" s="116">
        <f>'Los Amigos'!CE22</f>
        <v>0</v>
      </c>
      <c r="BZ6" s="91">
        <f>'Los Amigos'!CF22</f>
        <v>8</v>
      </c>
      <c r="CA6" s="91">
        <f>'Los Amigos'!CG22</f>
        <v>0</v>
      </c>
      <c r="CB6" s="116">
        <f>'Los Amigos'!CH22</f>
        <v>0</v>
      </c>
      <c r="CC6" s="116">
        <f>'Los Amigos'!CI22</f>
        <v>0</v>
      </c>
      <c r="CD6" s="91">
        <f>'Los Amigos'!CJ22</f>
        <v>1</v>
      </c>
      <c r="CE6" s="91">
        <f>'Los Amigos'!CK22</f>
        <v>2</v>
      </c>
      <c r="CF6" s="116">
        <f>'Los Amigos'!CL22</f>
        <v>0</v>
      </c>
      <c r="CG6" s="116">
        <f>'Los Amigos'!CM22</f>
        <v>0</v>
      </c>
      <c r="CH6" s="91">
        <f>'Los Amigos'!CN22</f>
        <v>4</v>
      </c>
      <c r="CI6" s="91">
        <f>'Los Amigos'!CO22</f>
        <v>1</v>
      </c>
      <c r="CJ6" s="116">
        <f>'Los Amigos'!CP22</f>
        <v>0</v>
      </c>
      <c r="CK6" s="116">
        <f>'Los Amigos'!CQ22</f>
        <v>0</v>
      </c>
      <c r="CL6" s="91">
        <f>'Los Amigos'!CR22</f>
        <v>4</v>
      </c>
      <c r="CM6" s="91">
        <f>'Los Amigos'!CS22</f>
        <v>2</v>
      </c>
      <c r="CN6" s="116">
        <f>'Los Amigos'!CT22</f>
        <v>0</v>
      </c>
      <c r="CO6" s="116">
        <f>'Los Amigos'!CU22</f>
        <v>0</v>
      </c>
      <c r="CP6" s="91">
        <f>'Los Amigos'!CV22</f>
        <v>2</v>
      </c>
      <c r="CQ6" s="91">
        <f>'Los Amigos'!CW22</f>
        <v>0</v>
      </c>
      <c r="CR6" s="116">
        <f>'Los Amigos'!CX22</f>
        <v>0</v>
      </c>
      <c r="CS6" s="116">
        <f>'Los Amigos'!CY22</f>
        <v>0</v>
      </c>
      <c r="CT6" s="91">
        <f>'Los Amigos'!CZ22</f>
        <v>0</v>
      </c>
      <c r="CU6" s="91">
        <f>'Los Amigos'!DA22</f>
        <v>0</v>
      </c>
      <c r="CV6" s="116">
        <f>'Los Amigos'!DB22</f>
        <v>0</v>
      </c>
      <c r="CW6" s="116">
        <f>'Los Amigos'!DC22</f>
        <v>0</v>
      </c>
    </row>
    <row r="7" spans="1:101" ht="15.75" thickBot="1" x14ac:dyDescent="0.3">
      <c r="A7" s="94" t="str">
        <f>Equipos!B4</f>
        <v>La Nueva Era</v>
      </c>
      <c r="B7" s="91">
        <f>'La Nueva Era'!H22</f>
        <v>2</v>
      </c>
      <c r="C7" s="91">
        <f>'La Nueva Era'!I22</f>
        <v>0</v>
      </c>
      <c r="D7" s="116">
        <f>'La Nueva Era'!J22</f>
        <v>0</v>
      </c>
      <c r="E7" s="116">
        <f>'La Nueva Era'!K22</f>
        <v>0</v>
      </c>
      <c r="F7" s="91">
        <f>'La Nueva Era'!L22</f>
        <v>0</v>
      </c>
      <c r="G7" s="91">
        <f>'La Nueva Era'!M22</f>
        <v>0</v>
      </c>
      <c r="H7" s="116">
        <f>'La Nueva Era'!N22</f>
        <v>0</v>
      </c>
      <c r="I7" s="116">
        <f>'La Nueva Era'!O22</f>
        <v>0</v>
      </c>
      <c r="J7" s="91">
        <f>'La Nueva Era'!P22</f>
        <v>0</v>
      </c>
      <c r="K7" s="91">
        <f>'La Nueva Era'!Q22</f>
        <v>2</v>
      </c>
      <c r="L7" s="116">
        <f>'La Nueva Era'!R22</f>
        <v>0</v>
      </c>
      <c r="M7" s="116">
        <f>'La Nueva Era'!S22</f>
        <v>0</v>
      </c>
      <c r="N7" s="91">
        <f>'La Nueva Era'!T22</f>
        <v>1</v>
      </c>
      <c r="O7" s="91">
        <f>'La Nueva Era'!U22</f>
        <v>0</v>
      </c>
      <c r="P7" s="116">
        <f>'La Nueva Era'!V22</f>
        <v>0</v>
      </c>
      <c r="Q7" s="116">
        <f>'La Nueva Era'!W22</f>
        <v>0</v>
      </c>
      <c r="R7" s="91">
        <f>'La Nueva Era'!X22</f>
        <v>0</v>
      </c>
      <c r="S7" s="91">
        <f>'La Nueva Era'!Y22</f>
        <v>3</v>
      </c>
      <c r="T7" s="116">
        <f>'La Nueva Era'!Z22</f>
        <v>0</v>
      </c>
      <c r="U7" s="116">
        <f>'La Nueva Era'!AA22</f>
        <v>0</v>
      </c>
      <c r="V7" s="91">
        <f>'La Nueva Era'!AB22</f>
        <v>2</v>
      </c>
      <c r="W7" s="91">
        <f>'La Nueva Era'!AC22</f>
        <v>0</v>
      </c>
      <c r="X7" s="116">
        <f>'La Nueva Era'!AD22</f>
        <v>0</v>
      </c>
      <c r="Y7" s="116">
        <f>'La Nueva Era'!AE22</f>
        <v>0</v>
      </c>
      <c r="Z7" s="91">
        <f>'La Nueva Era'!AF22</f>
        <v>3</v>
      </c>
      <c r="AA7" s="91">
        <f>'La Nueva Era'!AG22</f>
        <v>1</v>
      </c>
      <c r="AB7" s="116">
        <f>'La Nueva Era'!AH22</f>
        <v>0</v>
      </c>
      <c r="AC7" s="116">
        <f>'La Nueva Era'!AI22</f>
        <v>0</v>
      </c>
      <c r="AD7" s="91">
        <f>'La Nueva Era'!AJ22</f>
        <v>3</v>
      </c>
      <c r="AE7" s="91">
        <f>'La Nueva Era'!AK22</f>
        <v>2</v>
      </c>
      <c r="AF7" s="116">
        <f>'La Nueva Era'!AL22</f>
        <v>0</v>
      </c>
      <c r="AG7" s="116">
        <f>'La Nueva Era'!AM22</f>
        <v>0</v>
      </c>
      <c r="AH7" s="91">
        <f>'La Nueva Era'!AN22</f>
        <v>2</v>
      </c>
      <c r="AI7" s="91">
        <f>'La Nueva Era'!AO22</f>
        <v>1</v>
      </c>
      <c r="AJ7" s="116">
        <f>'La Nueva Era'!AP22</f>
        <v>0</v>
      </c>
      <c r="AK7" s="116">
        <f>'La Nueva Era'!AQ22</f>
        <v>0</v>
      </c>
      <c r="AL7" s="91">
        <f>'La Nueva Era'!AR22</f>
        <v>4</v>
      </c>
      <c r="AM7" s="91">
        <f>'La Nueva Era'!AS22</f>
        <v>0</v>
      </c>
      <c r="AN7" s="116">
        <f>'La Nueva Era'!AT22</f>
        <v>0</v>
      </c>
      <c r="AO7" s="116">
        <f>'La Nueva Era'!AU22</f>
        <v>0</v>
      </c>
      <c r="AP7" s="91">
        <f>'La Nueva Era'!AV22</f>
        <v>3</v>
      </c>
      <c r="AQ7" s="91">
        <f>'La Nueva Era'!AW22</f>
        <v>0</v>
      </c>
      <c r="AR7" s="116">
        <f>'La Nueva Era'!AX22</f>
        <v>0</v>
      </c>
      <c r="AS7" s="116">
        <f>'La Nueva Era'!AY22</f>
        <v>0</v>
      </c>
      <c r="AT7" s="91">
        <f>'La Nueva Era'!AZ22</f>
        <v>3</v>
      </c>
      <c r="AU7" s="91">
        <f>'La Nueva Era'!BA22</f>
        <v>0</v>
      </c>
      <c r="AV7" s="116">
        <f>'La Nueva Era'!BB22</f>
        <v>0</v>
      </c>
      <c r="AW7" s="116">
        <f>'La Nueva Era'!BC22</f>
        <v>0</v>
      </c>
      <c r="AX7" s="91">
        <f>'La Nueva Era'!BD22</f>
        <v>3</v>
      </c>
      <c r="AY7" s="91">
        <f>'La Nueva Era'!BE22</f>
        <v>0</v>
      </c>
      <c r="AZ7" s="116">
        <f>'La Nueva Era'!BF22</f>
        <v>0</v>
      </c>
      <c r="BA7" s="116">
        <f>'La Nueva Era'!BG22</f>
        <v>0</v>
      </c>
      <c r="BB7" s="91">
        <f>'La Nueva Era'!BH22</f>
        <v>2</v>
      </c>
      <c r="BC7" s="91">
        <f>'La Nueva Era'!BI22</f>
        <v>0</v>
      </c>
      <c r="BD7" s="116">
        <f>'La Nueva Era'!BJ22</f>
        <v>0</v>
      </c>
      <c r="BE7" s="116">
        <f>'La Nueva Era'!BK22</f>
        <v>0</v>
      </c>
      <c r="BF7" s="91">
        <f>'La Nueva Era'!BL22</f>
        <v>5</v>
      </c>
      <c r="BG7" s="91">
        <f>'La Nueva Era'!BM22</f>
        <v>0</v>
      </c>
      <c r="BH7" s="116">
        <f>'La Nueva Era'!BN22</f>
        <v>0</v>
      </c>
      <c r="BI7" s="116">
        <f>'La Nueva Era'!BO22</f>
        <v>0</v>
      </c>
      <c r="BJ7" s="91">
        <f>'La Nueva Era'!BP22</f>
        <v>0</v>
      </c>
      <c r="BK7" s="91">
        <f>'La Nueva Era'!BQ22</f>
        <v>0</v>
      </c>
      <c r="BL7" s="116">
        <f>'La Nueva Era'!BR22</f>
        <v>0</v>
      </c>
      <c r="BM7" s="116">
        <f>'La Nueva Era'!BS22</f>
        <v>0</v>
      </c>
      <c r="BN7" s="91">
        <f>'La Nueva Era'!BT22</f>
        <v>1</v>
      </c>
      <c r="BO7" s="91">
        <f>'La Nueva Era'!BU22</f>
        <v>0</v>
      </c>
      <c r="BP7" s="116">
        <f>'La Nueva Era'!BV22</f>
        <v>0</v>
      </c>
      <c r="BQ7" s="116">
        <f>'La Nueva Era'!BW22</f>
        <v>0</v>
      </c>
      <c r="BR7" s="91">
        <f>'La Nueva Era'!BX22</f>
        <v>1</v>
      </c>
      <c r="BS7" s="91">
        <f>'La Nueva Era'!BY22</f>
        <v>1</v>
      </c>
      <c r="BT7" s="116">
        <f>'La Nueva Era'!BZ22</f>
        <v>0</v>
      </c>
      <c r="BU7" s="116">
        <f>'La Nueva Era'!CA22</f>
        <v>0</v>
      </c>
      <c r="BV7" s="91">
        <f>'La Nueva Era'!CB22</f>
        <v>0</v>
      </c>
      <c r="BW7" s="91">
        <f>'La Nueva Era'!CC22</f>
        <v>0</v>
      </c>
      <c r="BX7" s="116">
        <f>'La Nueva Era'!CD22</f>
        <v>0</v>
      </c>
      <c r="BY7" s="116">
        <f>'La Nueva Era'!CE22</f>
        <v>0</v>
      </c>
      <c r="BZ7" s="91">
        <f>'La Nueva Era'!CF22</f>
        <v>3</v>
      </c>
      <c r="CA7" s="91">
        <f>'La Nueva Era'!CG22</f>
        <v>0</v>
      </c>
      <c r="CB7" s="116">
        <f>'La Nueva Era'!CH22</f>
        <v>0</v>
      </c>
      <c r="CC7" s="116">
        <f>'La Nueva Era'!CI22</f>
        <v>0</v>
      </c>
      <c r="CD7" s="91">
        <f>'La Nueva Era'!CJ22</f>
        <v>0</v>
      </c>
      <c r="CE7" s="91">
        <f>'La Nueva Era'!CK22</f>
        <v>0</v>
      </c>
      <c r="CF7" s="116">
        <f>'La Nueva Era'!CL22</f>
        <v>0</v>
      </c>
      <c r="CG7" s="116">
        <f>'La Nueva Era'!CM22</f>
        <v>0</v>
      </c>
      <c r="CH7" s="91">
        <f>'La Nueva Era'!CN22</f>
        <v>0</v>
      </c>
      <c r="CI7" s="91">
        <f>'La Nueva Era'!CO22</f>
        <v>0</v>
      </c>
      <c r="CJ7" s="116">
        <f>'La Nueva Era'!CP22</f>
        <v>0</v>
      </c>
      <c r="CK7" s="116">
        <f>'La Nueva Era'!CQ22</f>
        <v>0</v>
      </c>
      <c r="CL7" s="91">
        <f>'La Nueva Era'!CR22</f>
        <v>0</v>
      </c>
      <c r="CM7" s="91">
        <f>'La Nueva Era'!CS22</f>
        <v>0</v>
      </c>
      <c r="CN7" s="116">
        <f>'La Nueva Era'!CT22</f>
        <v>0</v>
      </c>
      <c r="CO7" s="116">
        <f>'La Nueva Era'!CU22</f>
        <v>0</v>
      </c>
      <c r="CP7" s="91">
        <f>'La Nueva Era'!CV22</f>
        <v>0</v>
      </c>
      <c r="CQ7" s="91">
        <f>'La Nueva Era'!CW22</f>
        <v>0</v>
      </c>
      <c r="CR7" s="116">
        <f>'La Nueva Era'!CX22</f>
        <v>0</v>
      </c>
      <c r="CS7" s="116">
        <f>'La Nueva Era'!CY22</f>
        <v>0</v>
      </c>
      <c r="CT7" s="91">
        <f>'La Nueva Era'!CZ22</f>
        <v>0</v>
      </c>
      <c r="CU7" s="91">
        <f>'La Nueva Era'!DA22</f>
        <v>0</v>
      </c>
      <c r="CV7" s="116">
        <f>'La Nueva Era'!DB22</f>
        <v>0</v>
      </c>
      <c r="CW7" s="116">
        <f>'La Nueva Era'!DC22</f>
        <v>0</v>
      </c>
    </row>
    <row r="8" spans="1:101" ht="15.75" thickBot="1" x14ac:dyDescent="0.3">
      <c r="A8" s="94" t="str">
        <f>Equipos!B5</f>
        <v>La Amistad</v>
      </c>
      <c r="B8" s="91">
        <f>'La Amistad'!H22</f>
        <v>4</v>
      </c>
      <c r="C8" s="91">
        <f>'La Amistad'!I22</f>
        <v>0</v>
      </c>
      <c r="D8" s="116">
        <f>'La Amistad'!J22</f>
        <v>0</v>
      </c>
      <c r="E8" s="116">
        <f>'La Amistad'!K22</f>
        <v>0</v>
      </c>
      <c r="F8" s="91">
        <f>'La Amistad'!L22</f>
        <v>5</v>
      </c>
      <c r="G8" s="91">
        <f>'La Amistad'!M22</f>
        <v>0</v>
      </c>
      <c r="H8" s="116">
        <f>'La Amistad'!N22</f>
        <v>0</v>
      </c>
      <c r="I8" s="116">
        <f>'La Amistad'!O22</f>
        <v>0</v>
      </c>
      <c r="J8" s="91">
        <f>'La Amistad'!P22</f>
        <v>0</v>
      </c>
      <c r="K8" s="91">
        <f>'La Amistad'!Q22</f>
        <v>0</v>
      </c>
      <c r="L8" s="116">
        <f>'La Amistad'!R22</f>
        <v>0</v>
      </c>
      <c r="M8" s="116">
        <f>'La Amistad'!S22</f>
        <v>0</v>
      </c>
      <c r="N8" s="91">
        <f>'La Amistad'!T22</f>
        <v>2</v>
      </c>
      <c r="O8" s="91">
        <f>'La Amistad'!U22</f>
        <v>1</v>
      </c>
      <c r="P8" s="116">
        <f>'La Amistad'!V22</f>
        <v>0</v>
      </c>
      <c r="Q8" s="116">
        <f>'La Amistad'!W22</f>
        <v>0</v>
      </c>
      <c r="R8" s="91">
        <f>'La Amistad'!X22</f>
        <v>2</v>
      </c>
      <c r="S8" s="91">
        <f>'La Amistad'!Y22</f>
        <v>2</v>
      </c>
      <c r="T8" s="116">
        <f>'La Amistad'!Z22</f>
        <v>0</v>
      </c>
      <c r="U8" s="116">
        <f>'La Amistad'!AA22</f>
        <v>0</v>
      </c>
      <c r="V8" s="91">
        <f>'La Amistad'!AB22</f>
        <v>3</v>
      </c>
      <c r="W8" s="91">
        <f>'La Amistad'!AC22</f>
        <v>1</v>
      </c>
      <c r="X8" s="116">
        <f>'La Amistad'!AD22</f>
        <v>0</v>
      </c>
      <c r="Y8" s="116">
        <f>'La Amistad'!AE22</f>
        <v>0</v>
      </c>
      <c r="Z8" s="91">
        <f>'La Amistad'!AF22</f>
        <v>5</v>
      </c>
      <c r="AA8" s="91">
        <f>'La Amistad'!AG22</f>
        <v>0</v>
      </c>
      <c r="AB8" s="116">
        <f>'La Amistad'!AH22</f>
        <v>0</v>
      </c>
      <c r="AC8" s="116">
        <f>'La Amistad'!AI22</f>
        <v>0</v>
      </c>
      <c r="AD8" s="91">
        <f>'La Amistad'!AJ22</f>
        <v>4</v>
      </c>
      <c r="AE8" s="91">
        <f>'La Amistad'!AK22</f>
        <v>1</v>
      </c>
      <c r="AF8" s="116">
        <f>'La Amistad'!AL22</f>
        <v>0</v>
      </c>
      <c r="AG8" s="116">
        <f>'La Amistad'!AM22</f>
        <v>0</v>
      </c>
      <c r="AH8" s="91">
        <f>'La Amistad'!AN22</f>
        <v>5</v>
      </c>
      <c r="AI8" s="91">
        <f>'La Amistad'!AO22</f>
        <v>2</v>
      </c>
      <c r="AJ8" s="116">
        <f>'La Amistad'!AP22</f>
        <v>0</v>
      </c>
      <c r="AK8" s="116">
        <f>'La Amistad'!AQ22</f>
        <v>0</v>
      </c>
      <c r="AL8" s="91">
        <f>'La Amistad'!AR22</f>
        <v>3</v>
      </c>
      <c r="AM8" s="91">
        <f>'La Amistad'!AS22</f>
        <v>0</v>
      </c>
      <c r="AN8" s="116">
        <f>'La Amistad'!AT22</f>
        <v>0</v>
      </c>
      <c r="AO8" s="116">
        <f>'La Amistad'!AU22</f>
        <v>0</v>
      </c>
      <c r="AP8" s="91">
        <f>'La Amistad'!AV22</f>
        <v>7</v>
      </c>
      <c r="AQ8" s="91">
        <f>'La Amistad'!AW22</f>
        <v>0</v>
      </c>
      <c r="AR8" s="116">
        <f>'La Amistad'!AX22</f>
        <v>0</v>
      </c>
      <c r="AS8" s="116">
        <f>'La Amistad'!AY22</f>
        <v>0</v>
      </c>
      <c r="AT8" s="91">
        <f>'La Amistad'!AZ22</f>
        <v>7</v>
      </c>
      <c r="AU8" s="91">
        <f>'La Amistad'!BA22</f>
        <v>0</v>
      </c>
      <c r="AV8" s="116">
        <f>'La Amistad'!BB22</f>
        <v>0</v>
      </c>
      <c r="AW8" s="116">
        <f>'La Amistad'!BC22</f>
        <v>0</v>
      </c>
      <c r="AX8" s="91">
        <f>'La Amistad'!BD22</f>
        <v>3</v>
      </c>
      <c r="AY8" s="91">
        <f>'La Amistad'!BE22</f>
        <v>0</v>
      </c>
      <c r="AZ8" s="116">
        <f>'La Amistad'!BF22</f>
        <v>0</v>
      </c>
      <c r="BA8" s="116">
        <f>'La Amistad'!BG22</f>
        <v>0</v>
      </c>
      <c r="BB8" s="91">
        <f>'La Amistad'!BH22</f>
        <v>12</v>
      </c>
      <c r="BC8" s="91">
        <f>'La Amistad'!BI22</f>
        <v>0</v>
      </c>
      <c r="BD8" s="116">
        <f>'La Amistad'!BJ22</f>
        <v>0</v>
      </c>
      <c r="BE8" s="116">
        <f>'La Amistad'!BK22</f>
        <v>0</v>
      </c>
      <c r="BF8" s="91">
        <f>'La Amistad'!BL22</f>
        <v>3</v>
      </c>
      <c r="BG8" s="91">
        <f>'La Amistad'!BM22</f>
        <v>2</v>
      </c>
      <c r="BH8" s="116">
        <f>'La Amistad'!BN22</f>
        <v>0</v>
      </c>
      <c r="BI8" s="116">
        <f>'La Amistad'!BO22</f>
        <v>0</v>
      </c>
      <c r="BJ8" s="91">
        <f>'La Amistad'!BP22</f>
        <v>9</v>
      </c>
      <c r="BK8" s="91">
        <f>'La Amistad'!BQ22</f>
        <v>0</v>
      </c>
      <c r="BL8" s="116">
        <f>'La Amistad'!BR22</f>
        <v>0</v>
      </c>
      <c r="BM8" s="116">
        <f>'La Amistad'!BS22</f>
        <v>0</v>
      </c>
      <c r="BN8" s="91">
        <f>'La Amistad'!BT22</f>
        <v>5</v>
      </c>
      <c r="BO8" s="91">
        <f>'La Amistad'!BU22</f>
        <v>3</v>
      </c>
      <c r="BP8" s="116">
        <f>'La Amistad'!BV22</f>
        <v>0</v>
      </c>
      <c r="BQ8" s="116">
        <f>'La Amistad'!BW22</f>
        <v>0</v>
      </c>
      <c r="BR8" s="91">
        <f>'La Amistad'!BX22</f>
        <v>7</v>
      </c>
      <c r="BS8" s="91">
        <f>'La Amistad'!BY22</f>
        <v>2</v>
      </c>
      <c r="BT8" s="116">
        <f>'La Amistad'!BZ22</f>
        <v>0</v>
      </c>
      <c r="BU8" s="116">
        <f>'La Amistad'!CA22</f>
        <v>0</v>
      </c>
      <c r="BV8" s="91">
        <f>'La Amistad'!CB22</f>
        <v>0</v>
      </c>
      <c r="BW8" s="91">
        <f>'La Amistad'!CC22</f>
        <v>0</v>
      </c>
      <c r="BX8" s="116">
        <f>'La Amistad'!CD22</f>
        <v>0</v>
      </c>
      <c r="BY8" s="116">
        <f>'La Amistad'!CE22</f>
        <v>0</v>
      </c>
      <c r="BZ8" s="91">
        <f>'La Amistad'!CF22</f>
        <v>7</v>
      </c>
      <c r="CA8" s="91">
        <f>'La Amistad'!CG22</f>
        <v>1</v>
      </c>
      <c r="CB8" s="116">
        <f>'La Amistad'!CH22</f>
        <v>0</v>
      </c>
      <c r="CC8" s="116">
        <f>'La Amistad'!CI22</f>
        <v>0</v>
      </c>
      <c r="CD8" s="91">
        <f>'La Amistad'!CJ22</f>
        <v>3</v>
      </c>
      <c r="CE8" s="91">
        <f>'La Amistad'!CK22</f>
        <v>3</v>
      </c>
      <c r="CF8" s="116">
        <f>'La Amistad'!CL22</f>
        <v>0</v>
      </c>
      <c r="CG8" s="116">
        <f>'La Amistad'!CM22</f>
        <v>0</v>
      </c>
      <c r="CH8" s="91">
        <f>'La Amistad'!CN22</f>
        <v>4</v>
      </c>
      <c r="CI8" s="91">
        <f>'La Amistad'!CO22</f>
        <v>0</v>
      </c>
      <c r="CJ8" s="116">
        <f>'La Amistad'!CP22</f>
        <v>0</v>
      </c>
      <c r="CK8" s="116">
        <f>'La Amistad'!CQ22</f>
        <v>0</v>
      </c>
      <c r="CL8" s="91">
        <f>'La Amistad'!CR22</f>
        <v>1</v>
      </c>
      <c r="CM8" s="91">
        <f>'La Amistad'!CS22</f>
        <v>1</v>
      </c>
      <c r="CN8" s="116">
        <f>'La Amistad'!CT22</f>
        <v>0</v>
      </c>
      <c r="CO8" s="116">
        <f>'La Amistad'!CU22</f>
        <v>0</v>
      </c>
      <c r="CP8" s="91">
        <f>'La Amistad'!CV22</f>
        <v>0</v>
      </c>
      <c r="CQ8" s="91">
        <f>'La Amistad'!CW22</f>
        <v>0</v>
      </c>
      <c r="CR8" s="116">
        <f>'La Amistad'!CX22</f>
        <v>0</v>
      </c>
      <c r="CS8" s="116">
        <f>'La Amistad'!CY22</f>
        <v>0</v>
      </c>
      <c r="CT8" s="91">
        <f>'La Amistad'!CZ22</f>
        <v>0</v>
      </c>
      <c r="CU8" s="91">
        <f>'La Amistad'!DA22</f>
        <v>0</v>
      </c>
      <c r="CV8" s="116">
        <f>'La Amistad'!DB22</f>
        <v>0</v>
      </c>
      <c r="CW8" s="116">
        <f>'La Amistad'!DC22</f>
        <v>0</v>
      </c>
    </row>
    <row r="9" spans="1:101" ht="15.75" thickBot="1" x14ac:dyDescent="0.3">
      <c r="A9" s="94" t="str">
        <f>Equipos!B6</f>
        <v>Konami</v>
      </c>
      <c r="B9" s="91">
        <f>Konami!H22</f>
        <v>2</v>
      </c>
      <c r="C9" s="91">
        <f>Konami!I22</f>
        <v>0</v>
      </c>
      <c r="D9" s="116">
        <f>Konami!J22</f>
        <v>0</v>
      </c>
      <c r="E9" s="116">
        <f>Konami!K22</f>
        <v>0</v>
      </c>
      <c r="F9" s="91">
        <f>Konami!L22</f>
        <v>4</v>
      </c>
      <c r="G9" s="91">
        <f>Konami!M22</f>
        <v>0</v>
      </c>
      <c r="H9" s="116">
        <f>Konami!N22</f>
        <v>0</v>
      </c>
      <c r="I9" s="116">
        <f>Konami!O22</f>
        <v>0</v>
      </c>
      <c r="J9" s="91">
        <f>Konami!P22</f>
        <v>8</v>
      </c>
      <c r="K9" s="91">
        <f>Konami!Q22</f>
        <v>0</v>
      </c>
      <c r="L9" s="116">
        <f>Konami!R22</f>
        <v>0</v>
      </c>
      <c r="M9" s="116">
        <f>Konami!S22</f>
        <v>0</v>
      </c>
      <c r="N9" s="91">
        <f>Konami!T22</f>
        <v>6</v>
      </c>
      <c r="O9" s="91">
        <f>Konami!U22</f>
        <v>0</v>
      </c>
      <c r="P9" s="116">
        <f>Konami!V22</f>
        <v>0</v>
      </c>
      <c r="Q9" s="116">
        <f>Konami!W22</f>
        <v>0</v>
      </c>
      <c r="R9" s="91">
        <f>Konami!X22</f>
        <v>5</v>
      </c>
      <c r="S9" s="91">
        <f>Konami!Y22</f>
        <v>0</v>
      </c>
      <c r="T9" s="116">
        <f>Konami!Z22</f>
        <v>0</v>
      </c>
      <c r="U9" s="116">
        <f>Konami!AA22</f>
        <v>0</v>
      </c>
      <c r="V9" s="91">
        <f>Konami!AB22</f>
        <v>2</v>
      </c>
      <c r="W9" s="91">
        <f>Konami!AC22</f>
        <v>1</v>
      </c>
      <c r="X9" s="116">
        <f>Konami!AD22</f>
        <v>0</v>
      </c>
      <c r="Y9" s="116">
        <f>Konami!AE22</f>
        <v>0</v>
      </c>
      <c r="Z9" s="91">
        <f>Konami!AF22</f>
        <v>1</v>
      </c>
      <c r="AA9" s="91">
        <f>Konami!AG22</f>
        <v>1</v>
      </c>
      <c r="AB9" s="116">
        <f>Konami!AH22</f>
        <v>0</v>
      </c>
      <c r="AC9" s="116">
        <f>Konami!AI22</f>
        <v>0</v>
      </c>
      <c r="AD9" s="91">
        <f>Konami!AJ22</f>
        <v>3</v>
      </c>
      <c r="AE9" s="91">
        <f>Konami!AK22</f>
        <v>1</v>
      </c>
      <c r="AF9" s="116">
        <f>Konami!AL22</f>
        <v>0</v>
      </c>
      <c r="AG9" s="116">
        <f>Konami!AM22</f>
        <v>0</v>
      </c>
      <c r="AH9" s="91">
        <f>Konami!AN22</f>
        <v>3</v>
      </c>
      <c r="AI9" s="91">
        <f>Konami!AO22</f>
        <v>0</v>
      </c>
      <c r="AJ9" s="116">
        <f>Konami!AP22</f>
        <v>0</v>
      </c>
      <c r="AK9" s="116">
        <f>Konami!AQ22</f>
        <v>0</v>
      </c>
      <c r="AL9" s="91">
        <f>Konami!AR22</f>
        <v>1</v>
      </c>
      <c r="AM9" s="91">
        <f>Konami!AS22</f>
        <v>1</v>
      </c>
      <c r="AN9" s="116">
        <f>Konami!AT22</f>
        <v>0</v>
      </c>
      <c r="AO9" s="116">
        <f>Konami!AU22</f>
        <v>0</v>
      </c>
      <c r="AP9" s="91">
        <f>Konami!AV22</f>
        <v>6</v>
      </c>
      <c r="AQ9" s="91">
        <f>Konami!AW22</f>
        <v>0</v>
      </c>
      <c r="AR9" s="116">
        <f>Konami!AX22</f>
        <v>0</v>
      </c>
      <c r="AS9" s="116">
        <f>Konami!AY22</f>
        <v>0</v>
      </c>
      <c r="AT9" s="91">
        <f>Konami!AZ22</f>
        <v>3</v>
      </c>
      <c r="AU9" s="91">
        <f>Konami!BA22</f>
        <v>0</v>
      </c>
      <c r="AV9" s="116">
        <f>Konami!BB22</f>
        <v>0</v>
      </c>
      <c r="AW9" s="116">
        <f>Konami!BC22</f>
        <v>0</v>
      </c>
      <c r="AX9" s="91">
        <f>Konami!BD22</f>
        <v>5</v>
      </c>
      <c r="AY9" s="91">
        <f>Konami!BE22</f>
        <v>0</v>
      </c>
      <c r="AZ9" s="116">
        <f>Konami!BF22</f>
        <v>0</v>
      </c>
      <c r="BA9" s="116">
        <f>Konami!BG22</f>
        <v>0</v>
      </c>
      <c r="BB9" s="91">
        <f>Konami!BH22</f>
        <v>4</v>
      </c>
      <c r="BC9" s="91">
        <f>Konami!BI22</f>
        <v>1</v>
      </c>
      <c r="BD9" s="116">
        <f>Konami!BJ22</f>
        <v>0</v>
      </c>
      <c r="BE9" s="116">
        <f>Konami!BK22</f>
        <v>0</v>
      </c>
      <c r="BF9" s="91">
        <f>Konami!BL22</f>
        <v>4</v>
      </c>
      <c r="BG9" s="91">
        <f>Konami!BM22</f>
        <v>1</v>
      </c>
      <c r="BH9" s="116">
        <f>Konami!BN22</f>
        <v>0</v>
      </c>
      <c r="BI9" s="116">
        <f>Konami!BO22</f>
        <v>0</v>
      </c>
      <c r="BJ9" s="91">
        <f>Konami!BP22</f>
        <v>0</v>
      </c>
      <c r="BK9" s="91">
        <f>Konami!BQ22</f>
        <v>1</v>
      </c>
      <c r="BL9" s="116">
        <f>Konami!BR22</f>
        <v>0</v>
      </c>
      <c r="BM9" s="116">
        <f>Konami!BS22</f>
        <v>0</v>
      </c>
      <c r="BN9" s="91">
        <f>Konami!BT22</f>
        <v>0</v>
      </c>
      <c r="BO9" s="91">
        <f>Konami!BU22</f>
        <v>0</v>
      </c>
      <c r="BP9" s="116">
        <f>Konami!BV22</f>
        <v>0</v>
      </c>
      <c r="BQ9" s="116">
        <f>Konami!BW22</f>
        <v>0</v>
      </c>
      <c r="BR9" s="91">
        <f>Konami!BX22</f>
        <v>2</v>
      </c>
      <c r="BS9" s="91">
        <f>Konami!BY22</f>
        <v>1</v>
      </c>
      <c r="BT9" s="116">
        <f>Konami!BZ22</f>
        <v>0</v>
      </c>
      <c r="BU9" s="116">
        <f>Konami!CA22</f>
        <v>0</v>
      </c>
      <c r="BV9" s="91">
        <f>Konami!CB22</f>
        <v>2</v>
      </c>
      <c r="BW9" s="91">
        <f>Konami!CC22</f>
        <v>1</v>
      </c>
      <c r="BX9" s="116">
        <f>Konami!CD22</f>
        <v>0</v>
      </c>
      <c r="BY9" s="116">
        <f>Konami!CE22</f>
        <v>0</v>
      </c>
      <c r="BZ9" s="91">
        <f>Konami!CF22</f>
        <v>5</v>
      </c>
      <c r="CA9" s="91">
        <f>Konami!CG22</f>
        <v>0</v>
      </c>
      <c r="CB9" s="116">
        <f>Konami!CH22</f>
        <v>0</v>
      </c>
      <c r="CC9" s="116">
        <f>Konami!CI22</f>
        <v>0</v>
      </c>
      <c r="CD9" s="91">
        <f>Konami!CJ22</f>
        <v>3</v>
      </c>
      <c r="CE9" s="91">
        <f>Konami!CK22</f>
        <v>0</v>
      </c>
      <c r="CF9" s="116">
        <f>Konami!CL22</f>
        <v>0</v>
      </c>
      <c r="CG9" s="116">
        <f>Konami!CM22</f>
        <v>0</v>
      </c>
      <c r="CH9" s="91">
        <f>Konami!CN22</f>
        <v>0</v>
      </c>
      <c r="CI9" s="91">
        <f>Konami!CO22</f>
        <v>0</v>
      </c>
      <c r="CJ9" s="116">
        <f>Konami!CP22</f>
        <v>0</v>
      </c>
      <c r="CK9" s="116">
        <f>Konami!CQ22</f>
        <v>0</v>
      </c>
      <c r="CL9" s="91">
        <f>Konami!CR22</f>
        <v>5</v>
      </c>
      <c r="CM9" s="91">
        <f>Konami!CS22</f>
        <v>0</v>
      </c>
      <c r="CN9" s="116">
        <f>Konami!CT22</f>
        <v>0</v>
      </c>
      <c r="CO9" s="116">
        <f>Konami!CU22</f>
        <v>0</v>
      </c>
      <c r="CP9" s="91">
        <f>Konami!CV22</f>
        <v>1</v>
      </c>
      <c r="CQ9" s="91">
        <f>Konami!CW22</f>
        <v>0</v>
      </c>
      <c r="CR9" s="116">
        <f>Konami!CX22</f>
        <v>0</v>
      </c>
      <c r="CS9" s="116">
        <f>Konami!CY22</f>
        <v>0</v>
      </c>
      <c r="CT9" s="91">
        <f>Konami!CZ22</f>
        <v>0</v>
      </c>
      <c r="CU9" s="91">
        <f>Konami!DA22</f>
        <v>0</v>
      </c>
      <c r="CV9" s="116">
        <f>Konami!DB22</f>
        <v>0</v>
      </c>
      <c r="CW9" s="116">
        <f>Konami!DC22</f>
        <v>0</v>
      </c>
    </row>
    <row r="10" spans="1:101" ht="15.75" thickBot="1" x14ac:dyDescent="0.3">
      <c r="A10" s="94" t="str">
        <f>Equipos!B7</f>
        <v>Villanueva</v>
      </c>
      <c r="B10" s="91">
        <f>Villanueva!H22</f>
        <v>3</v>
      </c>
      <c r="C10" s="91">
        <f>Villanueva!I22</f>
        <v>0</v>
      </c>
      <c r="D10" s="116">
        <f>Villanueva!J22</f>
        <v>0</v>
      </c>
      <c r="E10" s="116">
        <f>Villanueva!K22</f>
        <v>1</v>
      </c>
      <c r="F10" s="91">
        <f>Villanueva!L22</f>
        <v>3</v>
      </c>
      <c r="G10" s="91">
        <f>Villanueva!M22</f>
        <v>1</v>
      </c>
      <c r="H10" s="116">
        <f>Villanueva!N22</f>
        <v>0</v>
      </c>
      <c r="I10" s="116">
        <f>Villanueva!O22</f>
        <v>0</v>
      </c>
      <c r="J10" s="91">
        <f>Villanueva!P22</f>
        <v>10</v>
      </c>
      <c r="K10" s="91">
        <f>Villanueva!Q22</f>
        <v>0</v>
      </c>
      <c r="L10" s="116">
        <f>Villanueva!R22</f>
        <v>0</v>
      </c>
      <c r="M10" s="116">
        <f>Villanueva!S22</f>
        <v>0</v>
      </c>
      <c r="N10" s="91">
        <f>Villanueva!T22</f>
        <v>4</v>
      </c>
      <c r="O10" s="91">
        <f>Villanueva!U22</f>
        <v>2</v>
      </c>
      <c r="P10" s="116">
        <f>Villanueva!V22</f>
        <v>0</v>
      </c>
      <c r="Q10" s="116">
        <f>Villanueva!W22</f>
        <v>2</v>
      </c>
      <c r="R10" s="91">
        <f>Villanueva!X22</f>
        <v>9</v>
      </c>
      <c r="S10" s="91">
        <f>Villanueva!Y22</f>
        <v>1</v>
      </c>
      <c r="T10" s="116">
        <f>Villanueva!Z22</f>
        <v>1</v>
      </c>
      <c r="U10" s="116">
        <f>Villanueva!AA22</f>
        <v>0</v>
      </c>
      <c r="V10" s="91">
        <f>Villanueva!AB22</f>
        <v>0</v>
      </c>
      <c r="W10" s="91">
        <f>Villanueva!AC22</f>
        <v>0</v>
      </c>
      <c r="X10" s="116">
        <f>Villanueva!AD22</f>
        <v>1</v>
      </c>
      <c r="Y10" s="116">
        <f>Villanueva!AE22</f>
        <v>0</v>
      </c>
      <c r="Z10" s="91">
        <f>Villanueva!AF22</f>
        <v>2</v>
      </c>
      <c r="AA10" s="91">
        <f>Villanueva!AG22</f>
        <v>0</v>
      </c>
      <c r="AB10" s="116">
        <f>Villanueva!AH22</f>
        <v>0</v>
      </c>
      <c r="AC10" s="116">
        <f>Villanueva!AI22</f>
        <v>0</v>
      </c>
      <c r="AD10" s="91">
        <f>Villanueva!AJ22</f>
        <v>1</v>
      </c>
      <c r="AE10" s="91">
        <f>Villanueva!AK22</f>
        <v>2</v>
      </c>
      <c r="AF10" s="116">
        <f>Villanueva!AL22</f>
        <v>0</v>
      </c>
      <c r="AG10" s="116">
        <f>Villanueva!AM22</f>
        <v>0</v>
      </c>
      <c r="AH10" s="91">
        <f>Villanueva!AN22</f>
        <v>0</v>
      </c>
      <c r="AI10" s="91">
        <f>Villanueva!AO22</f>
        <v>3</v>
      </c>
      <c r="AJ10" s="116">
        <f>Villanueva!AP22</f>
        <v>0</v>
      </c>
      <c r="AK10" s="116">
        <f>Villanueva!AQ22</f>
        <v>0</v>
      </c>
      <c r="AL10" s="91">
        <f>Villanueva!AR22</f>
        <v>3</v>
      </c>
      <c r="AM10" s="91">
        <f>Villanueva!AS22</f>
        <v>1</v>
      </c>
      <c r="AN10" s="116">
        <f>Villanueva!AT22</f>
        <v>0</v>
      </c>
      <c r="AO10" s="116">
        <f>Villanueva!AU22</f>
        <v>0</v>
      </c>
      <c r="AP10" s="91">
        <f>Villanueva!AV22</f>
        <v>5</v>
      </c>
      <c r="AQ10" s="91">
        <f>Villanueva!AW22</f>
        <v>2</v>
      </c>
      <c r="AR10" s="116">
        <f>Villanueva!AX22</f>
        <v>0</v>
      </c>
      <c r="AS10" s="116">
        <f>Villanueva!AY22</f>
        <v>0</v>
      </c>
      <c r="AT10" s="91">
        <f>Villanueva!AZ22</f>
        <v>0</v>
      </c>
      <c r="AU10" s="91">
        <f>Villanueva!BA22</f>
        <v>0</v>
      </c>
      <c r="AV10" s="116">
        <f>Villanueva!BB22</f>
        <v>0</v>
      </c>
      <c r="AW10" s="116">
        <f>Villanueva!BC22</f>
        <v>3</v>
      </c>
      <c r="AX10" s="91">
        <f>Villanueva!BD22</f>
        <v>5</v>
      </c>
      <c r="AY10" s="91">
        <f>Villanueva!BE22</f>
        <v>1</v>
      </c>
      <c r="AZ10" s="116">
        <f>Villanueva!BF22</f>
        <v>0</v>
      </c>
      <c r="BA10" s="116">
        <f>Villanueva!BG22</f>
        <v>0</v>
      </c>
      <c r="BB10" s="91">
        <f>Villanueva!BH22</f>
        <v>1</v>
      </c>
      <c r="BC10" s="91">
        <f>Villanueva!BI22</f>
        <v>2</v>
      </c>
      <c r="BD10" s="116">
        <f>Villanueva!BJ22</f>
        <v>0</v>
      </c>
      <c r="BE10" s="116">
        <f>Villanueva!BK22</f>
        <v>0</v>
      </c>
      <c r="BF10" s="91">
        <f>Villanueva!BL22</f>
        <v>3</v>
      </c>
      <c r="BG10" s="91">
        <f>Villanueva!BM22</f>
        <v>0</v>
      </c>
      <c r="BH10" s="116">
        <f>Villanueva!BN22</f>
        <v>0</v>
      </c>
      <c r="BI10" s="116">
        <f>Villanueva!BO22</f>
        <v>0</v>
      </c>
      <c r="BJ10" s="91">
        <f>Villanueva!BP22</f>
        <v>3</v>
      </c>
      <c r="BK10" s="91">
        <f>Villanueva!BQ22</f>
        <v>1</v>
      </c>
      <c r="BL10" s="116">
        <f>Villanueva!BR22</f>
        <v>0</v>
      </c>
      <c r="BM10" s="116">
        <f>Villanueva!BS22</f>
        <v>0</v>
      </c>
      <c r="BN10" s="91">
        <f>Villanueva!BT22</f>
        <v>4</v>
      </c>
      <c r="BO10" s="91">
        <f>Villanueva!BU22</f>
        <v>0</v>
      </c>
      <c r="BP10" s="116">
        <f>Villanueva!BV22</f>
        <v>0</v>
      </c>
      <c r="BQ10" s="116">
        <f>Villanueva!BW22</f>
        <v>0</v>
      </c>
      <c r="BR10" s="91">
        <f>Villanueva!BX22</f>
        <v>3</v>
      </c>
      <c r="BS10" s="91">
        <f>Villanueva!BY22</f>
        <v>0</v>
      </c>
      <c r="BT10" s="116">
        <f>Villanueva!BZ22</f>
        <v>0</v>
      </c>
      <c r="BU10" s="116">
        <f>Villanueva!CA22</f>
        <v>0</v>
      </c>
      <c r="BV10" s="91">
        <f>Villanueva!CB22</f>
        <v>6</v>
      </c>
      <c r="BW10" s="91">
        <f>Villanueva!CC22</f>
        <v>0</v>
      </c>
      <c r="BX10" s="116">
        <f>Villanueva!CD22</f>
        <v>0</v>
      </c>
      <c r="BY10" s="116">
        <f>Villanueva!CE22</f>
        <v>0</v>
      </c>
      <c r="BZ10" s="91">
        <f>Villanueva!CF22</f>
        <v>0</v>
      </c>
      <c r="CA10" s="91">
        <f>Villanueva!CG22</f>
        <v>0</v>
      </c>
      <c r="CB10" s="116">
        <f>Villanueva!CH22</f>
        <v>0</v>
      </c>
      <c r="CC10" s="116">
        <f>Villanueva!CI22</f>
        <v>0</v>
      </c>
      <c r="CD10" s="91">
        <f>Villanueva!CJ22</f>
        <v>2</v>
      </c>
      <c r="CE10" s="91">
        <f>Villanueva!CK22</f>
        <v>2</v>
      </c>
      <c r="CF10" s="116">
        <f>Villanueva!CL22</f>
        <v>0</v>
      </c>
      <c r="CG10" s="116">
        <f>Villanueva!CM22</f>
        <v>0</v>
      </c>
      <c r="CH10" s="91">
        <f>Villanueva!CN22</f>
        <v>4</v>
      </c>
      <c r="CI10" s="91">
        <f>Villanueva!CO22</f>
        <v>0</v>
      </c>
      <c r="CJ10" s="116">
        <f>Villanueva!CP22</f>
        <v>0</v>
      </c>
      <c r="CK10" s="116">
        <f>Villanueva!CQ22</f>
        <v>0</v>
      </c>
      <c r="CL10" s="91">
        <f>Villanueva!CR22</f>
        <v>0</v>
      </c>
      <c r="CM10" s="91">
        <f>Villanueva!CS22</f>
        <v>3</v>
      </c>
      <c r="CN10" s="116">
        <f>Villanueva!CT22</f>
        <v>0</v>
      </c>
      <c r="CO10" s="116">
        <f>Villanueva!CU22</f>
        <v>1</v>
      </c>
      <c r="CP10" s="91">
        <f>Villanueva!CV22</f>
        <v>0</v>
      </c>
      <c r="CQ10" s="91">
        <f>Villanueva!CW22</f>
        <v>0</v>
      </c>
      <c r="CR10" s="116">
        <f>Villanueva!CX22</f>
        <v>0</v>
      </c>
      <c r="CS10" s="116">
        <f>Villanueva!CY22</f>
        <v>0</v>
      </c>
      <c r="CT10" s="91">
        <f>Villanueva!CZ22</f>
        <v>0</v>
      </c>
      <c r="CU10" s="91">
        <f>Villanueva!DA22</f>
        <v>0</v>
      </c>
      <c r="CV10" s="116">
        <f>Villanueva!DB22</f>
        <v>0</v>
      </c>
      <c r="CW10" s="116">
        <f>Villanueva!DC22</f>
        <v>0</v>
      </c>
    </row>
    <row r="11" spans="1:101" ht="15.75" thickBot="1" x14ac:dyDescent="0.3">
      <c r="A11" s="94" t="str">
        <f>Equipos!B8</f>
        <v>Ron Star</v>
      </c>
      <c r="B11" s="91">
        <f>'Ron Star'!H22</f>
        <v>3</v>
      </c>
      <c r="C11" s="91">
        <f>'Ron Star'!I22</f>
        <v>0</v>
      </c>
      <c r="D11" s="116">
        <f>'Ron Star'!J22</f>
        <v>0</v>
      </c>
      <c r="E11" s="116">
        <f>'Ron Star'!K22</f>
        <v>0</v>
      </c>
      <c r="F11" s="91">
        <f>'Ron Star'!L22</f>
        <v>2</v>
      </c>
      <c r="G11" s="91">
        <f>'Ron Star'!M22</f>
        <v>1</v>
      </c>
      <c r="H11" s="116">
        <f>'Ron Star'!N22</f>
        <v>0</v>
      </c>
      <c r="I11" s="116">
        <f>'Ron Star'!O22</f>
        <v>0</v>
      </c>
      <c r="J11" s="91">
        <f>'Ron Star'!P22</f>
        <v>1</v>
      </c>
      <c r="K11" s="91">
        <f>'Ron Star'!Q22</f>
        <v>1</v>
      </c>
      <c r="L11" s="116">
        <f>'Ron Star'!R22</f>
        <v>0</v>
      </c>
      <c r="M11" s="116">
        <f>'Ron Star'!S22</f>
        <v>0</v>
      </c>
      <c r="N11" s="91">
        <f>'Ron Star'!T22</f>
        <v>5</v>
      </c>
      <c r="O11" s="91">
        <f>'Ron Star'!U22</f>
        <v>1</v>
      </c>
      <c r="P11" s="116">
        <f>'Ron Star'!V22</f>
        <v>0</v>
      </c>
      <c r="Q11" s="116">
        <f>'Ron Star'!W22</f>
        <v>0</v>
      </c>
      <c r="R11" s="91">
        <f>'Ron Star'!X22</f>
        <v>8</v>
      </c>
      <c r="S11" s="91">
        <f>'Ron Star'!Y22</f>
        <v>1</v>
      </c>
      <c r="T11" s="116">
        <f>'Ron Star'!Z22</f>
        <v>0</v>
      </c>
      <c r="U11" s="116">
        <f>'Ron Star'!AA22</f>
        <v>0</v>
      </c>
      <c r="V11" s="91">
        <f>'Ron Star'!AB22</f>
        <v>9</v>
      </c>
      <c r="W11" s="91">
        <f>'Ron Star'!AC22</f>
        <v>0</v>
      </c>
      <c r="X11" s="116">
        <f>'Ron Star'!AD22</f>
        <v>0</v>
      </c>
      <c r="Y11" s="116">
        <f>'Ron Star'!AE22</f>
        <v>0</v>
      </c>
      <c r="Z11" s="91">
        <f>'Ron Star'!AF22</f>
        <v>5</v>
      </c>
      <c r="AA11" s="91">
        <f>'Ron Star'!AG22</f>
        <v>0</v>
      </c>
      <c r="AB11" s="116">
        <f>'Ron Star'!AH22</f>
        <v>0</v>
      </c>
      <c r="AC11" s="116">
        <f>'Ron Star'!AI22</f>
        <v>0</v>
      </c>
      <c r="AD11" s="91">
        <f>'Ron Star'!AJ22</f>
        <v>0</v>
      </c>
      <c r="AE11" s="91">
        <f>'Ron Star'!AK22</f>
        <v>0</v>
      </c>
      <c r="AF11" s="116">
        <f>'Ron Star'!AL22</f>
        <v>0</v>
      </c>
      <c r="AG11" s="116">
        <f>'Ron Star'!AM22</f>
        <v>0</v>
      </c>
      <c r="AH11" s="91">
        <f>'Ron Star'!AN22</f>
        <v>3</v>
      </c>
      <c r="AI11" s="91">
        <f>'Ron Star'!AO22</f>
        <v>1</v>
      </c>
      <c r="AJ11" s="116">
        <f>'Ron Star'!AP22</f>
        <v>0</v>
      </c>
      <c r="AK11" s="116">
        <f>'Ron Star'!AQ22</f>
        <v>0</v>
      </c>
      <c r="AL11" s="91">
        <f>'Ron Star'!AR22</f>
        <v>7</v>
      </c>
      <c r="AM11" s="91">
        <f>'Ron Star'!AS22</f>
        <v>2</v>
      </c>
      <c r="AN11" s="116">
        <f>'Ron Star'!AT22</f>
        <v>0</v>
      </c>
      <c r="AO11" s="116">
        <f>'Ron Star'!AU22</f>
        <v>0</v>
      </c>
      <c r="AP11" s="91">
        <f>'Ron Star'!AV22</f>
        <v>3</v>
      </c>
      <c r="AQ11" s="91">
        <f>'Ron Star'!AW22</f>
        <v>1</v>
      </c>
      <c r="AR11" s="116">
        <f>'Ron Star'!AX22</f>
        <v>0</v>
      </c>
      <c r="AS11" s="116">
        <f>'Ron Star'!AY22</f>
        <v>0</v>
      </c>
      <c r="AT11" s="91">
        <f>'Ron Star'!AZ22</f>
        <v>5</v>
      </c>
      <c r="AU11" s="91">
        <f>'Ron Star'!BA22</f>
        <v>0</v>
      </c>
      <c r="AV11" s="116">
        <f>'Ron Star'!BB22</f>
        <v>0</v>
      </c>
      <c r="AW11" s="116">
        <f>'Ron Star'!BC22</f>
        <v>0</v>
      </c>
      <c r="AX11" s="91">
        <f>'Ron Star'!BD22</f>
        <v>8</v>
      </c>
      <c r="AY11" s="91">
        <f>'Ron Star'!BE22</f>
        <v>1</v>
      </c>
      <c r="AZ11" s="116">
        <f>'Ron Star'!BF22</f>
        <v>0</v>
      </c>
      <c r="BA11" s="116">
        <f>'Ron Star'!BG22</f>
        <v>0</v>
      </c>
      <c r="BB11" s="91">
        <f>'Ron Star'!BH22</f>
        <v>1</v>
      </c>
      <c r="BC11" s="91">
        <f>'Ron Star'!BI22</f>
        <v>0</v>
      </c>
      <c r="BD11" s="116">
        <f>'Ron Star'!BJ22</f>
        <v>0</v>
      </c>
      <c r="BE11" s="116">
        <f>'Ron Star'!BK22</f>
        <v>0</v>
      </c>
      <c r="BF11" s="91">
        <f>'Ron Star'!BL22</f>
        <v>9</v>
      </c>
      <c r="BG11" s="91">
        <f>'Ron Star'!BM22</f>
        <v>1</v>
      </c>
      <c r="BH11" s="116">
        <f>'Ron Star'!BN22</f>
        <v>0</v>
      </c>
      <c r="BI11" s="116">
        <f>'Ron Star'!BO22</f>
        <v>0</v>
      </c>
      <c r="BJ11" s="91">
        <f>'Ron Star'!BP22</f>
        <v>6</v>
      </c>
      <c r="BK11" s="91">
        <f>'Ron Star'!BQ22</f>
        <v>1</v>
      </c>
      <c r="BL11" s="116">
        <f>'Ron Star'!BR22</f>
        <v>0</v>
      </c>
      <c r="BM11" s="116">
        <f>'Ron Star'!BS22</f>
        <v>0</v>
      </c>
      <c r="BN11" s="91">
        <f>'Ron Star'!BT22</f>
        <v>1</v>
      </c>
      <c r="BO11" s="91">
        <f>'Ron Star'!BU22</f>
        <v>2</v>
      </c>
      <c r="BP11" s="116">
        <f>'Ron Star'!BV22</f>
        <v>0</v>
      </c>
      <c r="BQ11" s="116">
        <f>'Ron Star'!BW22</f>
        <v>0</v>
      </c>
      <c r="BR11" s="91">
        <f>'Ron Star'!BX22</f>
        <v>7</v>
      </c>
      <c r="BS11" s="91">
        <f>'Ron Star'!BY22</f>
        <v>0</v>
      </c>
      <c r="BT11" s="116">
        <f>'Ron Star'!BZ22</f>
        <v>0</v>
      </c>
      <c r="BU11" s="116">
        <f>'Ron Star'!CA22</f>
        <v>0</v>
      </c>
      <c r="BV11" s="91">
        <f>'Ron Star'!CB22</f>
        <v>5</v>
      </c>
      <c r="BW11" s="91">
        <f>'Ron Star'!CC22</f>
        <v>0</v>
      </c>
      <c r="BX11" s="116">
        <f>'Ron Star'!CD22</f>
        <v>0</v>
      </c>
      <c r="BY11" s="116">
        <f>'Ron Star'!CE22</f>
        <v>0</v>
      </c>
      <c r="BZ11" s="91">
        <f>'Ron Star'!CF22</f>
        <v>2</v>
      </c>
      <c r="CA11" s="91">
        <f>'Ron Star'!CG22</f>
        <v>0</v>
      </c>
      <c r="CB11" s="116">
        <f>'Ron Star'!CH22</f>
        <v>0</v>
      </c>
      <c r="CC11" s="116">
        <f>'Ron Star'!CI22</f>
        <v>0</v>
      </c>
      <c r="CD11" s="91">
        <f>'Ron Star'!CJ22</f>
        <v>1</v>
      </c>
      <c r="CE11" s="91">
        <f>'Ron Star'!CK22</f>
        <v>2</v>
      </c>
      <c r="CF11" s="116">
        <f>'Ron Star'!CL22</f>
        <v>0</v>
      </c>
      <c r="CG11" s="116">
        <f>'Ron Star'!CM22</f>
        <v>0</v>
      </c>
      <c r="CH11" s="91">
        <f>'Ron Star'!CN22</f>
        <v>3</v>
      </c>
      <c r="CI11" s="91">
        <f>'Ron Star'!CO22</f>
        <v>1</v>
      </c>
      <c r="CJ11" s="116">
        <f>'Ron Star'!CP22</f>
        <v>0</v>
      </c>
      <c r="CK11" s="116">
        <f>'Ron Star'!CQ22</f>
        <v>0</v>
      </c>
      <c r="CL11" s="91">
        <f>'Ron Star'!CR22</f>
        <v>3</v>
      </c>
      <c r="CM11" s="91">
        <f>'Ron Star'!CS22</f>
        <v>2</v>
      </c>
      <c r="CN11" s="116">
        <f>'Ron Star'!CT22</f>
        <v>0</v>
      </c>
      <c r="CO11" s="116">
        <f>'Ron Star'!CU22</f>
        <v>0</v>
      </c>
      <c r="CP11" s="91">
        <f>'Ron Star'!CV22</f>
        <v>4</v>
      </c>
      <c r="CQ11" s="91">
        <f>'Ron Star'!CW22</f>
        <v>1</v>
      </c>
      <c r="CR11" s="116">
        <f>'Ron Star'!CX22</f>
        <v>0</v>
      </c>
      <c r="CS11" s="116">
        <f>'Ron Star'!CY22</f>
        <v>0</v>
      </c>
      <c r="CT11" s="91">
        <f>'Ron Star'!CZ22</f>
        <v>0</v>
      </c>
      <c r="CU11" s="91">
        <f>'Ron Star'!DA22</f>
        <v>0</v>
      </c>
      <c r="CV11" s="116">
        <f>'Ron Star'!DB22</f>
        <v>0</v>
      </c>
      <c r="CW11" s="116">
        <f>'Ron Star'!DC22</f>
        <v>0</v>
      </c>
    </row>
    <row r="12" spans="1:101" ht="15.75" thickBot="1" x14ac:dyDescent="0.3">
      <c r="A12" s="94" t="str">
        <f>Equipos!B9</f>
        <v>Amenadim</v>
      </c>
      <c r="B12" s="91">
        <f>Amenadim!H22</f>
        <v>3</v>
      </c>
      <c r="C12" s="91">
        <f>Amenadim!I22</f>
        <v>0</v>
      </c>
      <c r="D12" s="116">
        <f>Amenadim!J22</f>
        <v>0</v>
      </c>
      <c r="E12" s="116">
        <f>Amenadim!K22</f>
        <v>0</v>
      </c>
      <c r="F12" s="91">
        <f>Amenadim!L22</f>
        <v>3</v>
      </c>
      <c r="G12" s="91">
        <f>Amenadim!M22</f>
        <v>0</v>
      </c>
      <c r="H12" s="116">
        <f>Amenadim!N22</f>
        <v>0</v>
      </c>
      <c r="I12" s="116">
        <f>Amenadim!O22</f>
        <v>0</v>
      </c>
      <c r="J12" s="91">
        <f>Amenadim!P22</f>
        <v>10</v>
      </c>
      <c r="K12" s="91">
        <f>Amenadim!Q22</f>
        <v>0</v>
      </c>
      <c r="L12" s="116">
        <f>Amenadim!R22</f>
        <v>0</v>
      </c>
      <c r="M12" s="116">
        <f>Amenadim!S22</f>
        <v>0</v>
      </c>
      <c r="N12" s="91">
        <f>Amenadim!T22</f>
        <v>4</v>
      </c>
      <c r="O12" s="91">
        <f>Amenadim!U22</f>
        <v>0</v>
      </c>
      <c r="P12" s="116">
        <f>Amenadim!V22</f>
        <v>0</v>
      </c>
      <c r="Q12" s="116">
        <f>Amenadim!W22</f>
        <v>0</v>
      </c>
      <c r="R12" s="91">
        <f>Amenadim!X22</f>
        <v>1</v>
      </c>
      <c r="S12" s="91">
        <f>Amenadim!Y22</f>
        <v>2</v>
      </c>
      <c r="T12" s="116">
        <f>Amenadim!Z22</f>
        <v>0</v>
      </c>
      <c r="U12" s="116">
        <f>Amenadim!AA22</f>
        <v>1</v>
      </c>
      <c r="V12" s="91">
        <f>Amenadim!AB22</f>
        <v>2</v>
      </c>
      <c r="W12" s="91">
        <f>Amenadim!AC22</f>
        <v>0</v>
      </c>
      <c r="X12" s="116">
        <f>Amenadim!AD22</f>
        <v>0</v>
      </c>
      <c r="Y12" s="116">
        <f>Amenadim!AE22</f>
        <v>0</v>
      </c>
      <c r="Z12" s="91">
        <f>Amenadim!AF22</f>
        <v>4</v>
      </c>
      <c r="AA12" s="91">
        <f>Amenadim!AG22</f>
        <v>1</v>
      </c>
      <c r="AB12" s="116">
        <f>Amenadim!AH22</f>
        <v>0</v>
      </c>
      <c r="AC12" s="116">
        <f>Amenadim!AI22</f>
        <v>0</v>
      </c>
      <c r="AD12" s="91">
        <f>Amenadim!AJ22</f>
        <v>2</v>
      </c>
      <c r="AE12" s="91">
        <f>Amenadim!AK22</f>
        <v>1</v>
      </c>
      <c r="AF12" s="116">
        <f>Amenadim!AL22</f>
        <v>0</v>
      </c>
      <c r="AG12" s="116">
        <f>Amenadim!AM22</f>
        <v>0</v>
      </c>
      <c r="AH12" s="91">
        <f>Amenadim!AN22</f>
        <v>4</v>
      </c>
      <c r="AI12" s="91">
        <f>Amenadim!AO22</f>
        <v>1</v>
      </c>
      <c r="AJ12" s="116">
        <f>Amenadim!AP22</f>
        <v>0</v>
      </c>
      <c r="AK12" s="116">
        <f>Amenadim!AQ22</f>
        <v>0</v>
      </c>
      <c r="AL12" s="91">
        <f>Amenadim!AR22</f>
        <v>4</v>
      </c>
      <c r="AM12" s="91">
        <f>Amenadim!AS22</f>
        <v>2</v>
      </c>
      <c r="AN12" s="116">
        <f>Amenadim!AT22</f>
        <v>0</v>
      </c>
      <c r="AO12" s="116">
        <f>Amenadim!AU22</f>
        <v>0</v>
      </c>
      <c r="AP12" s="91">
        <f>Amenadim!AV22</f>
        <v>0</v>
      </c>
      <c r="AQ12" s="91">
        <f>Amenadim!AW22</f>
        <v>0</v>
      </c>
      <c r="AR12" s="116">
        <f>Amenadim!AX22</f>
        <v>0</v>
      </c>
      <c r="AS12" s="116">
        <f>Amenadim!AY22</f>
        <v>0</v>
      </c>
      <c r="AT12" s="91">
        <f>Amenadim!AZ22</f>
        <v>8</v>
      </c>
      <c r="AU12" s="91">
        <f>Amenadim!BA22</f>
        <v>1</v>
      </c>
      <c r="AV12" s="116">
        <f>Amenadim!BB22</f>
        <v>0</v>
      </c>
      <c r="AW12" s="116">
        <f>Amenadim!BC22</f>
        <v>1</v>
      </c>
      <c r="AX12" s="91">
        <f>Amenadim!BD22</f>
        <v>3</v>
      </c>
      <c r="AY12" s="91">
        <f>Amenadim!BE22</f>
        <v>0</v>
      </c>
      <c r="AZ12" s="116">
        <f>Amenadim!BF22</f>
        <v>0</v>
      </c>
      <c r="BA12" s="116">
        <f>Amenadim!BG22</f>
        <v>0</v>
      </c>
      <c r="BB12" s="91">
        <f>Amenadim!BH22</f>
        <v>1</v>
      </c>
      <c r="BC12" s="91">
        <f>Amenadim!BI22</f>
        <v>0</v>
      </c>
      <c r="BD12" s="116">
        <f>Amenadim!BJ22</f>
        <v>0</v>
      </c>
      <c r="BE12" s="116">
        <f>Amenadim!BK22</f>
        <v>0</v>
      </c>
      <c r="BF12" s="91">
        <f>Amenadim!BL22</f>
        <v>2</v>
      </c>
      <c r="BG12" s="91">
        <f>Amenadim!BM22</f>
        <v>2</v>
      </c>
      <c r="BH12" s="116">
        <f>Amenadim!BN22</f>
        <v>0</v>
      </c>
      <c r="BI12" s="116">
        <f>Amenadim!BO22</f>
        <v>0</v>
      </c>
      <c r="BJ12" s="91">
        <f>Amenadim!BP22</f>
        <v>5</v>
      </c>
      <c r="BK12" s="91">
        <f>Amenadim!BQ22</f>
        <v>1</v>
      </c>
      <c r="BL12" s="116">
        <f>Amenadim!BR22</f>
        <v>0</v>
      </c>
      <c r="BM12" s="116">
        <f>Amenadim!BS22</f>
        <v>0</v>
      </c>
      <c r="BN12" s="91">
        <f>Amenadim!BT22</f>
        <v>0</v>
      </c>
      <c r="BO12" s="91">
        <f>Amenadim!BU22</f>
        <v>2</v>
      </c>
      <c r="BP12" s="116">
        <f>Amenadim!BV22</f>
        <v>0</v>
      </c>
      <c r="BQ12" s="116">
        <f>Amenadim!BW22</f>
        <v>0</v>
      </c>
      <c r="BR12" s="91">
        <f>Amenadim!BX22</f>
        <v>0</v>
      </c>
      <c r="BS12" s="91">
        <f>Amenadim!BY22</f>
        <v>0</v>
      </c>
      <c r="BT12" s="116">
        <f>Amenadim!BZ22</f>
        <v>0</v>
      </c>
      <c r="BU12" s="116">
        <f>Amenadim!CA22</f>
        <v>0</v>
      </c>
      <c r="BV12" s="91">
        <f>Amenadim!CB22</f>
        <v>1</v>
      </c>
      <c r="BW12" s="91">
        <f>Amenadim!CC22</f>
        <v>0</v>
      </c>
      <c r="BX12" s="116">
        <f>Amenadim!CD22</f>
        <v>0</v>
      </c>
      <c r="BY12" s="116">
        <f>Amenadim!CE22</f>
        <v>0</v>
      </c>
      <c r="BZ12" s="91">
        <f>Amenadim!CF22</f>
        <v>2</v>
      </c>
      <c r="CA12" s="91">
        <f>Amenadim!CG22</f>
        <v>2</v>
      </c>
      <c r="CB12" s="116">
        <f>Amenadim!CH22</f>
        <v>0</v>
      </c>
      <c r="CC12" s="116">
        <f>Amenadim!CI22</f>
        <v>0</v>
      </c>
      <c r="CD12" s="91">
        <f>Amenadim!CJ22</f>
        <v>8</v>
      </c>
      <c r="CE12" s="91">
        <f>Amenadim!CK22</f>
        <v>0</v>
      </c>
      <c r="CF12" s="116">
        <f>Amenadim!CL22</f>
        <v>0</v>
      </c>
      <c r="CG12" s="116">
        <f>Amenadim!CM22</f>
        <v>0</v>
      </c>
      <c r="CH12" s="91">
        <f>Amenadim!CN22</f>
        <v>3</v>
      </c>
      <c r="CI12" s="91">
        <f>Amenadim!CO22</f>
        <v>0</v>
      </c>
      <c r="CJ12" s="116">
        <f>Amenadim!CP22</f>
        <v>0</v>
      </c>
      <c r="CK12" s="116">
        <f>Amenadim!CQ22</f>
        <v>0</v>
      </c>
      <c r="CL12" s="91">
        <f>Amenadim!CR22</f>
        <v>0</v>
      </c>
      <c r="CM12" s="91">
        <f>Amenadim!CS22</f>
        <v>2</v>
      </c>
      <c r="CN12" s="116">
        <f>Amenadim!CT22</f>
        <v>0</v>
      </c>
      <c r="CO12" s="116">
        <f>Amenadim!CU22</f>
        <v>0</v>
      </c>
      <c r="CP12" s="91">
        <f>Amenadim!CV22</f>
        <v>0</v>
      </c>
      <c r="CQ12" s="91">
        <f>Amenadim!CW22</f>
        <v>0</v>
      </c>
      <c r="CR12" s="116">
        <f>Amenadim!CX22</f>
        <v>0</v>
      </c>
      <c r="CS12" s="116">
        <f>Amenadim!CY22</f>
        <v>0</v>
      </c>
      <c r="CT12" s="91">
        <f>Amenadim!CZ22</f>
        <v>0</v>
      </c>
      <c r="CU12" s="91">
        <f>Amenadim!DA22</f>
        <v>0</v>
      </c>
      <c r="CV12" s="116">
        <f>Amenadim!DB22</f>
        <v>0</v>
      </c>
      <c r="CW12" s="116">
        <f>Amenadim!DC22</f>
        <v>0</v>
      </c>
    </row>
    <row r="13" spans="1:101" ht="15.75" thickBot="1" x14ac:dyDescent="0.3">
      <c r="A13" s="94" t="str">
        <f>Equipos!B10</f>
        <v>Hojas Anchas</v>
      </c>
      <c r="B13" s="91">
        <f>'Hojas Anchas'!H22</f>
        <v>0</v>
      </c>
      <c r="C13" s="91">
        <f>'Hojas Anchas'!I22</f>
        <v>2</v>
      </c>
      <c r="D13" s="116">
        <f>'Hojas Anchas'!J22</f>
        <v>0</v>
      </c>
      <c r="E13" s="116">
        <f>'Hojas Anchas'!K22</f>
        <v>0</v>
      </c>
      <c r="F13" s="91">
        <f>'Hojas Anchas'!L22</f>
        <v>5</v>
      </c>
      <c r="G13" s="91">
        <f>'Hojas Anchas'!M22</f>
        <v>1</v>
      </c>
      <c r="H13" s="116">
        <f>'Hojas Anchas'!N22</f>
        <v>0</v>
      </c>
      <c r="I13" s="116">
        <f>'Hojas Anchas'!O22</f>
        <v>0</v>
      </c>
      <c r="J13" s="91">
        <f>'Hojas Anchas'!P22</f>
        <v>3</v>
      </c>
      <c r="K13" s="91">
        <f>'Hojas Anchas'!Q22</f>
        <v>1</v>
      </c>
      <c r="L13" s="116">
        <f>'Hojas Anchas'!R22</f>
        <v>0</v>
      </c>
      <c r="M13" s="116">
        <f>'Hojas Anchas'!S22</f>
        <v>0</v>
      </c>
      <c r="N13" s="91">
        <f>'Hojas Anchas'!T22</f>
        <v>7</v>
      </c>
      <c r="O13" s="91">
        <f>'Hojas Anchas'!U22</f>
        <v>3</v>
      </c>
      <c r="P13" s="116">
        <f>'Hojas Anchas'!V22</f>
        <v>0</v>
      </c>
      <c r="Q13" s="116">
        <f>'Hojas Anchas'!W22</f>
        <v>0</v>
      </c>
      <c r="R13" s="91">
        <f>'Hojas Anchas'!X22</f>
        <v>3</v>
      </c>
      <c r="S13" s="91">
        <f>'Hojas Anchas'!Y22</f>
        <v>5</v>
      </c>
      <c r="T13" s="116">
        <f>'Hojas Anchas'!Z22</f>
        <v>0</v>
      </c>
      <c r="U13" s="116">
        <f>'Hojas Anchas'!AA22</f>
        <v>0</v>
      </c>
      <c r="V13" s="91">
        <f>'Hojas Anchas'!AB22</f>
        <v>4</v>
      </c>
      <c r="W13" s="91">
        <f>'Hojas Anchas'!AC22</f>
        <v>0</v>
      </c>
      <c r="X13" s="116">
        <f>'Hojas Anchas'!AD22</f>
        <v>0</v>
      </c>
      <c r="Y13" s="116">
        <f>'Hojas Anchas'!AE22</f>
        <v>0</v>
      </c>
      <c r="Z13" s="91">
        <f>'Hojas Anchas'!AF22</f>
        <v>1</v>
      </c>
      <c r="AA13" s="91">
        <f>'Hojas Anchas'!AG22</f>
        <v>0</v>
      </c>
      <c r="AB13" s="116">
        <f>'Hojas Anchas'!AH22</f>
        <v>1</v>
      </c>
      <c r="AC13" s="116">
        <f>'Hojas Anchas'!AI22</f>
        <v>0</v>
      </c>
      <c r="AD13" s="91">
        <f>'Hojas Anchas'!AJ22</f>
        <v>4</v>
      </c>
      <c r="AE13" s="91">
        <f>'Hojas Anchas'!AK22</f>
        <v>1</v>
      </c>
      <c r="AF13" s="116">
        <f>'Hojas Anchas'!AL22</f>
        <v>0</v>
      </c>
      <c r="AG13" s="116">
        <f>'Hojas Anchas'!AM22</f>
        <v>0</v>
      </c>
      <c r="AH13" s="91">
        <f>'Hojas Anchas'!AN22</f>
        <v>3</v>
      </c>
      <c r="AI13" s="91">
        <f>'Hojas Anchas'!AO22</f>
        <v>0</v>
      </c>
      <c r="AJ13" s="116">
        <f>'Hojas Anchas'!AP22</f>
        <v>0</v>
      </c>
      <c r="AK13" s="116">
        <f>'Hojas Anchas'!AQ22</f>
        <v>1</v>
      </c>
      <c r="AL13" s="91">
        <f>'Hojas Anchas'!AR22</f>
        <v>2</v>
      </c>
      <c r="AM13" s="91">
        <f>'Hojas Anchas'!AS22</f>
        <v>2</v>
      </c>
      <c r="AN13" s="116">
        <f>'Hojas Anchas'!AT22</f>
        <v>0</v>
      </c>
      <c r="AO13" s="116">
        <f>'Hojas Anchas'!AU22</f>
        <v>0</v>
      </c>
      <c r="AP13" s="91">
        <f>'Hojas Anchas'!AV22</f>
        <v>2</v>
      </c>
      <c r="AQ13" s="91">
        <f>'Hojas Anchas'!AW22</f>
        <v>2</v>
      </c>
      <c r="AR13" s="116">
        <f>'Hojas Anchas'!AX22</f>
        <v>0</v>
      </c>
      <c r="AS13" s="116">
        <f>'Hojas Anchas'!AY22</f>
        <v>0</v>
      </c>
      <c r="AT13" s="91">
        <f>'Hojas Anchas'!AZ22</f>
        <v>0</v>
      </c>
      <c r="AU13" s="91">
        <f>'Hojas Anchas'!BA22</f>
        <v>1</v>
      </c>
      <c r="AV13" s="116">
        <f>'Hojas Anchas'!BB22</f>
        <v>0</v>
      </c>
      <c r="AW13" s="116">
        <f>'Hojas Anchas'!BC22</f>
        <v>0</v>
      </c>
      <c r="AX13" s="91">
        <f>'Hojas Anchas'!BD22</f>
        <v>1</v>
      </c>
      <c r="AY13" s="91">
        <f>'Hojas Anchas'!BE22</f>
        <v>3</v>
      </c>
      <c r="AZ13" s="116">
        <f>'Hojas Anchas'!BF22</f>
        <v>0</v>
      </c>
      <c r="BA13" s="116">
        <f>'Hojas Anchas'!BG22</f>
        <v>0</v>
      </c>
      <c r="BB13" s="91">
        <f>'Hojas Anchas'!BH22</f>
        <v>3</v>
      </c>
      <c r="BC13" s="91">
        <f>'Hojas Anchas'!BI22</f>
        <v>0</v>
      </c>
      <c r="BD13" s="116">
        <f>'Hojas Anchas'!BJ22</f>
        <v>0</v>
      </c>
      <c r="BE13" s="116">
        <f>'Hojas Anchas'!BK22</f>
        <v>0</v>
      </c>
      <c r="BF13" s="91">
        <f>'Hojas Anchas'!BL22</f>
        <v>3</v>
      </c>
      <c r="BG13" s="91">
        <f>'Hojas Anchas'!BM22</f>
        <v>0</v>
      </c>
      <c r="BH13" s="116">
        <f>'Hojas Anchas'!BN22</f>
        <v>0</v>
      </c>
      <c r="BI13" s="116">
        <f>'Hojas Anchas'!BO22</f>
        <v>0</v>
      </c>
      <c r="BJ13" s="91">
        <f>'Hojas Anchas'!BP22</f>
        <v>8</v>
      </c>
      <c r="BK13" s="91">
        <f>'Hojas Anchas'!BQ22</f>
        <v>4</v>
      </c>
      <c r="BL13" s="116">
        <f>'Hojas Anchas'!BR22</f>
        <v>0</v>
      </c>
      <c r="BM13" s="116">
        <f>'Hojas Anchas'!BS22</f>
        <v>0</v>
      </c>
      <c r="BN13" s="91">
        <f>'Hojas Anchas'!BT22</f>
        <v>6</v>
      </c>
      <c r="BO13" s="91">
        <f>'Hojas Anchas'!BU22</f>
        <v>3</v>
      </c>
      <c r="BP13" s="116">
        <f>'Hojas Anchas'!BV22</f>
        <v>0</v>
      </c>
      <c r="BQ13" s="116">
        <f>'Hojas Anchas'!BW22</f>
        <v>0</v>
      </c>
      <c r="BR13" s="91">
        <f>'Hojas Anchas'!BX22</f>
        <v>2</v>
      </c>
      <c r="BS13" s="91">
        <f>'Hojas Anchas'!BY22</f>
        <v>1</v>
      </c>
      <c r="BT13" s="116">
        <f>'Hojas Anchas'!BZ22</f>
        <v>0</v>
      </c>
      <c r="BU13" s="116">
        <f>'Hojas Anchas'!CA22</f>
        <v>0</v>
      </c>
      <c r="BV13" s="91">
        <f>'Hojas Anchas'!CB22</f>
        <v>2</v>
      </c>
      <c r="BW13" s="91">
        <f>'Hojas Anchas'!CC22</f>
        <v>2</v>
      </c>
      <c r="BX13" s="116">
        <f>'Hojas Anchas'!CD22</f>
        <v>0</v>
      </c>
      <c r="BY13" s="116">
        <f>'Hojas Anchas'!CE22</f>
        <v>0</v>
      </c>
      <c r="BZ13" s="91">
        <f>'Hojas Anchas'!CF22</f>
        <v>1</v>
      </c>
      <c r="CA13" s="91">
        <f>'Hojas Anchas'!CG22</f>
        <v>0</v>
      </c>
      <c r="CB13" s="116">
        <f>'Hojas Anchas'!CH22</f>
        <v>0</v>
      </c>
      <c r="CC13" s="116">
        <f>'Hojas Anchas'!CI22</f>
        <v>2</v>
      </c>
      <c r="CD13" s="91">
        <f>'Hojas Anchas'!CJ22</f>
        <v>5</v>
      </c>
      <c r="CE13" s="91">
        <f>'Hojas Anchas'!CK22</f>
        <v>0</v>
      </c>
      <c r="CF13" s="116">
        <f>'Hojas Anchas'!CL22</f>
        <v>0</v>
      </c>
      <c r="CG13" s="116">
        <f>'Hojas Anchas'!CM22</f>
        <v>0</v>
      </c>
      <c r="CH13" s="91">
        <f>'Hojas Anchas'!CN22</f>
        <v>1</v>
      </c>
      <c r="CI13" s="91">
        <f>'Hojas Anchas'!CO22</f>
        <v>2</v>
      </c>
      <c r="CJ13" s="116">
        <f>'Hojas Anchas'!CP22</f>
        <v>0</v>
      </c>
      <c r="CK13" s="116">
        <f>'Hojas Anchas'!CQ22</f>
        <v>0</v>
      </c>
      <c r="CL13" s="91">
        <f>'Hojas Anchas'!CR22</f>
        <v>0</v>
      </c>
      <c r="CM13" s="91">
        <f>'Hojas Anchas'!CS22</f>
        <v>0</v>
      </c>
      <c r="CN13" s="116">
        <f>'Hojas Anchas'!CT22</f>
        <v>0</v>
      </c>
      <c r="CO13" s="116">
        <f>'Hojas Anchas'!CU22</f>
        <v>0</v>
      </c>
      <c r="CP13" s="91">
        <f>'Hojas Anchas'!CV22</f>
        <v>0</v>
      </c>
      <c r="CQ13" s="91">
        <f>'Hojas Anchas'!CW22</f>
        <v>0</v>
      </c>
      <c r="CR13" s="116">
        <f>'Hojas Anchas'!CX22</f>
        <v>0</v>
      </c>
      <c r="CS13" s="116">
        <f>'Hojas Anchas'!CY22</f>
        <v>0</v>
      </c>
      <c r="CT13" s="91">
        <f>'Hojas Anchas'!CZ22</f>
        <v>0</v>
      </c>
      <c r="CU13" s="91">
        <f>'Hojas Anchas'!DA22</f>
        <v>0</v>
      </c>
      <c r="CV13" s="116">
        <f>'Hojas Anchas'!DB22</f>
        <v>0</v>
      </c>
      <c r="CW13" s="116">
        <f>'Hojas Anchas'!DC22</f>
        <v>0</v>
      </c>
    </row>
    <row r="14" spans="1:101" ht="15.75" thickBot="1" x14ac:dyDescent="0.3">
      <c r="A14" s="94" t="str">
        <f>Equipos!B11</f>
        <v>Valentín FC</v>
      </c>
      <c r="B14" s="92">
        <f>'Valentín FC'!H22</f>
        <v>1</v>
      </c>
      <c r="C14" s="92">
        <f>'Valentín FC'!I22</f>
        <v>1</v>
      </c>
      <c r="D14" s="117">
        <f>'Valentín FC'!J22</f>
        <v>0</v>
      </c>
      <c r="E14" s="117">
        <f>'Valentín FC'!K22</f>
        <v>0</v>
      </c>
      <c r="F14" s="92">
        <f>'Valentín FC'!L22</f>
        <v>9</v>
      </c>
      <c r="G14" s="92">
        <f>'Valentín FC'!M22</f>
        <v>0</v>
      </c>
      <c r="H14" s="117">
        <f>'Valentín FC'!N22</f>
        <v>0</v>
      </c>
      <c r="I14" s="117">
        <f>'Valentín FC'!O22</f>
        <v>0</v>
      </c>
      <c r="J14" s="92">
        <f>'Valentín FC'!P22</f>
        <v>3</v>
      </c>
      <c r="K14" s="92">
        <f>'Valentín FC'!Q22</f>
        <v>2</v>
      </c>
      <c r="L14" s="117">
        <f>'Valentín FC'!R22</f>
        <v>0</v>
      </c>
      <c r="M14" s="117">
        <f>'Valentín FC'!S22</f>
        <v>0</v>
      </c>
      <c r="N14" s="92">
        <f>'Valentín FC'!T22</f>
        <v>2</v>
      </c>
      <c r="O14" s="92">
        <f>'Valentín FC'!U22</f>
        <v>2</v>
      </c>
      <c r="P14" s="117">
        <f>'Valentín FC'!V22</f>
        <v>0</v>
      </c>
      <c r="Q14" s="117">
        <f>'Valentín FC'!W22</f>
        <v>0</v>
      </c>
      <c r="R14" s="92">
        <f>'Valentín FC'!X22</f>
        <v>5</v>
      </c>
      <c r="S14" s="92">
        <f>'Valentín FC'!Y22</f>
        <v>2</v>
      </c>
      <c r="T14" s="117">
        <f>'Valentín FC'!Z22</f>
        <v>0</v>
      </c>
      <c r="U14" s="117">
        <f>'Valentín FC'!AA22</f>
        <v>0</v>
      </c>
      <c r="V14" s="92">
        <f>'Valentín FC'!AB22</f>
        <v>1</v>
      </c>
      <c r="W14" s="92">
        <f>'Valentín FC'!AC22</f>
        <v>2</v>
      </c>
      <c r="X14" s="117">
        <f>'Valentín FC'!AD22</f>
        <v>0</v>
      </c>
      <c r="Y14" s="117">
        <f>'Valentín FC'!AE22</f>
        <v>0</v>
      </c>
      <c r="Z14" s="92">
        <f>'Valentín FC'!AF22</f>
        <v>3</v>
      </c>
      <c r="AA14" s="92">
        <f>'Valentín FC'!AG22</f>
        <v>0</v>
      </c>
      <c r="AB14" s="117">
        <f>'Valentín FC'!AH22</f>
        <v>0</v>
      </c>
      <c r="AC14" s="117">
        <f>'Valentín FC'!AI22</f>
        <v>0</v>
      </c>
      <c r="AD14" s="92">
        <f>'Valentín FC'!AJ22</f>
        <v>3</v>
      </c>
      <c r="AE14" s="92">
        <f>'Valentín FC'!AK22</f>
        <v>2</v>
      </c>
      <c r="AF14" s="117">
        <f>'Valentín FC'!AL22</f>
        <v>0</v>
      </c>
      <c r="AG14" s="117">
        <f>'Valentín FC'!AM22</f>
        <v>0</v>
      </c>
      <c r="AH14" s="92">
        <f>'Valentín FC'!AN22</f>
        <v>3</v>
      </c>
      <c r="AI14" s="92">
        <f>'Valentín FC'!AO22</f>
        <v>1</v>
      </c>
      <c r="AJ14" s="117">
        <f>'Valentín FC'!AP22</f>
        <v>0</v>
      </c>
      <c r="AK14" s="117">
        <f>'Valentín FC'!AQ22</f>
        <v>0</v>
      </c>
      <c r="AL14" s="92">
        <f>'Valentín FC'!AR22</f>
        <v>4</v>
      </c>
      <c r="AM14" s="92">
        <f>'Valentín FC'!AS22</f>
        <v>2</v>
      </c>
      <c r="AN14" s="117">
        <f>'Valentín FC'!AT22</f>
        <v>0</v>
      </c>
      <c r="AO14" s="117">
        <f>'Valentín FC'!AU22</f>
        <v>0</v>
      </c>
      <c r="AP14" s="92">
        <f>'Valentín FC'!AV22</f>
        <v>3</v>
      </c>
      <c r="AQ14" s="92">
        <f>'Valentín FC'!AW22</f>
        <v>5</v>
      </c>
      <c r="AR14" s="117">
        <f>'Valentín FC'!AX22</f>
        <v>0</v>
      </c>
      <c r="AS14" s="117">
        <f>'Valentín FC'!AY22</f>
        <v>0</v>
      </c>
      <c r="AT14" s="92">
        <f>'Valentín FC'!AZ22</f>
        <v>3</v>
      </c>
      <c r="AU14" s="92">
        <f>'Valentín FC'!BA22</f>
        <v>0</v>
      </c>
      <c r="AV14" s="117">
        <f>'Valentín FC'!BB22</f>
        <v>0</v>
      </c>
      <c r="AW14" s="117">
        <f>'Valentín FC'!BC22</f>
        <v>0</v>
      </c>
      <c r="AX14" s="92">
        <f>'Valentín FC'!BD22</f>
        <v>8</v>
      </c>
      <c r="AY14" s="92">
        <f>'Valentín FC'!BE22</f>
        <v>2</v>
      </c>
      <c r="AZ14" s="117">
        <f>'Valentín FC'!BF22</f>
        <v>0</v>
      </c>
      <c r="BA14" s="117">
        <f>'Valentín FC'!BG22</f>
        <v>0</v>
      </c>
      <c r="BB14" s="92">
        <f>'Valentín FC'!BH22</f>
        <v>5</v>
      </c>
      <c r="BC14" s="92">
        <f>'Valentín FC'!BI22</f>
        <v>1</v>
      </c>
      <c r="BD14" s="117">
        <f>'Valentín FC'!BJ22</f>
        <v>0</v>
      </c>
      <c r="BE14" s="117">
        <f>'Valentín FC'!BK22</f>
        <v>0</v>
      </c>
      <c r="BF14" s="92">
        <f>'Valentín FC'!BL22</f>
        <v>2</v>
      </c>
      <c r="BG14" s="92">
        <f>'Valentín FC'!BM22</f>
        <v>1</v>
      </c>
      <c r="BH14" s="117">
        <f>'Valentín FC'!BN22</f>
        <v>0</v>
      </c>
      <c r="BI14" s="117">
        <f>'Valentín FC'!BO22</f>
        <v>0</v>
      </c>
      <c r="BJ14" s="92">
        <f>'Valentín FC'!BP22</f>
        <v>0</v>
      </c>
      <c r="BK14" s="92">
        <f>'Valentín FC'!BQ22</f>
        <v>2</v>
      </c>
      <c r="BL14" s="117">
        <f>'Valentín FC'!BR22</f>
        <v>0</v>
      </c>
      <c r="BM14" s="117">
        <v>1</v>
      </c>
      <c r="BN14" s="92">
        <f>'Valentín FC'!BT22</f>
        <v>2</v>
      </c>
      <c r="BO14" s="92">
        <f>'Valentín FC'!BU22</f>
        <v>3</v>
      </c>
      <c r="BP14" s="117">
        <f>'Valentín FC'!BV22</f>
        <v>0</v>
      </c>
      <c r="BQ14" s="117">
        <f>'Valentín FC'!BW22</f>
        <v>0</v>
      </c>
      <c r="BR14" s="92">
        <f>'Valentín FC'!BX22</f>
        <v>3</v>
      </c>
      <c r="BS14" s="92">
        <f>'Valentín FC'!BY22</f>
        <v>3</v>
      </c>
      <c r="BT14" s="117">
        <f>'Valentín FC'!BZ22</f>
        <v>0</v>
      </c>
      <c r="BU14" s="117">
        <f>'Valentín FC'!CA22</f>
        <v>0</v>
      </c>
      <c r="BV14" s="92">
        <f>'Valentín FC'!CB22</f>
        <v>3</v>
      </c>
      <c r="BW14" s="92">
        <f>'Valentín FC'!CC22</f>
        <v>2</v>
      </c>
      <c r="BX14" s="117">
        <f>'Valentín FC'!CD22</f>
        <v>0</v>
      </c>
      <c r="BY14" s="117">
        <f>'Valentín FC'!CE22</f>
        <v>0</v>
      </c>
      <c r="BZ14" s="92">
        <f>'Valentín FC'!CF22</f>
        <v>5</v>
      </c>
      <c r="CA14" s="92">
        <f>'Valentín FC'!CG22</f>
        <v>0</v>
      </c>
      <c r="CB14" s="117">
        <f>'Valentín FC'!CH22</f>
        <v>0</v>
      </c>
      <c r="CC14" s="117">
        <f>'Valentín FC'!CI22</f>
        <v>0</v>
      </c>
      <c r="CD14" s="92">
        <f>'Valentín FC'!CJ22</f>
        <v>7</v>
      </c>
      <c r="CE14" s="92">
        <f>'Valentín FC'!CK22</f>
        <v>1</v>
      </c>
      <c r="CF14" s="117">
        <f>'Valentín FC'!CL22</f>
        <v>0</v>
      </c>
      <c r="CG14" s="117">
        <f>'Valentín FC'!CM22</f>
        <v>0</v>
      </c>
      <c r="CH14" s="92">
        <f>'Valentín FC'!CN22</f>
        <v>9</v>
      </c>
      <c r="CI14" s="92">
        <f>'Valentín FC'!CO22</f>
        <v>2</v>
      </c>
      <c r="CJ14" s="117">
        <f>'Valentín FC'!CP22</f>
        <v>0</v>
      </c>
      <c r="CK14" s="117">
        <f>'Valentín FC'!CQ22</f>
        <v>0</v>
      </c>
      <c r="CL14" s="92">
        <f>'Valentín FC'!CR22</f>
        <v>2</v>
      </c>
      <c r="CM14" s="92">
        <f>'Valentín FC'!CS22</f>
        <v>2</v>
      </c>
      <c r="CN14" s="117">
        <f>'Valentín FC'!CT22</f>
        <v>0</v>
      </c>
      <c r="CO14" s="117">
        <f>'Valentín FC'!CU22</f>
        <v>0</v>
      </c>
      <c r="CP14" s="92">
        <f>'Valentín FC'!CV22</f>
        <v>2</v>
      </c>
      <c r="CQ14" s="92">
        <f>'Valentín FC'!CW22</f>
        <v>3</v>
      </c>
      <c r="CR14" s="117">
        <f>'Valentín FC'!CX22</f>
        <v>0</v>
      </c>
      <c r="CS14" s="117">
        <f>'Valentín FC'!CY22</f>
        <v>0</v>
      </c>
      <c r="CT14" s="92">
        <f>'Valentín FC'!CZ22</f>
        <v>0</v>
      </c>
      <c r="CU14" s="92">
        <f>'Valentín FC'!DA22</f>
        <v>0</v>
      </c>
      <c r="CV14" s="117">
        <f>'Valentín FC'!DB22</f>
        <v>0</v>
      </c>
      <c r="CW14" s="117">
        <f>'Valentín FC'!DC22</f>
        <v>0</v>
      </c>
    </row>
    <row r="15" spans="1:101" ht="15.75" thickBot="1" x14ac:dyDescent="0.3">
      <c r="A15" s="94" t="str">
        <f>Equipos!B12</f>
        <v>Boca Juniors</v>
      </c>
      <c r="B15" s="91">
        <f>'Boca Juniors'!H22</f>
        <v>1</v>
      </c>
      <c r="C15" s="91">
        <f>'Boca Juniors'!I22</f>
        <v>1</v>
      </c>
      <c r="D15" s="116">
        <f>'Boca Juniors'!J22</f>
        <v>0</v>
      </c>
      <c r="E15" s="116">
        <f>'Boca Juniors'!K22</f>
        <v>0</v>
      </c>
      <c r="F15" s="91">
        <f>'Boca Juniors'!L22</f>
        <v>12</v>
      </c>
      <c r="G15" s="91">
        <f>'Boca Juniors'!M22</f>
        <v>2</v>
      </c>
      <c r="H15" s="116">
        <f>'Boca Juniors'!N22</f>
        <v>0</v>
      </c>
      <c r="I15" s="116">
        <f>'Boca Juniors'!O22</f>
        <v>0</v>
      </c>
      <c r="J15" s="91">
        <f>'Boca Juniors'!P22</f>
        <v>3</v>
      </c>
      <c r="K15" s="91">
        <f>'Boca Juniors'!Q22</f>
        <v>3</v>
      </c>
      <c r="L15" s="91">
        <f>'Boca Juniors'!R22</f>
        <v>0</v>
      </c>
      <c r="M15" s="91">
        <f>'Boca Juniors'!S22</f>
        <v>0</v>
      </c>
      <c r="N15" s="91">
        <f>'Boca Juniors'!T22</f>
        <v>8</v>
      </c>
      <c r="O15" s="91">
        <f>'Boca Juniors'!U22</f>
        <v>1</v>
      </c>
      <c r="P15" s="91">
        <f>'Boca Juniors'!V22</f>
        <v>0</v>
      </c>
      <c r="Q15" s="91">
        <f>'Boca Juniors'!W22</f>
        <v>0</v>
      </c>
      <c r="R15" s="91">
        <f>'Boca Juniors'!X22</f>
        <v>3</v>
      </c>
      <c r="S15" s="91">
        <f>'Boca Juniors'!Y22</f>
        <v>0</v>
      </c>
      <c r="T15" s="91">
        <f>'Boca Juniors'!Z22</f>
        <v>0</v>
      </c>
      <c r="U15" s="91">
        <f>'Boca Juniors'!AA22</f>
        <v>0</v>
      </c>
      <c r="V15" s="91">
        <f>'Boca Juniors'!AB22</f>
        <v>2</v>
      </c>
      <c r="W15" s="91">
        <f>'Boca Juniors'!AC22</f>
        <v>1</v>
      </c>
      <c r="X15" s="91">
        <f>'Boca Juniors'!AD22</f>
        <v>0</v>
      </c>
      <c r="Y15" s="91">
        <f>'Boca Juniors'!AE22</f>
        <v>0</v>
      </c>
      <c r="Z15" s="91">
        <f>'Boca Juniors'!AF22</f>
        <v>2</v>
      </c>
      <c r="AA15" s="91">
        <f>'Boca Juniors'!AG22</f>
        <v>2</v>
      </c>
      <c r="AB15" s="91">
        <f>'Boca Juniors'!AH22</f>
        <v>0</v>
      </c>
      <c r="AC15" s="91">
        <f>'Boca Juniors'!AI22</f>
        <v>0</v>
      </c>
      <c r="AD15" s="91">
        <f>'Boca Juniors'!AJ22</f>
        <v>1</v>
      </c>
      <c r="AE15" s="91">
        <f>'Boca Juniors'!AK22</f>
        <v>2</v>
      </c>
      <c r="AF15" s="91">
        <f>'Boca Juniors'!AL22</f>
        <v>0</v>
      </c>
      <c r="AG15" s="91">
        <f>'Boca Juniors'!AM22</f>
        <v>0</v>
      </c>
      <c r="AH15" s="91">
        <f>'Boca Juniors'!AN22</f>
        <v>1</v>
      </c>
      <c r="AI15" s="91">
        <f>'Boca Juniors'!AO22</f>
        <v>0</v>
      </c>
      <c r="AJ15" s="91">
        <f>'Boca Juniors'!AP22</f>
        <v>0</v>
      </c>
      <c r="AK15" s="91">
        <f>'Boca Juniors'!AQ22</f>
        <v>0</v>
      </c>
      <c r="AL15" s="91">
        <f>'Boca Juniors'!AR22</f>
        <v>7</v>
      </c>
      <c r="AM15" s="91">
        <f>'Boca Juniors'!AS22</f>
        <v>2</v>
      </c>
      <c r="AN15" s="91">
        <f>'Boca Juniors'!AT22</f>
        <v>0</v>
      </c>
      <c r="AO15" s="91">
        <f>'Boca Juniors'!AU22</f>
        <v>0</v>
      </c>
      <c r="AP15" s="91">
        <f>'Boca Juniors'!AV22</f>
        <v>1</v>
      </c>
      <c r="AQ15" s="91">
        <f>'Boca Juniors'!AW22</f>
        <v>0</v>
      </c>
      <c r="AR15" s="91">
        <f>'Boca Juniors'!AX22</f>
        <v>0</v>
      </c>
      <c r="AS15" s="91">
        <f>'Boca Juniors'!AY22</f>
        <v>1</v>
      </c>
      <c r="AT15" s="91">
        <f>'Boca Juniors'!AZ22</f>
        <v>1</v>
      </c>
      <c r="AU15" s="91">
        <f>'Boca Juniors'!BA22</f>
        <v>3</v>
      </c>
      <c r="AV15" s="91">
        <f>'Boca Juniors'!BB22</f>
        <v>0</v>
      </c>
      <c r="AW15" s="91">
        <f>'Boca Juniors'!BC22</f>
        <v>0</v>
      </c>
      <c r="AX15" s="91">
        <f>'Boca Juniors'!BD22</f>
        <v>2</v>
      </c>
      <c r="AY15" s="91">
        <f>'Boca Juniors'!BE22</f>
        <v>3</v>
      </c>
      <c r="AZ15" s="91">
        <f>'Boca Juniors'!BF22</f>
        <v>0</v>
      </c>
      <c r="BA15" s="91">
        <f>'Boca Juniors'!BG22</f>
        <v>0</v>
      </c>
      <c r="BB15" s="91">
        <f>'Boca Juniors'!BH22</f>
        <v>0</v>
      </c>
      <c r="BC15" s="91">
        <f>'Boca Juniors'!BI22</f>
        <v>1</v>
      </c>
      <c r="BD15" s="91">
        <f>'Boca Juniors'!BJ22</f>
        <v>0</v>
      </c>
      <c r="BE15" s="91">
        <f>'Boca Juniors'!BK22</f>
        <v>0</v>
      </c>
      <c r="BF15" s="91">
        <f>'Boca Juniors'!BL22</f>
        <v>4</v>
      </c>
      <c r="BG15" s="91">
        <f>'Boca Juniors'!BM22</f>
        <v>3</v>
      </c>
      <c r="BH15" s="91">
        <f>'Boca Juniors'!BN22</f>
        <v>0</v>
      </c>
      <c r="BI15" s="91">
        <f>'Boca Juniors'!BO22</f>
        <v>0</v>
      </c>
      <c r="BJ15" s="91">
        <f>'Boca Juniors'!BP22</f>
        <v>5</v>
      </c>
      <c r="BK15" s="91">
        <f>'Boca Juniors'!BQ22</f>
        <v>1</v>
      </c>
      <c r="BL15" s="91">
        <f>'Boca Juniors'!BR22</f>
        <v>0</v>
      </c>
      <c r="BM15" s="91">
        <f>'Boca Juniors'!BS22</f>
        <v>0</v>
      </c>
      <c r="BN15" s="91">
        <f>'Boca Juniors'!BT22</f>
        <v>1</v>
      </c>
      <c r="BO15" s="91">
        <f>'Boca Juniors'!BU22</f>
        <v>1</v>
      </c>
      <c r="BP15" s="91">
        <f>'Boca Juniors'!BV22</f>
        <v>0</v>
      </c>
      <c r="BQ15" s="91">
        <f>'Boca Juniors'!BW22</f>
        <v>0</v>
      </c>
      <c r="BR15" s="91">
        <f>'Boca Juniors'!BX22</f>
        <v>3</v>
      </c>
      <c r="BS15" s="91">
        <f>'Boca Juniors'!BY22</f>
        <v>1</v>
      </c>
      <c r="BT15" s="91">
        <f>'Boca Juniors'!BZ22</f>
        <v>0</v>
      </c>
      <c r="BU15" s="91">
        <f>'Boca Juniors'!CA22</f>
        <v>0</v>
      </c>
      <c r="BV15" s="91">
        <f>'Boca Juniors'!CB22</f>
        <v>2</v>
      </c>
      <c r="BW15" s="91">
        <f>'Boca Juniors'!CC22</f>
        <v>2</v>
      </c>
      <c r="BX15" s="91">
        <f>'Boca Juniors'!CD22</f>
        <v>0</v>
      </c>
      <c r="BY15" s="91">
        <f>'Boca Juniors'!CE22</f>
        <v>0</v>
      </c>
      <c r="BZ15" s="91">
        <f>'Boca Juniors'!CF22</f>
        <v>0</v>
      </c>
      <c r="CA15" s="91">
        <f>'Boca Juniors'!CG22</f>
        <v>0</v>
      </c>
      <c r="CB15" s="91">
        <f>'Boca Juniors'!CH22</f>
        <v>0</v>
      </c>
      <c r="CC15" s="91">
        <f>'Boca Juniors'!CI22</f>
        <v>3</v>
      </c>
      <c r="CD15" s="91">
        <f>'Boca Juniors'!CJ22</f>
        <v>0</v>
      </c>
      <c r="CE15" s="91">
        <f>'Boca Juniors'!CK22</f>
        <v>0</v>
      </c>
      <c r="CF15" s="91">
        <f>'Boca Juniors'!CL22</f>
        <v>0</v>
      </c>
      <c r="CG15" s="91">
        <f>'Boca Juniors'!CM22</f>
        <v>3</v>
      </c>
      <c r="CH15" s="91">
        <f>'Boca Juniors'!CN22</f>
        <v>0</v>
      </c>
      <c r="CI15" s="91">
        <f>'Boca Juniors'!CO22</f>
        <v>0</v>
      </c>
      <c r="CJ15" s="91">
        <f>'Boca Juniors'!CP22</f>
        <v>0</v>
      </c>
      <c r="CK15" s="91">
        <f>'Boca Juniors'!CQ22</f>
        <v>3</v>
      </c>
      <c r="CL15" s="91">
        <f>'Boca Juniors'!CR22</f>
        <v>0</v>
      </c>
      <c r="CM15" s="91">
        <f>'Boca Juniors'!CS22</f>
        <v>0</v>
      </c>
      <c r="CN15" s="91">
        <f>'Boca Juniors'!CT22</f>
        <v>0</v>
      </c>
      <c r="CO15" s="91">
        <f>'Boca Juniors'!CU22</f>
        <v>0</v>
      </c>
      <c r="CP15" s="91">
        <f>'Boca Juniors'!CV22</f>
        <v>0</v>
      </c>
      <c r="CQ15" s="91">
        <f>'Boca Juniors'!CW22</f>
        <v>0</v>
      </c>
      <c r="CR15" s="91">
        <f>'Boca Juniors'!CX22</f>
        <v>0</v>
      </c>
      <c r="CS15" s="91">
        <f>'Boca Juniors'!CY22</f>
        <v>0</v>
      </c>
      <c r="CT15" s="91">
        <f>'Boca Juniors'!CZ22</f>
        <v>0</v>
      </c>
      <c r="CU15" s="91">
        <f>'Boca Juniors'!DA22</f>
        <v>0</v>
      </c>
      <c r="CV15" s="91">
        <f>'Boca Juniors'!DB22</f>
        <v>0</v>
      </c>
      <c r="CW15" s="91">
        <f>'Boca Juniors'!DC22</f>
        <v>0</v>
      </c>
    </row>
    <row r="16" spans="1:101" ht="15.75" thickBot="1" x14ac:dyDescent="0.3">
      <c r="A16" s="94" t="str">
        <f>Equipos!B13</f>
        <v>Deportivo Fénix</v>
      </c>
      <c r="B16" s="93">
        <f>'Deportivo Fénix'!H22</f>
        <v>4</v>
      </c>
      <c r="C16" s="93">
        <f>'Deportivo Fénix'!I22</f>
        <v>0</v>
      </c>
      <c r="D16" s="118">
        <f>'Deportivo Fénix'!J22</f>
        <v>0</v>
      </c>
      <c r="E16" s="118">
        <f>'Deportivo Fénix'!K22</f>
        <v>0</v>
      </c>
      <c r="F16" s="93">
        <f>'Deportivo Fénix'!L22</f>
        <v>5</v>
      </c>
      <c r="G16" s="93">
        <f>'Deportivo Fénix'!M22</f>
        <v>1</v>
      </c>
      <c r="H16" s="118">
        <f>'Deportivo Fénix'!N22</f>
        <v>1</v>
      </c>
      <c r="I16" s="118">
        <f>'Deportivo Fénix'!O22</f>
        <v>0</v>
      </c>
      <c r="J16" s="93">
        <f>'Deportivo Fénix'!P22</f>
        <v>1</v>
      </c>
      <c r="K16" s="93">
        <f>'Deportivo Fénix'!Q22</f>
        <v>0</v>
      </c>
      <c r="L16" s="118">
        <f>'Deportivo Fénix'!R22</f>
        <v>0</v>
      </c>
      <c r="M16" s="118">
        <f>'Deportivo Fénix'!S22</f>
        <v>0</v>
      </c>
      <c r="N16" s="93">
        <f>'Deportivo Fénix'!T22</f>
        <v>1</v>
      </c>
      <c r="O16" s="93">
        <f>'Deportivo Fénix'!U22</f>
        <v>0</v>
      </c>
      <c r="P16" s="118">
        <f>'Deportivo Fénix'!V22</f>
        <v>0</v>
      </c>
      <c r="Q16" s="118">
        <f>'Deportivo Fénix'!W22</f>
        <v>1</v>
      </c>
      <c r="R16" s="93">
        <f>'Deportivo Fénix'!X22</f>
        <v>1</v>
      </c>
      <c r="S16" s="93">
        <f>'Deportivo Fénix'!Y22</f>
        <v>1</v>
      </c>
      <c r="T16" s="118">
        <f>'Deportivo Fénix'!Z22</f>
        <v>0</v>
      </c>
      <c r="U16" s="118">
        <f>'Deportivo Fénix'!AA22</f>
        <v>0</v>
      </c>
      <c r="V16" s="93">
        <f>'Deportivo Fénix'!AB22</f>
        <v>3</v>
      </c>
      <c r="W16" s="93">
        <f>'Deportivo Fénix'!AC22</f>
        <v>0</v>
      </c>
      <c r="X16" s="118">
        <f>'Deportivo Fénix'!AD22</f>
        <v>0</v>
      </c>
      <c r="Y16" s="118">
        <f>'Deportivo Fénix'!AE22</f>
        <v>0</v>
      </c>
      <c r="Z16" s="93">
        <f>'Deportivo Fénix'!AF22</f>
        <v>1</v>
      </c>
      <c r="AA16" s="93">
        <f>'Deportivo Fénix'!AG22</f>
        <v>0</v>
      </c>
      <c r="AB16" s="118">
        <f>'Deportivo Fénix'!AH22</f>
        <v>0</v>
      </c>
      <c r="AC16" s="118">
        <f>'Deportivo Fénix'!AI22</f>
        <v>0</v>
      </c>
      <c r="AD16" s="93">
        <f>'Deportivo Fénix'!AJ22</f>
        <v>3</v>
      </c>
      <c r="AE16" s="93">
        <f>'Deportivo Fénix'!AK22</f>
        <v>2</v>
      </c>
      <c r="AF16" s="118">
        <f>'Deportivo Fénix'!AL22</f>
        <v>0</v>
      </c>
      <c r="AG16" s="118">
        <f>'Deportivo Fénix'!AM22</f>
        <v>0</v>
      </c>
      <c r="AH16" s="93">
        <f>'Deportivo Fénix'!AN22</f>
        <v>3</v>
      </c>
      <c r="AI16" s="93">
        <f>'Deportivo Fénix'!AO22</f>
        <v>1</v>
      </c>
      <c r="AJ16" s="118">
        <f>'Deportivo Fénix'!AP22</f>
        <v>0</v>
      </c>
      <c r="AK16" s="118">
        <f>'Deportivo Fénix'!AQ22</f>
        <v>0</v>
      </c>
      <c r="AL16" s="93">
        <f>'Deportivo Fénix'!AR22</f>
        <v>1</v>
      </c>
      <c r="AM16" s="93">
        <f>'Deportivo Fénix'!AS22</f>
        <v>2</v>
      </c>
      <c r="AN16" s="118">
        <f>'Deportivo Fénix'!AT22</f>
        <v>1</v>
      </c>
      <c r="AO16" s="118">
        <f>'Deportivo Fénix'!AU22</f>
        <v>0</v>
      </c>
      <c r="AP16" s="93">
        <f>'Deportivo Fénix'!AV22</f>
        <v>6</v>
      </c>
      <c r="AQ16" s="93">
        <f>'Deportivo Fénix'!AW22</f>
        <v>1</v>
      </c>
      <c r="AR16" s="118">
        <f>'Deportivo Fénix'!AX22</f>
        <v>0</v>
      </c>
      <c r="AS16" s="118">
        <f>'Deportivo Fénix'!AY22</f>
        <v>0</v>
      </c>
      <c r="AT16" s="93">
        <f>'Deportivo Fénix'!AZ22</f>
        <v>2</v>
      </c>
      <c r="AU16" s="93">
        <f>'Deportivo Fénix'!BA22</f>
        <v>0</v>
      </c>
      <c r="AV16" s="118">
        <f>'Deportivo Fénix'!BB22</f>
        <v>0</v>
      </c>
      <c r="AW16" s="118">
        <f>'Deportivo Fénix'!BC22</f>
        <v>0</v>
      </c>
      <c r="AX16" s="93">
        <f>'Deportivo Fénix'!BD22</f>
        <v>1</v>
      </c>
      <c r="AY16" s="93">
        <f>'Deportivo Fénix'!BE22</f>
        <v>0</v>
      </c>
      <c r="AZ16" s="118">
        <f>'Deportivo Fénix'!BF22</f>
        <v>0</v>
      </c>
      <c r="BA16" s="118">
        <f>'Deportivo Fénix'!BG22</f>
        <v>0</v>
      </c>
      <c r="BB16" s="93">
        <f>'Deportivo Fénix'!BH22</f>
        <v>5</v>
      </c>
      <c r="BC16" s="93">
        <f>'Deportivo Fénix'!BI22</f>
        <v>0</v>
      </c>
      <c r="BD16" s="118">
        <f>'Deportivo Fénix'!BJ22</f>
        <v>0</v>
      </c>
      <c r="BE16" s="118">
        <f>'Deportivo Fénix'!BK22</f>
        <v>0</v>
      </c>
      <c r="BF16" s="93">
        <f>'Deportivo Fénix'!BL22</f>
        <v>2</v>
      </c>
      <c r="BG16" s="93">
        <f>'Deportivo Fénix'!BM22</f>
        <v>1</v>
      </c>
      <c r="BH16" s="118">
        <f>'Deportivo Fénix'!BN22</f>
        <v>0</v>
      </c>
      <c r="BI16" s="118">
        <f>'Deportivo Fénix'!BO22</f>
        <v>0</v>
      </c>
      <c r="BJ16" s="93">
        <f>'Deportivo Fénix'!BP22</f>
        <v>3</v>
      </c>
      <c r="BK16" s="93">
        <f>'Deportivo Fénix'!BQ22</f>
        <v>0</v>
      </c>
      <c r="BL16" s="118">
        <f>'Deportivo Fénix'!BR22</f>
        <v>0</v>
      </c>
      <c r="BM16" s="118">
        <f>'Deportivo Fénix'!BS22</f>
        <v>0</v>
      </c>
      <c r="BN16" s="93">
        <f>'Deportivo Fénix'!BT22</f>
        <v>3</v>
      </c>
      <c r="BO16" s="93">
        <f>'Deportivo Fénix'!BU22</f>
        <v>0</v>
      </c>
      <c r="BP16" s="118">
        <f>'Deportivo Fénix'!BV22</f>
        <v>0</v>
      </c>
      <c r="BQ16" s="118">
        <f>'Deportivo Fénix'!BW22</f>
        <v>0</v>
      </c>
      <c r="BR16" s="93">
        <f>'Deportivo Fénix'!BX22</f>
        <v>3</v>
      </c>
      <c r="BS16" s="93">
        <f>'Deportivo Fénix'!BY22</f>
        <v>2</v>
      </c>
      <c r="BT16" s="118">
        <f>'Deportivo Fénix'!BZ22</f>
        <v>0</v>
      </c>
      <c r="BU16" s="118">
        <f>'Deportivo Fénix'!CA22</f>
        <v>0</v>
      </c>
      <c r="BV16" s="93">
        <f>'Deportivo Fénix'!CB22</f>
        <v>3</v>
      </c>
      <c r="BW16" s="93">
        <f>'Deportivo Fénix'!CC22</f>
        <v>0</v>
      </c>
      <c r="BX16" s="118">
        <f>'Deportivo Fénix'!CD22</f>
        <v>0</v>
      </c>
      <c r="BY16" s="118">
        <f>'Deportivo Fénix'!CE22</f>
        <v>0</v>
      </c>
      <c r="BZ16" s="93">
        <f>'Deportivo Fénix'!CF22</f>
        <v>0</v>
      </c>
      <c r="CA16" s="93">
        <f>'Deportivo Fénix'!CG22</f>
        <v>0</v>
      </c>
      <c r="CB16" s="118">
        <f>'Deportivo Fénix'!CH22</f>
        <v>0</v>
      </c>
      <c r="CC16" s="118">
        <f>'Deportivo Fénix'!CI22</f>
        <v>0</v>
      </c>
      <c r="CD16" s="93">
        <f>'Deportivo Fénix'!CJ22</f>
        <v>0</v>
      </c>
      <c r="CE16" s="93">
        <f>'Deportivo Fénix'!CK22</f>
        <v>0</v>
      </c>
      <c r="CF16" s="118">
        <f>'Deportivo Fénix'!CL22</f>
        <v>0</v>
      </c>
      <c r="CG16" s="118">
        <f>'Deportivo Fénix'!CM22</f>
        <v>0</v>
      </c>
      <c r="CH16" s="93">
        <f>'Deportivo Fénix'!CN22</f>
        <v>3</v>
      </c>
      <c r="CI16" s="93">
        <f>'Deportivo Fénix'!CO22</f>
        <v>1</v>
      </c>
      <c r="CJ16" s="118">
        <f>'Deportivo Fénix'!CP22</f>
        <v>0</v>
      </c>
      <c r="CK16" s="118">
        <f>'Deportivo Fénix'!CQ22</f>
        <v>0</v>
      </c>
      <c r="CL16" s="93">
        <f>'Deportivo Fénix'!CR22</f>
        <v>0</v>
      </c>
      <c r="CM16" s="93">
        <f>'Deportivo Fénix'!CS22</f>
        <v>0</v>
      </c>
      <c r="CN16" s="118">
        <f>'Deportivo Fénix'!CT22</f>
        <v>0</v>
      </c>
      <c r="CO16" s="118">
        <f>'Deportivo Fénix'!CU22</f>
        <v>0</v>
      </c>
      <c r="CP16" s="93">
        <f>'Deportivo Fénix'!CV22</f>
        <v>0</v>
      </c>
      <c r="CQ16" s="93">
        <f>'Deportivo Fénix'!CW22</f>
        <v>0</v>
      </c>
      <c r="CR16" s="118">
        <f>'Deportivo Fénix'!CX22</f>
        <v>0</v>
      </c>
      <c r="CS16" s="118">
        <f>'Deportivo Fénix'!CY22</f>
        <v>0</v>
      </c>
      <c r="CT16" s="93">
        <f>'Deportivo Fénix'!CZ22</f>
        <v>0</v>
      </c>
      <c r="CU16" s="93">
        <f>'Deportivo Fénix'!DA22</f>
        <v>0</v>
      </c>
      <c r="CV16" s="118">
        <f>'Deportivo Fénix'!DB22</f>
        <v>0</v>
      </c>
      <c r="CW16" s="118">
        <f>'Deportivo Fénix'!DC22</f>
        <v>0</v>
      </c>
    </row>
    <row r="17" spans="1:101" ht="15.75" thickBot="1" x14ac:dyDescent="0.3">
      <c r="A17" s="94" t="str">
        <f>Equipos!B14</f>
        <v>Rayos FC</v>
      </c>
      <c r="B17" s="91">
        <f>'Rayos FC'!H22</f>
        <v>0</v>
      </c>
      <c r="C17" s="91">
        <f>'Rayos FC'!I22</f>
        <v>1</v>
      </c>
      <c r="D17" s="116">
        <f>'Rayos FC'!J22</f>
        <v>0</v>
      </c>
      <c r="E17" s="116">
        <f>'Rayos FC'!K22</f>
        <v>0</v>
      </c>
      <c r="F17" s="91">
        <f>'Rayos FC'!L22</f>
        <v>4</v>
      </c>
      <c r="G17" s="91">
        <f>'Rayos FC'!M22</f>
        <v>1</v>
      </c>
      <c r="H17" s="116">
        <f>'Rayos FC'!N22</f>
        <v>0</v>
      </c>
      <c r="I17" s="116">
        <f>'Rayos FC'!O22</f>
        <v>0</v>
      </c>
      <c r="J17" s="91">
        <f>'Rayos FC'!P22</f>
        <v>2</v>
      </c>
      <c r="K17" s="91">
        <f>'Rayos FC'!Q22</f>
        <v>0</v>
      </c>
      <c r="L17" s="116">
        <f>'Rayos FC'!R22</f>
        <v>0</v>
      </c>
      <c r="M17" s="116">
        <f>'Rayos FC'!S22</f>
        <v>0</v>
      </c>
      <c r="N17" s="91">
        <f>'Rayos FC'!T22</f>
        <v>0</v>
      </c>
      <c r="O17" s="91">
        <f>'Rayos FC'!U22</f>
        <v>0</v>
      </c>
      <c r="P17" s="116">
        <f>'Rayos FC'!V22</f>
        <v>0</v>
      </c>
      <c r="Q17" s="116">
        <f>'Rayos FC'!W22</f>
        <v>3</v>
      </c>
      <c r="R17" s="91">
        <f>'Rayos FC'!X22</f>
        <v>0</v>
      </c>
      <c r="S17" s="91">
        <f>'Rayos FC'!Y22</f>
        <v>0</v>
      </c>
      <c r="T17" s="116">
        <f>'Rayos FC'!Z22</f>
        <v>0</v>
      </c>
      <c r="U17" s="116">
        <f>'Rayos FC'!AA22</f>
        <v>3</v>
      </c>
      <c r="V17" s="91">
        <f>'Rayos FC'!AB22</f>
        <v>0</v>
      </c>
      <c r="W17" s="91">
        <f>'Rayos FC'!AC22</f>
        <v>0</v>
      </c>
      <c r="X17" s="116">
        <f>'Rayos FC'!AD22</f>
        <v>0</v>
      </c>
      <c r="Y17" s="116">
        <f>'Rayos FC'!AE22</f>
        <v>3</v>
      </c>
      <c r="Z17" s="91">
        <f>'Rayos FC'!AF22</f>
        <v>0</v>
      </c>
      <c r="AA17" s="91">
        <f>'Rayos FC'!AG22</f>
        <v>0</v>
      </c>
      <c r="AB17" s="116">
        <f>'Rayos FC'!AH22</f>
        <v>0</v>
      </c>
      <c r="AC17" s="116">
        <f>'Rayos FC'!AI22</f>
        <v>3</v>
      </c>
      <c r="AD17" s="91">
        <f>'Rayos FC'!AJ22</f>
        <v>0</v>
      </c>
      <c r="AE17" s="91">
        <f>'Rayos FC'!AK22</f>
        <v>0</v>
      </c>
      <c r="AF17" s="116">
        <f>'Rayos FC'!AL22</f>
        <v>0</v>
      </c>
      <c r="AG17" s="116">
        <f>'Rayos FC'!AM22</f>
        <v>3</v>
      </c>
      <c r="AH17" s="91">
        <f>'Rayos FC'!AN22</f>
        <v>0</v>
      </c>
      <c r="AI17" s="91">
        <f>'Rayos FC'!AO22</f>
        <v>0</v>
      </c>
      <c r="AJ17" s="116">
        <f>'Rayos FC'!AP22</f>
        <v>0</v>
      </c>
      <c r="AK17" s="116">
        <f>'Rayos FC'!AQ22</f>
        <v>3</v>
      </c>
      <c r="AL17" s="91">
        <f>'Rayos FC'!AR22</f>
        <v>0</v>
      </c>
      <c r="AM17" s="91">
        <f>'Rayos FC'!AS22</f>
        <v>0</v>
      </c>
      <c r="AN17" s="116">
        <f>'Rayos FC'!AT22</f>
        <v>0</v>
      </c>
      <c r="AO17" s="116">
        <f>'Rayos FC'!AU22</f>
        <v>3</v>
      </c>
      <c r="AP17" s="91">
        <f>'Rayos FC'!AV22</f>
        <v>0</v>
      </c>
      <c r="AQ17" s="91">
        <f>'Rayos FC'!AW22</f>
        <v>0</v>
      </c>
      <c r="AR17" s="116">
        <f>'Rayos FC'!AX22</f>
        <v>0</v>
      </c>
      <c r="AS17" s="116">
        <f>'Rayos FC'!AY22</f>
        <v>3</v>
      </c>
      <c r="AT17" s="91">
        <f>'Rayos FC'!AZ22</f>
        <v>0</v>
      </c>
      <c r="AU17" s="91">
        <f>'Rayos FC'!BA22</f>
        <v>0</v>
      </c>
      <c r="AV17" s="116">
        <f>'Rayos FC'!BB22</f>
        <v>0</v>
      </c>
      <c r="AW17" s="116">
        <f>'Rayos FC'!BC22</f>
        <v>3</v>
      </c>
      <c r="AX17" s="91">
        <f>'Rayos FC'!BD22</f>
        <v>0</v>
      </c>
      <c r="AY17" s="91">
        <f>'Rayos FC'!BE22</f>
        <v>0</v>
      </c>
      <c r="AZ17" s="116">
        <f>'Rayos FC'!BF22</f>
        <v>0</v>
      </c>
      <c r="BA17" s="116">
        <f>'Rayos FC'!BG22</f>
        <v>3</v>
      </c>
      <c r="BB17" s="91">
        <f>'Rayos FC'!BH22</f>
        <v>0</v>
      </c>
      <c r="BC17" s="91">
        <f>'Rayos FC'!BI22</f>
        <v>0</v>
      </c>
      <c r="BD17" s="116">
        <f>'Rayos FC'!BJ22</f>
        <v>0</v>
      </c>
      <c r="BE17" s="116">
        <f>'Rayos FC'!BK22</f>
        <v>3</v>
      </c>
      <c r="BF17" s="91">
        <f>'Rayos FC'!BL22</f>
        <v>0</v>
      </c>
      <c r="BG17" s="91">
        <f>'Rayos FC'!BM22</f>
        <v>0</v>
      </c>
      <c r="BH17" s="116">
        <f>'Rayos FC'!BN22</f>
        <v>0</v>
      </c>
      <c r="BI17" s="116">
        <f>'Rayos FC'!BO22</f>
        <v>3</v>
      </c>
      <c r="BJ17" s="91">
        <f>'Rayos FC'!BP22</f>
        <v>0</v>
      </c>
      <c r="BK17" s="91">
        <f>'Rayos FC'!BQ22</f>
        <v>0</v>
      </c>
      <c r="BL17" s="116">
        <f>'Rayos FC'!BR22</f>
        <v>0</v>
      </c>
      <c r="BM17" s="116">
        <f>'Rayos FC'!BS22</f>
        <v>0</v>
      </c>
      <c r="BN17" s="91">
        <f>'Rayos FC'!BT22</f>
        <v>0</v>
      </c>
      <c r="BO17" s="91">
        <f>'Rayos FC'!BU22</f>
        <v>0</v>
      </c>
      <c r="BP17" s="116">
        <f>'Rayos FC'!BV22</f>
        <v>0</v>
      </c>
      <c r="BQ17" s="116">
        <f>'Rayos FC'!BW22</f>
        <v>0</v>
      </c>
      <c r="BR17" s="91">
        <f>'Rayos FC'!BX22</f>
        <v>0</v>
      </c>
      <c r="BS17" s="91">
        <f>'Rayos FC'!BY22</f>
        <v>0</v>
      </c>
      <c r="BT17" s="116">
        <f>'Rayos FC'!BZ22</f>
        <v>0</v>
      </c>
      <c r="BU17" s="116">
        <f>'Rayos FC'!CA22</f>
        <v>0</v>
      </c>
      <c r="BV17" s="91">
        <f>'Rayos FC'!CB22</f>
        <v>0</v>
      </c>
      <c r="BW17" s="91">
        <f>'Rayos FC'!CC22</f>
        <v>0</v>
      </c>
      <c r="BX17" s="116">
        <f>'Rayos FC'!CD22</f>
        <v>0</v>
      </c>
      <c r="BY17" s="116">
        <f>'Rayos FC'!CE22</f>
        <v>0</v>
      </c>
      <c r="BZ17" s="91">
        <f>'Rayos FC'!CF22</f>
        <v>0</v>
      </c>
      <c r="CA17" s="91">
        <f>'Rayos FC'!CG22</f>
        <v>0</v>
      </c>
      <c r="CB17" s="116">
        <f>'Rayos FC'!CH22</f>
        <v>0</v>
      </c>
      <c r="CC17" s="116">
        <f>'Rayos FC'!CI22</f>
        <v>0</v>
      </c>
      <c r="CD17" s="91">
        <f>'Rayos FC'!CJ22</f>
        <v>0</v>
      </c>
      <c r="CE17" s="91">
        <f>'Rayos FC'!CK22</f>
        <v>0</v>
      </c>
      <c r="CF17" s="116">
        <f>'Rayos FC'!CL22</f>
        <v>0</v>
      </c>
      <c r="CG17" s="116">
        <f>'Rayos FC'!CM22</f>
        <v>0</v>
      </c>
      <c r="CH17" s="91">
        <f>'Rayos FC'!CN22</f>
        <v>0</v>
      </c>
      <c r="CI17" s="91">
        <f>'Rayos FC'!CO22</f>
        <v>0</v>
      </c>
      <c r="CJ17" s="116">
        <f>'Rayos FC'!CP22</f>
        <v>0</v>
      </c>
      <c r="CK17" s="116">
        <f>'Rayos FC'!CQ22</f>
        <v>0</v>
      </c>
      <c r="CL17" s="91">
        <f>'Rayos FC'!CR22</f>
        <v>0</v>
      </c>
      <c r="CM17" s="91">
        <f>'Rayos FC'!CS22</f>
        <v>0</v>
      </c>
      <c r="CN17" s="116">
        <f>'Rayos FC'!CT22</f>
        <v>0</v>
      </c>
      <c r="CO17" s="116">
        <f>'Rayos FC'!CU22</f>
        <v>0</v>
      </c>
      <c r="CP17" s="91">
        <f>'Rayos FC'!CV22</f>
        <v>0</v>
      </c>
      <c r="CQ17" s="91">
        <f>'Rayos FC'!CW22</f>
        <v>0</v>
      </c>
      <c r="CR17" s="116">
        <f>'Rayos FC'!CX22</f>
        <v>0</v>
      </c>
      <c r="CS17" s="116">
        <f>'Rayos FC'!CY22</f>
        <v>0</v>
      </c>
      <c r="CT17" s="91">
        <f>'Rayos FC'!CZ22</f>
        <v>0</v>
      </c>
      <c r="CU17" s="91">
        <f>'Rayos FC'!DA22</f>
        <v>0</v>
      </c>
      <c r="CV17" s="116">
        <f>'Rayos FC'!DB22</f>
        <v>0</v>
      </c>
      <c r="CW17" s="116">
        <f>'Rayos FC'!DC22</f>
        <v>0</v>
      </c>
    </row>
    <row r="18" spans="1:101" ht="15.75" thickBot="1" x14ac:dyDescent="0.3">
      <c r="A18" s="94" t="str">
        <f>Equipos!B15</f>
        <v>La Unión FC</v>
      </c>
      <c r="B18" s="91">
        <f>'La Unión FC'!H22</f>
        <v>7</v>
      </c>
      <c r="C18" s="91">
        <f>'La Unión FC'!I22</f>
        <v>2</v>
      </c>
      <c r="D18" s="116">
        <f>'La Unión FC'!J22</f>
        <v>0</v>
      </c>
      <c r="E18" s="116">
        <f>'La Unión FC'!K22</f>
        <v>0</v>
      </c>
      <c r="F18" s="91">
        <f>'La Unión FC'!L22</f>
        <v>4</v>
      </c>
      <c r="G18" s="91">
        <f>'La Unión FC'!M22</f>
        <v>0</v>
      </c>
      <c r="H18" s="116">
        <f>'La Unión FC'!N22</f>
        <v>1</v>
      </c>
      <c r="I18" s="116">
        <f>'La Unión FC'!O22</f>
        <v>0</v>
      </c>
      <c r="J18" s="91">
        <f>'La Unión FC'!P22</f>
        <v>3</v>
      </c>
      <c r="K18" s="91">
        <f>'La Unión FC'!Q22</f>
        <v>3</v>
      </c>
      <c r="L18" s="116">
        <f>'La Unión FC'!R22</f>
        <v>0</v>
      </c>
      <c r="M18" s="116">
        <f>'La Unión FC'!S22</f>
        <v>0</v>
      </c>
      <c r="N18" s="91">
        <f>'La Unión FC'!T22</f>
        <v>7</v>
      </c>
      <c r="O18" s="91">
        <f>'La Unión FC'!U22</f>
        <v>1</v>
      </c>
      <c r="P18" s="116">
        <f>'La Unión FC'!V22</f>
        <v>0</v>
      </c>
      <c r="Q18" s="116">
        <f>'La Unión FC'!W22</f>
        <v>0</v>
      </c>
      <c r="R18" s="91">
        <f>'La Unión FC'!X22</f>
        <v>10</v>
      </c>
      <c r="S18" s="91">
        <f>'La Unión FC'!Y22</f>
        <v>2</v>
      </c>
      <c r="T18" s="116">
        <f>'La Unión FC'!Z22</f>
        <v>0</v>
      </c>
      <c r="U18" s="116">
        <f>'La Unión FC'!AA22</f>
        <v>0</v>
      </c>
      <c r="V18" s="91">
        <f>'La Unión FC'!AB22</f>
        <v>3</v>
      </c>
      <c r="W18" s="91">
        <f>'La Unión FC'!AC22</f>
        <v>1</v>
      </c>
      <c r="X18" s="116">
        <f>'La Unión FC'!AD22</f>
        <v>0</v>
      </c>
      <c r="Y18" s="116">
        <f>'La Unión FC'!AE22</f>
        <v>0</v>
      </c>
      <c r="Z18" s="91">
        <f>'La Unión FC'!AF22</f>
        <v>10</v>
      </c>
      <c r="AA18" s="91">
        <f>'La Unión FC'!AG22</f>
        <v>0</v>
      </c>
      <c r="AB18" s="116">
        <f>'La Unión FC'!AH22</f>
        <v>0</v>
      </c>
      <c r="AC18" s="116">
        <f>'La Unión FC'!AI22</f>
        <v>0</v>
      </c>
      <c r="AD18" s="91">
        <f>'La Unión FC'!AJ22</f>
        <v>3</v>
      </c>
      <c r="AE18" s="91">
        <f>'La Unión FC'!AK22</f>
        <v>0</v>
      </c>
      <c r="AF18" s="116">
        <f>'La Unión FC'!AL22</f>
        <v>0</v>
      </c>
      <c r="AG18" s="116">
        <f>'La Unión FC'!AM22</f>
        <v>0</v>
      </c>
      <c r="AH18" s="91">
        <f>'La Unión FC'!AN22</f>
        <v>3</v>
      </c>
      <c r="AI18" s="91">
        <f>'La Unión FC'!AO22</f>
        <v>2</v>
      </c>
      <c r="AJ18" s="116">
        <f>'La Unión FC'!AP22</f>
        <v>0</v>
      </c>
      <c r="AK18" s="116">
        <f>'La Unión FC'!AQ22</f>
        <v>0</v>
      </c>
      <c r="AL18" s="91">
        <f>'La Unión FC'!AR22</f>
        <v>4</v>
      </c>
      <c r="AM18" s="91">
        <f>'La Unión FC'!AS22</f>
        <v>1</v>
      </c>
      <c r="AN18" s="116">
        <f>'La Unión FC'!AT22</f>
        <v>0</v>
      </c>
      <c r="AO18" s="116">
        <f>'La Unión FC'!AU22</f>
        <v>0</v>
      </c>
      <c r="AP18" s="91">
        <f>'La Unión FC'!AV22</f>
        <v>6</v>
      </c>
      <c r="AQ18" s="91">
        <f>'La Unión FC'!AW22</f>
        <v>0</v>
      </c>
      <c r="AR18" s="116">
        <f>'La Unión FC'!AX22</f>
        <v>0</v>
      </c>
      <c r="AS18" s="116">
        <f>'La Unión FC'!AY22</f>
        <v>0</v>
      </c>
      <c r="AT18" s="91">
        <f>'La Unión FC'!AZ22</f>
        <v>5</v>
      </c>
      <c r="AU18" s="91">
        <f>'La Unión FC'!BA22</f>
        <v>1</v>
      </c>
      <c r="AV18" s="116">
        <f>'La Unión FC'!BB22</f>
        <v>0</v>
      </c>
      <c r="AW18" s="116">
        <f>'La Unión FC'!BC22</f>
        <v>0</v>
      </c>
      <c r="AX18" s="91">
        <f>'La Unión FC'!BD22</f>
        <v>9</v>
      </c>
      <c r="AY18" s="91">
        <f>'La Unión FC'!BE22</f>
        <v>0</v>
      </c>
      <c r="AZ18" s="116">
        <f>'La Unión FC'!BF22</f>
        <v>0</v>
      </c>
      <c r="BA18" s="116">
        <f>'La Unión FC'!BG22</f>
        <v>0</v>
      </c>
      <c r="BB18" s="91">
        <f>'La Unión FC'!BH22</f>
        <v>4</v>
      </c>
      <c r="BC18" s="91">
        <f>'La Unión FC'!BI22</f>
        <v>1</v>
      </c>
      <c r="BD18" s="116">
        <f>'La Unión FC'!BJ22</f>
        <v>0</v>
      </c>
      <c r="BE18" s="116">
        <f>'La Unión FC'!BK22</f>
        <v>0</v>
      </c>
      <c r="BF18" s="91">
        <f>'La Unión FC'!BL22</f>
        <v>5</v>
      </c>
      <c r="BG18" s="91">
        <f>'La Unión FC'!BM22</f>
        <v>1</v>
      </c>
      <c r="BH18" s="116">
        <f>'La Unión FC'!BN22</f>
        <v>0</v>
      </c>
      <c r="BI18" s="116">
        <f>'La Unión FC'!BO22</f>
        <v>0</v>
      </c>
      <c r="BJ18" s="91">
        <f>'La Unión FC'!BP22</f>
        <v>5</v>
      </c>
      <c r="BK18" s="91">
        <f>'La Unión FC'!BQ22</f>
        <v>0</v>
      </c>
      <c r="BL18" s="116">
        <f>'La Unión FC'!BR22</f>
        <v>0</v>
      </c>
      <c r="BM18" s="116">
        <f>'La Unión FC'!BS22</f>
        <v>0</v>
      </c>
      <c r="BN18" s="91">
        <f>'La Unión FC'!BT22</f>
        <v>8</v>
      </c>
      <c r="BO18" s="91">
        <f>'La Unión FC'!BU22</f>
        <v>2</v>
      </c>
      <c r="BP18" s="116">
        <f>'La Unión FC'!BV22</f>
        <v>0</v>
      </c>
      <c r="BQ18" s="116">
        <f>'La Unión FC'!BW22</f>
        <v>0</v>
      </c>
      <c r="BR18" s="91">
        <f>'La Unión FC'!BX22</f>
        <v>6</v>
      </c>
      <c r="BS18" s="91">
        <f>'La Unión FC'!BY22</f>
        <v>2</v>
      </c>
      <c r="BT18" s="116">
        <f>'La Unión FC'!BZ22</f>
        <v>0</v>
      </c>
      <c r="BU18" s="116">
        <f>'La Unión FC'!CA22</f>
        <v>0</v>
      </c>
      <c r="BV18" s="91">
        <f>'La Unión FC'!CB22</f>
        <v>0</v>
      </c>
      <c r="BW18" s="91">
        <f>'La Unión FC'!CC22</f>
        <v>4</v>
      </c>
      <c r="BX18" s="116">
        <f>'La Unión FC'!CD22</f>
        <v>0</v>
      </c>
      <c r="BY18" s="116">
        <f>'La Unión FC'!CE22</f>
        <v>0</v>
      </c>
      <c r="BZ18" s="91">
        <f>'La Unión FC'!CF22</f>
        <v>10</v>
      </c>
      <c r="CA18" s="91">
        <f>'La Unión FC'!CG22</f>
        <v>4</v>
      </c>
      <c r="CB18" s="116">
        <f>'La Unión FC'!CH22</f>
        <v>0</v>
      </c>
      <c r="CC18" s="116">
        <f>'La Unión FC'!CI22</f>
        <v>0</v>
      </c>
      <c r="CD18" s="91">
        <f>'La Unión FC'!CJ22</f>
        <v>3</v>
      </c>
      <c r="CE18" s="91">
        <f>'La Unión FC'!CK22</f>
        <v>0</v>
      </c>
      <c r="CF18" s="116">
        <f>'La Unión FC'!CL22</f>
        <v>0</v>
      </c>
      <c r="CG18" s="116">
        <f>'La Unión FC'!CM22</f>
        <v>0</v>
      </c>
      <c r="CH18" s="91">
        <f>'La Unión FC'!CN22</f>
        <v>3</v>
      </c>
      <c r="CI18" s="91">
        <f>'La Unión FC'!CO22</f>
        <v>2</v>
      </c>
      <c r="CJ18" s="116">
        <f>'La Unión FC'!CP22</f>
        <v>0</v>
      </c>
      <c r="CK18" s="116">
        <f>'La Unión FC'!CQ22</f>
        <v>0</v>
      </c>
      <c r="CL18" s="91">
        <f>'La Unión FC'!CR22</f>
        <v>3</v>
      </c>
      <c r="CM18" s="91">
        <f>'La Unión FC'!CS22</f>
        <v>1</v>
      </c>
      <c r="CN18" s="116">
        <f>'La Unión FC'!CT22</f>
        <v>0</v>
      </c>
      <c r="CO18" s="116">
        <f>'La Unión FC'!CU22</f>
        <v>0</v>
      </c>
      <c r="CP18" s="91">
        <f>'La Unión FC'!CV22</f>
        <v>0</v>
      </c>
      <c r="CQ18" s="91">
        <f>'La Unión FC'!CW22</f>
        <v>0</v>
      </c>
      <c r="CR18" s="116">
        <f>'La Unión FC'!CX22</f>
        <v>0</v>
      </c>
      <c r="CS18" s="116">
        <f>'La Unión FC'!CY22</f>
        <v>0</v>
      </c>
      <c r="CT18" s="91">
        <f>'La Unión FC'!CZ22</f>
        <v>0</v>
      </c>
      <c r="CU18" s="91">
        <f>'La Unión FC'!DA22</f>
        <v>0</v>
      </c>
      <c r="CV18" s="116">
        <f>'La Unión FC'!DB22</f>
        <v>0</v>
      </c>
      <c r="CW18" s="116">
        <f>'La Unión FC'!DC22</f>
        <v>0</v>
      </c>
    </row>
    <row r="19" spans="1:101" ht="15.75" thickBot="1" x14ac:dyDescent="0.3">
      <c r="A19" s="94" t="str">
        <f>Equipos!B16</f>
        <v>Los Aliados</v>
      </c>
      <c r="B19" s="91">
        <f>'Los Aliados'!H22</f>
        <v>2</v>
      </c>
      <c r="C19" s="91">
        <f>'Los Aliados'!I22</f>
        <v>1</v>
      </c>
      <c r="D19" s="116">
        <f>'Los Aliados'!J22</f>
        <v>1</v>
      </c>
      <c r="E19" s="116">
        <f>'Los Aliados'!K22</f>
        <v>0</v>
      </c>
      <c r="F19" s="91">
        <f>'Los Aliados'!L22</f>
        <v>1</v>
      </c>
      <c r="G19" s="91">
        <f>'Los Aliados'!M22</f>
        <v>1</v>
      </c>
      <c r="H19" s="116">
        <f>'Los Aliados'!N22</f>
        <v>0</v>
      </c>
      <c r="I19" s="116">
        <f>'Los Aliados'!O22</f>
        <v>0</v>
      </c>
      <c r="J19" s="91">
        <f>'Los Aliados'!P22</f>
        <v>0</v>
      </c>
      <c r="K19" s="91">
        <f>'Los Aliados'!Q22</f>
        <v>1</v>
      </c>
      <c r="L19" s="91">
        <f>'Los Aliados'!R22</f>
        <v>0</v>
      </c>
      <c r="M19" s="91">
        <f>'Los Aliados'!S22</f>
        <v>0</v>
      </c>
      <c r="N19" s="91">
        <f>'Los Aliados'!T22</f>
        <v>3</v>
      </c>
      <c r="O19" s="91">
        <f>'Los Aliados'!U22</f>
        <v>0</v>
      </c>
      <c r="P19" s="91">
        <f>'Los Aliados'!V22</f>
        <v>0</v>
      </c>
      <c r="Q19" s="91">
        <f>'Los Aliados'!W22</f>
        <v>0</v>
      </c>
      <c r="R19" s="91">
        <f>'Los Aliados'!X22</f>
        <v>4</v>
      </c>
      <c r="S19" s="91">
        <f>'Los Aliados'!Y22</f>
        <v>1</v>
      </c>
      <c r="T19" s="91">
        <f>'Los Aliados'!Z22</f>
        <v>0</v>
      </c>
      <c r="U19" s="91">
        <f>'Los Aliados'!AA22</f>
        <v>0</v>
      </c>
      <c r="V19" s="91">
        <f>'Los Aliados'!AB22</f>
        <v>3</v>
      </c>
      <c r="W19" s="91">
        <f>'Los Aliados'!AC22</f>
        <v>2</v>
      </c>
      <c r="X19" s="91">
        <f>'Los Aliados'!AD22</f>
        <v>0</v>
      </c>
      <c r="Y19" s="91">
        <f>'Los Aliados'!AE22</f>
        <v>0</v>
      </c>
      <c r="Z19" s="91">
        <f>'Los Aliados'!AF22</f>
        <v>3</v>
      </c>
      <c r="AA19" s="91">
        <f>'Los Aliados'!AG22</f>
        <v>0</v>
      </c>
      <c r="AB19" s="91">
        <f>'Los Aliados'!AH22</f>
        <v>0</v>
      </c>
      <c r="AC19" s="91">
        <f>'Los Aliados'!AI22</f>
        <v>1</v>
      </c>
      <c r="AD19" s="91">
        <f>'Los Aliados'!AJ22</f>
        <v>0</v>
      </c>
      <c r="AE19" s="91">
        <f>'Los Aliados'!AK22</f>
        <v>2</v>
      </c>
      <c r="AF19" s="91">
        <f>'Los Aliados'!AL22</f>
        <v>0</v>
      </c>
      <c r="AG19" s="91">
        <f>'Los Aliados'!AM22</f>
        <v>0</v>
      </c>
      <c r="AH19" s="91">
        <f>'Los Aliados'!AN22</f>
        <v>1</v>
      </c>
      <c r="AI19" s="91">
        <f>'Los Aliados'!AO22</f>
        <v>0</v>
      </c>
      <c r="AJ19" s="91">
        <f>'Los Aliados'!AP22</f>
        <v>0</v>
      </c>
      <c r="AK19" s="91">
        <f>'Los Aliados'!AQ22</f>
        <v>0</v>
      </c>
      <c r="AL19" s="91">
        <f>'Los Aliados'!AR22</f>
        <v>0</v>
      </c>
      <c r="AM19" s="91">
        <f>'Los Aliados'!AS22</f>
        <v>0</v>
      </c>
      <c r="AN19" s="91">
        <f>'Los Aliados'!AT22</f>
        <v>0</v>
      </c>
      <c r="AO19" s="91">
        <f>'Los Aliados'!AU22</f>
        <v>3</v>
      </c>
      <c r="AP19" s="91">
        <f>'Los Aliados'!AV22</f>
        <v>1</v>
      </c>
      <c r="AQ19" s="91">
        <f>'Los Aliados'!AW22</f>
        <v>0</v>
      </c>
      <c r="AR19" s="91">
        <f>'Los Aliados'!AX22</f>
        <v>0</v>
      </c>
      <c r="AS19" s="91">
        <f>'Los Aliados'!AY22</f>
        <v>0</v>
      </c>
      <c r="AT19" s="91">
        <f>'Los Aliados'!AZ22</f>
        <v>3</v>
      </c>
      <c r="AU19" s="91">
        <f>'Los Aliados'!BA22</f>
        <v>0</v>
      </c>
      <c r="AV19" s="91">
        <f>'Los Aliados'!BB22</f>
        <v>0</v>
      </c>
      <c r="AW19" s="91">
        <f>'Los Aliados'!BC22</f>
        <v>0</v>
      </c>
      <c r="AX19" s="91">
        <f>'Los Aliados'!BD22</f>
        <v>3</v>
      </c>
      <c r="AY19" s="91">
        <f>'Los Aliados'!BE22</f>
        <v>4</v>
      </c>
      <c r="AZ19" s="91">
        <f>'Los Aliados'!BF22</f>
        <v>1</v>
      </c>
      <c r="BA19" s="91">
        <f>'Los Aliados'!BG22</f>
        <v>0</v>
      </c>
      <c r="BB19" s="91">
        <f>'Los Aliados'!BH22</f>
        <v>2</v>
      </c>
      <c r="BC19" s="91">
        <f>'Los Aliados'!BI22</f>
        <v>1</v>
      </c>
      <c r="BD19" s="91">
        <f>'Los Aliados'!BJ22</f>
        <v>0</v>
      </c>
      <c r="BE19" s="91">
        <f>'Los Aliados'!BK22</f>
        <v>0</v>
      </c>
      <c r="BF19" s="91">
        <f>'Los Aliados'!BL22</f>
        <v>3</v>
      </c>
      <c r="BG19" s="91">
        <f>'Los Aliados'!BM22</f>
        <v>0</v>
      </c>
      <c r="BH19" s="91">
        <f>'Los Aliados'!BN22</f>
        <v>0</v>
      </c>
      <c r="BI19" s="91">
        <f>'Los Aliados'!BO22</f>
        <v>0</v>
      </c>
      <c r="BJ19" s="91">
        <f>'Los Aliados'!BP22</f>
        <v>3</v>
      </c>
      <c r="BK19" s="91">
        <f>'Los Aliados'!BQ22</f>
        <v>1</v>
      </c>
      <c r="BL19" s="91">
        <f>'Los Aliados'!BR22</f>
        <v>0</v>
      </c>
      <c r="BM19" s="91">
        <f>'Los Aliados'!BS22</f>
        <v>0</v>
      </c>
      <c r="BN19" s="91">
        <f>'Los Aliados'!BT22</f>
        <v>1</v>
      </c>
      <c r="BO19" s="91">
        <f>'Los Aliados'!BU22</f>
        <v>1</v>
      </c>
      <c r="BP19" s="91">
        <f>'Los Aliados'!BV22</f>
        <v>0</v>
      </c>
      <c r="BQ19" s="91">
        <f>'Los Aliados'!BW22</f>
        <v>0</v>
      </c>
      <c r="BR19" s="91">
        <f>'Los Aliados'!BX22</f>
        <v>1</v>
      </c>
      <c r="BS19" s="91">
        <f>'Los Aliados'!BY22</f>
        <v>0</v>
      </c>
      <c r="BT19" s="91">
        <f>'Los Aliados'!BZ22</f>
        <v>0</v>
      </c>
      <c r="BU19" s="91">
        <f>'Los Aliados'!CA22</f>
        <v>0</v>
      </c>
      <c r="BV19" s="91">
        <f>'Los Aliados'!CB22</f>
        <v>2</v>
      </c>
      <c r="BW19" s="91">
        <f>'Los Aliados'!CC22</f>
        <v>0</v>
      </c>
      <c r="BX19" s="91">
        <f>'Los Aliados'!CD22</f>
        <v>0</v>
      </c>
      <c r="BY19" s="91">
        <f>'Los Aliados'!CE22</f>
        <v>0</v>
      </c>
      <c r="BZ19" s="91">
        <f>'Los Aliados'!CF22</f>
        <v>0</v>
      </c>
      <c r="CA19" s="91">
        <f>'Los Aliados'!CG22</f>
        <v>1</v>
      </c>
      <c r="CB19" s="91">
        <f>'Los Aliados'!CH22</f>
        <v>0</v>
      </c>
      <c r="CC19" s="91">
        <f>'Los Aliados'!CI22</f>
        <v>3</v>
      </c>
      <c r="CD19" s="91">
        <f>'Los Aliados'!CJ22</f>
        <v>0</v>
      </c>
      <c r="CE19" s="91">
        <f>'Los Aliados'!CK22</f>
        <v>0</v>
      </c>
      <c r="CF19" s="91">
        <f>'Los Aliados'!CL22</f>
        <v>0</v>
      </c>
      <c r="CG19" s="91">
        <f>'Los Aliados'!CM22</f>
        <v>3</v>
      </c>
      <c r="CH19" s="91">
        <f>'Los Aliados'!CN22</f>
        <v>3</v>
      </c>
      <c r="CI19" s="91">
        <f>'Los Aliados'!CO22</f>
        <v>0</v>
      </c>
      <c r="CJ19" s="91">
        <f>'Los Aliados'!CP22</f>
        <v>0</v>
      </c>
      <c r="CK19" s="91">
        <f>'Los Aliados'!CQ22</f>
        <v>0</v>
      </c>
      <c r="CL19" s="91">
        <f>'Los Aliados'!CR22</f>
        <v>0</v>
      </c>
      <c r="CM19" s="91">
        <f>'Los Aliados'!CS22</f>
        <v>0</v>
      </c>
      <c r="CN19" s="91">
        <f>'Los Aliados'!CT22</f>
        <v>0</v>
      </c>
      <c r="CO19" s="91">
        <f>'Los Aliados'!CU22</f>
        <v>0</v>
      </c>
      <c r="CP19" s="91">
        <f>'Los Aliados'!CV22</f>
        <v>0</v>
      </c>
      <c r="CQ19" s="91">
        <f>'Los Aliados'!CW22</f>
        <v>0</v>
      </c>
      <c r="CR19" s="91">
        <f>'Los Aliados'!CX22</f>
        <v>0</v>
      </c>
      <c r="CS19" s="91">
        <f>'Los Aliados'!CY22</f>
        <v>0</v>
      </c>
      <c r="CT19" s="91">
        <f>'Los Aliados'!CZ22</f>
        <v>0</v>
      </c>
      <c r="CU19" s="91">
        <f>'Los Aliados'!DA22</f>
        <v>0</v>
      </c>
      <c r="CV19" s="91">
        <f>'Los Aliados'!DB22</f>
        <v>0</v>
      </c>
      <c r="CW19" s="91">
        <f>'Los Aliados'!DC22</f>
        <v>0</v>
      </c>
    </row>
    <row r="20" spans="1:101" ht="15.75" thickBot="1" x14ac:dyDescent="0.3">
      <c r="A20" s="94" t="str">
        <f>Equipos!B17</f>
        <v>Atalanta</v>
      </c>
      <c r="B20" s="91">
        <f>Atalanta!H22</f>
        <v>1</v>
      </c>
      <c r="C20" s="91">
        <f>Atalanta!I22</f>
        <v>0</v>
      </c>
      <c r="D20" s="116">
        <f>Atalanta!J22</f>
        <v>0</v>
      </c>
      <c r="E20" s="116">
        <f>Atalanta!K22</f>
        <v>0</v>
      </c>
      <c r="F20" s="91">
        <f>Atalanta!L22</f>
        <v>0</v>
      </c>
      <c r="G20" s="91">
        <f>Atalanta!M22</f>
        <v>1</v>
      </c>
      <c r="H20" s="116">
        <f>Atalanta!N22</f>
        <v>0</v>
      </c>
      <c r="I20" s="116">
        <f>Atalanta!O22</f>
        <v>0</v>
      </c>
      <c r="J20" s="91">
        <f>Atalanta!P22</f>
        <v>3</v>
      </c>
      <c r="K20" s="91">
        <f>Atalanta!Q22</f>
        <v>0</v>
      </c>
      <c r="L20" s="116">
        <f>Atalanta!R22</f>
        <v>0</v>
      </c>
      <c r="M20" s="116">
        <f>Atalanta!S22</f>
        <v>0</v>
      </c>
      <c r="N20" s="91">
        <f>Atalanta!T22</f>
        <v>1</v>
      </c>
      <c r="O20" s="91">
        <f>Atalanta!U22</f>
        <v>1</v>
      </c>
      <c r="P20" s="116">
        <f>Atalanta!V22</f>
        <v>0</v>
      </c>
      <c r="Q20" s="116">
        <f>Atalanta!W22</f>
        <v>0</v>
      </c>
      <c r="R20" s="91">
        <f>Atalanta!X22</f>
        <v>1</v>
      </c>
      <c r="S20" s="91">
        <f>Atalanta!Y22</f>
        <v>1</v>
      </c>
      <c r="T20" s="116">
        <f>Atalanta!Z22</f>
        <v>0</v>
      </c>
      <c r="U20" s="116">
        <f>Atalanta!AA22</f>
        <v>1</v>
      </c>
      <c r="V20" s="91">
        <f>Atalanta!AB22</f>
        <v>2</v>
      </c>
      <c r="W20" s="91">
        <f>Atalanta!AC22</f>
        <v>0</v>
      </c>
      <c r="X20" s="116">
        <f>Atalanta!AD22</f>
        <v>0</v>
      </c>
      <c r="Y20" s="116">
        <f>Atalanta!AE22</f>
        <v>0</v>
      </c>
      <c r="Z20" s="91">
        <f>Atalanta!AF22</f>
        <v>3</v>
      </c>
      <c r="AA20" s="91">
        <f>Atalanta!AG22</f>
        <v>2</v>
      </c>
      <c r="AB20" s="116">
        <f>Atalanta!AH22</f>
        <v>0</v>
      </c>
      <c r="AC20" s="116">
        <f>Atalanta!AI22</f>
        <v>1</v>
      </c>
      <c r="AD20" s="91">
        <f>Atalanta!AJ22</f>
        <v>0</v>
      </c>
      <c r="AE20" s="91">
        <f>Atalanta!AK22</f>
        <v>0</v>
      </c>
      <c r="AF20" s="116">
        <f>Atalanta!AL22</f>
        <v>0</v>
      </c>
      <c r="AG20" s="116">
        <f>Atalanta!AM22</f>
        <v>0</v>
      </c>
      <c r="AH20" s="91">
        <f>Atalanta!AN22</f>
        <v>2</v>
      </c>
      <c r="AI20" s="91">
        <f>Atalanta!AO22</f>
        <v>2</v>
      </c>
      <c r="AJ20" s="116">
        <f>Atalanta!AP22</f>
        <v>0</v>
      </c>
      <c r="AK20" s="116">
        <f>Atalanta!AQ22</f>
        <v>0</v>
      </c>
      <c r="AL20" s="91">
        <f>Atalanta!AR22</f>
        <v>3</v>
      </c>
      <c r="AM20" s="91">
        <f>Atalanta!AS22</f>
        <v>0</v>
      </c>
      <c r="AN20" s="116">
        <f>Atalanta!AT22</f>
        <v>0</v>
      </c>
      <c r="AO20" s="116">
        <f>Atalanta!AU22</f>
        <v>0</v>
      </c>
      <c r="AP20" s="91">
        <f>Atalanta!AV22</f>
        <v>5</v>
      </c>
      <c r="AQ20" s="91">
        <f>Atalanta!AW22</f>
        <v>0</v>
      </c>
      <c r="AR20" s="116">
        <f>Atalanta!AX22</f>
        <v>0</v>
      </c>
      <c r="AS20" s="116">
        <f>Atalanta!AY22</f>
        <v>0</v>
      </c>
      <c r="AT20" s="91">
        <f>Atalanta!AZ22</f>
        <v>0</v>
      </c>
      <c r="AU20" s="91">
        <f>Atalanta!BA22</f>
        <v>1</v>
      </c>
      <c r="AV20" s="116">
        <f>Atalanta!BB22</f>
        <v>0</v>
      </c>
      <c r="AW20" s="116">
        <f>Atalanta!BC22</f>
        <v>0</v>
      </c>
      <c r="AX20" s="91">
        <f>Atalanta!BD22</f>
        <v>0</v>
      </c>
      <c r="AY20" s="91">
        <f>Atalanta!BE22</f>
        <v>0</v>
      </c>
      <c r="AZ20" s="116">
        <f>Atalanta!BF22</f>
        <v>1</v>
      </c>
      <c r="BA20" s="116">
        <f>Atalanta!BG22</f>
        <v>0</v>
      </c>
      <c r="BB20" s="91">
        <f>Atalanta!BH22</f>
        <v>1</v>
      </c>
      <c r="BC20" s="91">
        <f>Atalanta!BI22</f>
        <v>0</v>
      </c>
      <c r="BD20" s="116">
        <f>Atalanta!BJ22</f>
        <v>0</v>
      </c>
      <c r="BE20" s="116">
        <f>Atalanta!BK22</f>
        <v>0</v>
      </c>
      <c r="BF20" s="91">
        <f>Atalanta!BL22</f>
        <v>2</v>
      </c>
      <c r="BG20" s="91">
        <f>Atalanta!BM22</f>
        <v>0</v>
      </c>
      <c r="BH20" s="116">
        <f>Atalanta!BN22</f>
        <v>0</v>
      </c>
      <c r="BI20" s="116">
        <f>Atalanta!BO22</f>
        <v>0</v>
      </c>
      <c r="BJ20" s="91">
        <f>Atalanta!BP22</f>
        <v>0</v>
      </c>
      <c r="BK20" s="91">
        <f>Atalanta!BQ22</f>
        <v>0</v>
      </c>
      <c r="BL20" s="116">
        <f>Atalanta!BR22</f>
        <v>0</v>
      </c>
      <c r="BM20" s="116">
        <f>Atalanta!BS22</f>
        <v>0</v>
      </c>
      <c r="BN20" s="91">
        <f>Atalanta!BT22</f>
        <v>12</v>
      </c>
      <c r="BO20" s="91">
        <f>Atalanta!BU22</f>
        <v>0</v>
      </c>
      <c r="BP20" s="116">
        <f>Atalanta!BV22</f>
        <v>0</v>
      </c>
      <c r="BQ20" s="116">
        <f>Atalanta!BW22</f>
        <v>0</v>
      </c>
      <c r="BR20" s="91">
        <f>Atalanta!BX22</f>
        <v>3</v>
      </c>
      <c r="BS20" s="91">
        <f>Atalanta!BY22</f>
        <v>0</v>
      </c>
      <c r="BT20" s="116">
        <f>Atalanta!BZ22</f>
        <v>0</v>
      </c>
      <c r="BU20" s="116">
        <f>Atalanta!CA22</f>
        <v>0</v>
      </c>
      <c r="BV20" s="91">
        <f>Atalanta!CB22</f>
        <v>2</v>
      </c>
      <c r="BW20" s="91">
        <f>Atalanta!CC22</f>
        <v>0</v>
      </c>
      <c r="BX20" s="116">
        <f>Atalanta!CD22</f>
        <v>1</v>
      </c>
      <c r="BY20" s="116">
        <f>Atalanta!CE22</f>
        <v>0</v>
      </c>
      <c r="BZ20" s="91">
        <f>Atalanta!CF22</f>
        <v>2</v>
      </c>
      <c r="CA20" s="91">
        <f>Atalanta!CG22</f>
        <v>0</v>
      </c>
      <c r="CB20" s="116">
        <f>Atalanta!CH22</f>
        <v>0</v>
      </c>
      <c r="CC20" s="116">
        <f>Atalanta!CI22</f>
        <v>0</v>
      </c>
      <c r="CD20" s="91">
        <f>Atalanta!CJ22</f>
        <v>7</v>
      </c>
      <c r="CE20" s="91">
        <f>Atalanta!CK22</f>
        <v>0</v>
      </c>
      <c r="CF20" s="116">
        <f>Atalanta!CL22</f>
        <v>0</v>
      </c>
      <c r="CG20" s="116">
        <f>Atalanta!CM22</f>
        <v>0</v>
      </c>
      <c r="CH20" s="91">
        <f>Atalanta!CN22</f>
        <v>0</v>
      </c>
      <c r="CI20" s="91">
        <f>Atalanta!CO22</f>
        <v>1</v>
      </c>
      <c r="CJ20" s="116">
        <f>Atalanta!CP22</f>
        <v>0</v>
      </c>
      <c r="CK20" s="116">
        <f>Atalanta!CQ22</f>
        <v>0</v>
      </c>
      <c r="CL20" s="91">
        <f>Atalanta!CR22</f>
        <v>0</v>
      </c>
      <c r="CM20" s="91">
        <f>Atalanta!CS22</f>
        <v>0</v>
      </c>
      <c r="CN20" s="116">
        <f>Atalanta!CT22</f>
        <v>0</v>
      </c>
      <c r="CO20" s="116">
        <f>Atalanta!CU22</f>
        <v>0</v>
      </c>
      <c r="CP20" s="91">
        <f>Atalanta!CV22</f>
        <v>0</v>
      </c>
      <c r="CQ20" s="91">
        <f>Atalanta!CW22</f>
        <v>0</v>
      </c>
      <c r="CR20" s="116">
        <f>Atalanta!CX22</f>
        <v>0</v>
      </c>
      <c r="CS20" s="116">
        <f>Atalanta!CY22</f>
        <v>0</v>
      </c>
      <c r="CT20" s="91">
        <f>Atalanta!CZ22</f>
        <v>0</v>
      </c>
      <c r="CU20" s="91">
        <f>Atalanta!DA22</f>
        <v>0</v>
      </c>
      <c r="CV20" s="116">
        <f>Atalanta!DB22</f>
        <v>0</v>
      </c>
      <c r="CW20" s="116">
        <f>Atalanta!DC22</f>
        <v>0</v>
      </c>
    </row>
    <row r="21" spans="1:101" ht="15.75" thickBot="1" x14ac:dyDescent="0.3">
      <c r="A21" s="94" t="str">
        <f>Equipos!B18</f>
        <v>CD El Corozo</v>
      </c>
      <c r="B21" s="91">
        <f>'CD El Corozo'!H22</f>
        <v>2</v>
      </c>
      <c r="C21" s="91">
        <f>'CD El Corozo'!I22</f>
        <v>1</v>
      </c>
      <c r="D21" s="116">
        <f>'CD El Corozo'!J22</f>
        <v>0</v>
      </c>
      <c r="E21" s="116">
        <f>'CD El Corozo'!K22</f>
        <v>0</v>
      </c>
      <c r="F21" s="91">
        <f>'CD El Corozo'!L22</f>
        <v>2</v>
      </c>
      <c r="G21" s="91">
        <f>'CD El Corozo'!M22</f>
        <v>0</v>
      </c>
      <c r="H21" s="116">
        <f>'CD El Corozo'!N22</f>
        <v>0</v>
      </c>
      <c r="I21" s="116">
        <f>'CD El Corozo'!O22</f>
        <v>0</v>
      </c>
      <c r="J21" s="91">
        <f>'CD El Corozo'!P22</f>
        <v>18</v>
      </c>
      <c r="K21" s="91">
        <f>'CD El Corozo'!Q22</f>
        <v>1</v>
      </c>
      <c r="L21" s="116">
        <f>'CD El Corozo'!R22</f>
        <v>0</v>
      </c>
      <c r="M21" s="116">
        <f>'CD El Corozo'!S22</f>
        <v>0</v>
      </c>
      <c r="N21" s="91">
        <f>'CD El Corozo'!T22</f>
        <v>0</v>
      </c>
      <c r="O21" s="91">
        <f>'CD El Corozo'!U22</f>
        <v>1</v>
      </c>
      <c r="P21" s="116">
        <f>'CD El Corozo'!V22</f>
        <v>0</v>
      </c>
      <c r="Q21" s="116">
        <f>'CD El Corozo'!W22</f>
        <v>0</v>
      </c>
      <c r="R21" s="91">
        <f>'CD El Corozo'!X22</f>
        <v>3</v>
      </c>
      <c r="S21" s="91">
        <f>'CD El Corozo'!Y22</f>
        <v>4</v>
      </c>
      <c r="T21" s="116">
        <f>'CD El Corozo'!Z22</f>
        <v>0</v>
      </c>
      <c r="U21" s="116">
        <f>'CD El Corozo'!AA22</f>
        <v>0</v>
      </c>
      <c r="V21" s="91">
        <f>'CD El Corozo'!AB22</f>
        <v>4</v>
      </c>
      <c r="W21" s="91">
        <f>'CD El Corozo'!AC22</f>
        <v>1</v>
      </c>
      <c r="X21" s="116">
        <f>'CD El Corozo'!AD22</f>
        <v>0</v>
      </c>
      <c r="Y21" s="116">
        <f>'CD El Corozo'!AE22</f>
        <v>0</v>
      </c>
      <c r="Z21" s="91">
        <f>'CD El Corozo'!AF22</f>
        <v>0</v>
      </c>
      <c r="AA21" s="91">
        <f>'CD El Corozo'!AG22</f>
        <v>0</v>
      </c>
      <c r="AB21" s="116">
        <f>'CD El Corozo'!AH22</f>
        <v>0</v>
      </c>
      <c r="AC21" s="116">
        <f>'CD El Corozo'!AI22</f>
        <v>0</v>
      </c>
      <c r="AD21" s="91">
        <f>'CD El Corozo'!AJ22</f>
        <v>5</v>
      </c>
      <c r="AE21" s="91">
        <f>'CD El Corozo'!AK22</f>
        <v>0</v>
      </c>
      <c r="AF21" s="116">
        <f>'CD El Corozo'!AL22</f>
        <v>0</v>
      </c>
      <c r="AG21" s="116">
        <f>'CD El Corozo'!AM22</f>
        <v>0</v>
      </c>
      <c r="AH21" s="91">
        <f>'CD El Corozo'!AN22</f>
        <v>3</v>
      </c>
      <c r="AI21" s="91">
        <f>'CD El Corozo'!AO22</f>
        <v>0</v>
      </c>
      <c r="AJ21" s="116">
        <f>'CD El Corozo'!AP22</f>
        <v>0</v>
      </c>
      <c r="AK21" s="116">
        <f>'CD El Corozo'!AQ22</f>
        <v>0</v>
      </c>
      <c r="AL21" s="91">
        <f>'CD El Corozo'!AR22</f>
        <v>6</v>
      </c>
      <c r="AM21" s="91">
        <f>'CD El Corozo'!AS22</f>
        <v>0</v>
      </c>
      <c r="AN21" s="116">
        <f>'CD El Corozo'!AT22</f>
        <v>0</v>
      </c>
      <c r="AO21" s="116">
        <f>'CD El Corozo'!AU22</f>
        <v>0</v>
      </c>
      <c r="AP21" s="91">
        <f>'CD El Corozo'!AV22</f>
        <v>6</v>
      </c>
      <c r="AQ21" s="91">
        <f>'CD El Corozo'!AW22</f>
        <v>3</v>
      </c>
      <c r="AR21" s="116">
        <f>'CD El Corozo'!AX22</f>
        <v>0</v>
      </c>
      <c r="AS21" s="116">
        <f>'CD El Corozo'!AY22</f>
        <v>0</v>
      </c>
      <c r="AT21" s="91">
        <f>'CD El Corozo'!AZ22</f>
        <v>5</v>
      </c>
      <c r="AU21" s="91">
        <f>'CD El Corozo'!BA22</f>
        <v>1</v>
      </c>
      <c r="AV21" s="116">
        <f>'CD El Corozo'!BB22</f>
        <v>0</v>
      </c>
      <c r="AW21" s="116">
        <f>'CD El Corozo'!BC22</f>
        <v>0</v>
      </c>
      <c r="AX21" s="91">
        <f>'CD El Corozo'!BD22</f>
        <v>3</v>
      </c>
      <c r="AY21" s="91">
        <f>'CD El Corozo'!BE22</f>
        <v>1</v>
      </c>
      <c r="AZ21" s="116">
        <f>'CD El Corozo'!BF22</f>
        <v>0</v>
      </c>
      <c r="BA21" s="116">
        <f>'CD El Corozo'!BG22</f>
        <v>0</v>
      </c>
      <c r="BB21" s="91">
        <f>'CD El Corozo'!BH22</f>
        <v>4</v>
      </c>
      <c r="BC21" s="91">
        <f>'CD El Corozo'!BI22</f>
        <v>3</v>
      </c>
      <c r="BD21" s="116">
        <f>'CD El Corozo'!BJ22</f>
        <v>0</v>
      </c>
      <c r="BE21" s="116">
        <f>'CD El Corozo'!BK22</f>
        <v>0</v>
      </c>
      <c r="BF21" s="91">
        <f>'CD El Corozo'!BL22</f>
        <v>2</v>
      </c>
      <c r="BG21" s="91">
        <f>'CD El Corozo'!BM22</f>
        <v>1</v>
      </c>
      <c r="BH21" s="116">
        <f>'CD El Corozo'!BN22</f>
        <v>0</v>
      </c>
      <c r="BI21" s="116">
        <f>'CD El Corozo'!BO22</f>
        <v>0</v>
      </c>
      <c r="BJ21" s="91">
        <f>'CD El Corozo'!BP22</f>
        <v>0</v>
      </c>
      <c r="BK21" s="91">
        <f>'CD El Corozo'!BQ22</f>
        <v>0</v>
      </c>
      <c r="BL21" s="116">
        <f>'CD El Corozo'!BR22</f>
        <v>0</v>
      </c>
      <c r="BM21" s="116">
        <f>'CD El Corozo'!BS22</f>
        <v>0</v>
      </c>
      <c r="BN21" s="91">
        <f>'CD El Corozo'!BT22</f>
        <v>2</v>
      </c>
      <c r="BO21" s="91">
        <f>'CD El Corozo'!BU22</f>
        <v>1</v>
      </c>
      <c r="BP21" s="116">
        <f>'CD El Corozo'!BV22</f>
        <v>0</v>
      </c>
      <c r="BQ21" s="116">
        <f>'CD El Corozo'!BW22</f>
        <v>0</v>
      </c>
      <c r="BR21" s="91">
        <f>'CD El Corozo'!BX22</f>
        <v>2</v>
      </c>
      <c r="BS21" s="91">
        <f>'CD El Corozo'!BY22</f>
        <v>0</v>
      </c>
      <c r="BT21" s="116">
        <f>'CD El Corozo'!BZ22</f>
        <v>0</v>
      </c>
      <c r="BU21" s="116">
        <f>'CD El Corozo'!CA22</f>
        <v>1</v>
      </c>
      <c r="BV21" s="91">
        <f>'CD El Corozo'!CB22</f>
        <v>0</v>
      </c>
      <c r="BW21" s="91">
        <f>'CD El Corozo'!CC22</f>
        <v>0</v>
      </c>
      <c r="BX21" s="116">
        <f>'CD El Corozo'!CD22</f>
        <v>0</v>
      </c>
      <c r="BY21" s="116">
        <f>'CD El Corozo'!CE22</f>
        <v>3</v>
      </c>
      <c r="BZ21" s="91">
        <f>'CD El Corozo'!CF22</f>
        <v>0</v>
      </c>
      <c r="CA21" s="91">
        <f>'CD El Corozo'!CG22</f>
        <v>0</v>
      </c>
      <c r="CB21" s="116">
        <f>'CD El Corozo'!CH22</f>
        <v>0</v>
      </c>
      <c r="CC21" s="116">
        <f>'CD El Corozo'!CI22</f>
        <v>3</v>
      </c>
      <c r="CD21" s="91">
        <f>'CD El Corozo'!CJ22</f>
        <v>0</v>
      </c>
      <c r="CE21" s="91">
        <f>'CD El Corozo'!CK22</f>
        <v>0</v>
      </c>
      <c r="CF21" s="116">
        <f>'CD El Corozo'!CL22</f>
        <v>0</v>
      </c>
      <c r="CG21" s="116">
        <f>'CD El Corozo'!CM22</f>
        <v>3</v>
      </c>
      <c r="CH21" s="91">
        <f>'CD El Corozo'!CN22</f>
        <v>0</v>
      </c>
      <c r="CI21" s="91">
        <f>'CD El Corozo'!CO22</f>
        <v>0</v>
      </c>
      <c r="CJ21" s="116">
        <f>'CD El Corozo'!CP22</f>
        <v>0</v>
      </c>
      <c r="CK21" s="116">
        <f>'CD El Corozo'!CQ22</f>
        <v>3</v>
      </c>
      <c r="CL21" s="91">
        <f>'CD El Corozo'!CR22</f>
        <v>0</v>
      </c>
      <c r="CM21" s="91">
        <f>'CD El Corozo'!CS22</f>
        <v>0</v>
      </c>
      <c r="CN21" s="116">
        <f>'CD El Corozo'!CT22</f>
        <v>0</v>
      </c>
      <c r="CO21" s="116">
        <f>'CD El Corozo'!CU22</f>
        <v>3</v>
      </c>
      <c r="CP21" s="91">
        <f>'CD El Corozo'!CV22</f>
        <v>0</v>
      </c>
      <c r="CQ21" s="91">
        <f>'CD El Corozo'!CW22</f>
        <v>0</v>
      </c>
      <c r="CR21" s="116">
        <f>'CD El Corozo'!CX22</f>
        <v>0</v>
      </c>
      <c r="CS21" s="116">
        <f>'CD El Corozo'!CY22</f>
        <v>3</v>
      </c>
      <c r="CT21" s="91">
        <f>'CD El Corozo'!CZ22</f>
        <v>0</v>
      </c>
      <c r="CU21" s="91">
        <f>'CD El Corozo'!DA22</f>
        <v>0</v>
      </c>
      <c r="CV21" s="116">
        <f>'CD El Corozo'!DB22</f>
        <v>0</v>
      </c>
      <c r="CW21" s="116">
        <f>'CD El Corozo'!DC22</f>
        <v>3</v>
      </c>
    </row>
    <row r="22" spans="1:101" ht="15.75" thickBot="1" x14ac:dyDescent="0.3">
      <c r="A22" s="94">
        <f>Equipos!B19</f>
        <v>0</v>
      </c>
      <c r="B22" s="101">
        <f>'Equıpo 17'!H22</f>
        <v>0</v>
      </c>
      <c r="C22" s="102">
        <f>'Equıpo 17'!I22</f>
        <v>0</v>
      </c>
      <c r="D22" s="119">
        <f>'Equıpo 17'!J22</f>
        <v>0</v>
      </c>
      <c r="E22" s="119">
        <f>'Equıpo 17'!K22</f>
        <v>0</v>
      </c>
      <c r="F22" s="102">
        <f>'Equıpo 17'!L22</f>
        <v>0</v>
      </c>
      <c r="G22" s="102">
        <f>'Equıpo 17'!M22</f>
        <v>0</v>
      </c>
      <c r="H22" s="119">
        <f>'Equıpo 17'!N22</f>
        <v>0</v>
      </c>
      <c r="I22" s="119">
        <f>'Equıpo 17'!O22</f>
        <v>0</v>
      </c>
      <c r="J22" s="102">
        <f>'Equıpo 17'!P22</f>
        <v>0</v>
      </c>
      <c r="K22" s="102">
        <f>'Equıpo 17'!Q22</f>
        <v>0</v>
      </c>
      <c r="L22" s="119">
        <f>'Equıpo 17'!R22</f>
        <v>0</v>
      </c>
      <c r="M22" s="119">
        <f>'Equıpo 17'!S22</f>
        <v>0</v>
      </c>
      <c r="N22" s="102">
        <f>'Equıpo 17'!T22</f>
        <v>0</v>
      </c>
      <c r="O22" s="102">
        <f>'Equıpo 17'!U22</f>
        <v>0</v>
      </c>
      <c r="P22" s="119">
        <f>'Equıpo 17'!V22</f>
        <v>0</v>
      </c>
      <c r="Q22" s="119">
        <f>'Equıpo 17'!W22</f>
        <v>0</v>
      </c>
      <c r="R22" s="102">
        <f>'Equıpo 17'!X22</f>
        <v>0</v>
      </c>
      <c r="S22" s="102">
        <f>'Equıpo 17'!Y22</f>
        <v>0</v>
      </c>
      <c r="T22" s="119">
        <f>'Equıpo 17'!Z22</f>
        <v>0</v>
      </c>
      <c r="U22" s="119">
        <f>'Equıpo 17'!AA22</f>
        <v>0</v>
      </c>
      <c r="V22" s="102">
        <f>'Equıpo 17'!AB22</f>
        <v>0</v>
      </c>
      <c r="W22" s="102">
        <f>'Equıpo 17'!AC22</f>
        <v>0</v>
      </c>
      <c r="X22" s="119">
        <f>'Equıpo 17'!AD22</f>
        <v>0</v>
      </c>
      <c r="Y22" s="119">
        <f>'Equıpo 17'!AE22</f>
        <v>0</v>
      </c>
      <c r="Z22" s="102">
        <f>'Equıpo 17'!AF22</f>
        <v>0</v>
      </c>
      <c r="AA22" s="102">
        <f>'Equıpo 17'!AG22</f>
        <v>0</v>
      </c>
      <c r="AB22" s="119">
        <f>'Equıpo 17'!AH22</f>
        <v>0</v>
      </c>
      <c r="AC22" s="119">
        <f>'Equıpo 17'!AI22</f>
        <v>0</v>
      </c>
      <c r="AD22" s="102">
        <f>'Equıpo 17'!AJ22</f>
        <v>0</v>
      </c>
      <c r="AE22" s="102">
        <f>'Equıpo 17'!AK22</f>
        <v>0</v>
      </c>
      <c r="AF22" s="119">
        <f>'Equıpo 17'!AL22</f>
        <v>0</v>
      </c>
      <c r="AG22" s="119">
        <f>'Equıpo 17'!AM22</f>
        <v>0</v>
      </c>
      <c r="AH22" s="102">
        <f>'Equıpo 17'!AN22</f>
        <v>0</v>
      </c>
      <c r="AI22" s="102">
        <f>'Equıpo 17'!AO22</f>
        <v>0</v>
      </c>
      <c r="AJ22" s="119">
        <f>'Equıpo 17'!AP22</f>
        <v>0</v>
      </c>
      <c r="AK22" s="119">
        <f>'Equıpo 17'!AQ22</f>
        <v>0</v>
      </c>
      <c r="AL22" s="102">
        <f>'Equıpo 17'!AR22</f>
        <v>0</v>
      </c>
      <c r="AM22" s="102">
        <f>'Equıpo 17'!AS22</f>
        <v>0</v>
      </c>
      <c r="AN22" s="119">
        <f>'Equıpo 17'!AT22</f>
        <v>0</v>
      </c>
      <c r="AO22" s="119">
        <f>'Equıpo 17'!AU22</f>
        <v>0</v>
      </c>
      <c r="AP22" s="102">
        <f>'Equıpo 17'!AV22</f>
        <v>0</v>
      </c>
      <c r="AQ22" s="102">
        <f>'Equıpo 17'!AW22</f>
        <v>0</v>
      </c>
      <c r="AR22" s="119">
        <f>'Equıpo 17'!AX22</f>
        <v>0</v>
      </c>
      <c r="AS22" s="119">
        <f>'Equıpo 17'!AY22</f>
        <v>0</v>
      </c>
      <c r="AT22" s="102">
        <f>'Equıpo 17'!AZ22</f>
        <v>0</v>
      </c>
      <c r="AU22" s="102">
        <f>'Equıpo 17'!BA22</f>
        <v>0</v>
      </c>
      <c r="AV22" s="119">
        <f>'Equıpo 17'!BB22</f>
        <v>0</v>
      </c>
      <c r="AW22" s="119">
        <f>'Equıpo 17'!BC22</f>
        <v>0</v>
      </c>
      <c r="AX22" s="102">
        <f>'Equıpo 17'!BD22</f>
        <v>0</v>
      </c>
      <c r="AY22" s="102">
        <f>'Equıpo 17'!BE22</f>
        <v>0</v>
      </c>
      <c r="AZ22" s="119">
        <f>'Equıpo 17'!BF22</f>
        <v>0</v>
      </c>
      <c r="BA22" s="119">
        <f>'Equıpo 17'!BG22</f>
        <v>0</v>
      </c>
      <c r="BB22" s="102">
        <f>'Equıpo 17'!BH22</f>
        <v>0</v>
      </c>
      <c r="BC22" s="102">
        <f>'Equıpo 17'!BI22</f>
        <v>0</v>
      </c>
      <c r="BD22" s="119">
        <f>'Equıpo 17'!BJ22</f>
        <v>0</v>
      </c>
      <c r="BE22" s="119">
        <f>'Equıpo 17'!BK22</f>
        <v>0</v>
      </c>
      <c r="BF22" s="102">
        <f>'Equıpo 17'!BL22</f>
        <v>0</v>
      </c>
      <c r="BG22" s="102">
        <f>'Equıpo 17'!BM22</f>
        <v>0</v>
      </c>
      <c r="BH22" s="119">
        <f>'Equıpo 17'!BN22</f>
        <v>0</v>
      </c>
      <c r="BI22" s="119">
        <f>'Equıpo 17'!BO22</f>
        <v>0</v>
      </c>
      <c r="BJ22" s="102">
        <f>'Equıpo 17'!BP22</f>
        <v>0</v>
      </c>
      <c r="BK22" s="102">
        <f>'Equıpo 17'!BQ22</f>
        <v>0</v>
      </c>
      <c r="BL22" s="119">
        <f>'Equıpo 17'!BR22</f>
        <v>0</v>
      </c>
      <c r="BM22" s="119">
        <f>'Equıpo 17'!BS22</f>
        <v>0</v>
      </c>
      <c r="BN22" s="102">
        <f>'Equıpo 17'!BT22</f>
        <v>0</v>
      </c>
      <c r="BO22" s="102">
        <f>'Equıpo 17'!BU22</f>
        <v>0</v>
      </c>
      <c r="BP22" s="119">
        <f>'Equıpo 17'!BV22</f>
        <v>0</v>
      </c>
      <c r="BQ22" s="119">
        <f>'Equıpo 17'!BW22</f>
        <v>0</v>
      </c>
      <c r="BR22" s="102">
        <f>'Equıpo 17'!BX22</f>
        <v>0</v>
      </c>
      <c r="BS22" s="102">
        <f>'Equıpo 17'!BY22</f>
        <v>0</v>
      </c>
      <c r="BT22" s="119">
        <f>'Equıpo 17'!BZ22</f>
        <v>0</v>
      </c>
      <c r="BU22" s="119">
        <f>'Equıpo 17'!CA22</f>
        <v>0</v>
      </c>
      <c r="BV22" s="102">
        <f>'Equıpo 17'!CB22</f>
        <v>0</v>
      </c>
      <c r="BW22" s="102">
        <f>'Equıpo 17'!CC22</f>
        <v>0</v>
      </c>
      <c r="BX22" s="119">
        <f>'Equıpo 17'!CD22</f>
        <v>0</v>
      </c>
      <c r="BY22" s="119">
        <f>'Equıpo 17'!CE22</f>
        <v>0</v>
      </c>
      <c r="BZ22" s="102">
        <f>'Equıpo 17'!CF22</f>
        <v>0</v>
      </c>
      <c r="CA22" s="102">
        <f>'Equıpo 17'!CG22</f>
        <v>0</v>
      </c>
      <c r="CB22" s="119">
        <f>'Equıpo 17'!CH22</f>
        <v>0</v>
      </c>
      <c r="CC22" s="119">
        <f>'Equıpo 17'!CI22</f>
        <v>0</v>
      </c>
      <c r="CD22" s="102">
        <f>'Equıpo 17'!CJ22</f>
        <v>0</v>
      </c>
      <c r="CE22" s="102">
        <f>'Equıpo 17'!CK22</f>
        <v>0</v>
      </c>
      <c r="CF22" s="119">
        <f>'Equıpo 17'!CL22</f>
        <v>0</v>
      </c>
      <c r="CG22" s="119">
        <f>'Equıpo 17'!CM22</f>
        <v>0</v>
      </c>
      <c r="CH22" s="102">
        <f>'Equıpo 17'!CN22</f>
        <v>0</v>
      </c>
      <c r="CI22" s="102">
        <f>'Equıpo 17'!CO22</f>
        <v>0</v>
      </c>
      <c r="CJ22" s="119">
        <f>'Equıpo 17'!CP22</f>
        <v>0</v>
      </c>
      <c r="CK22" s="119">
        <f>'Equıpo 17'!CQ22</f>
        <v>0</v>
      </c>
      <c r="CL22" s="102">
        <f>'Equıpo 17'!CR22</f>
        <v>0</v>
      </c>
      <c r="CM22" s="102">
        <f>'Equıpo 17'!CS22</f>
        <v>0</v>
      </c>
      <c r="CN22" s="119">
        <f>'Equıpo 17'!CT22</f>
        <v>0</v>
      </c>
      <c r="CO22" s="119">
        <f>'Equıpo 17'!CU22</f>
        <v>0</v>
      </c>
      <c r="CP22" s="102">
        <f>'Equıpo 17'!CV22</f>
        <v>0</v>
      </c>
      <c r="CQ22" s="102">
        <f>'Equıpo 17'!CW22</f>
        <v>0</v>
      </c>
      <c r="CR22" s="119">
        <f>'Equıpo 17'!CX22</f>
        <v>0</v>
      </c>
      <c r="CS22" s="119">
        <f>'Equıpo 17'!CY22</f>
        <v>0</v>
      </c>
      <c r="CT22" s="102">
        <f>'Equıpo 17'!CZ22</f>
        <v>0</v>
      </c>
      <c r="CU22" s="102">
        <f>'Equıpo 17'!DA22</f>
        <v>0</v>
      </c>
      <c r="CV22" s="119">
        <f>'Equıpo 17'!DB22</f>
        <v>0</v>
      </c>
      <c r="CW22" s="119">
        <f>'Equıpo 17'!DC22</f>
        <v>0</v>
      </c>
    </row>
    <row r="23" spans="1:101" ht="15.75" x14ac:dyDescent="0.25">
      <c r="B23" s="103">
        <f t="shared" ref="B23:AG23" si="0">SUM(B6:B22)</f>
        <v>44</v>
      </c>
      <c r="C23" s="103">
        <f t="shared" si="0"/>
        <v>9</v>
      </c>
      <c r="D23" s="103">
        <f t="shared" si="0"/>
        <v>1</v>
      </c>
      <c r="E23" s="103">
        <f t="shared" si="0"/>
        <v>1</v>
      </c>
      <c r="F23" s="103">
        <f t="shared" si="0"/>
        <v>65</v>
      </c>
      <c r="G23" s="103">
        <f t="shared" si="0"/>
        <v>10</v>
      </c>
      <c r="H23" s="103">
        <f t="shared" si="0"/>
        <v>2</v>
      </c>
      <c r="I23" s="103">
        <f t="shared" si="0"/>
        <v>0</v>
      </c>
      <c r="J23" s="103">
        <f t="shared" si="0"/>
        <v>72</v>
      </c>
      <c r="K23" s="103">
        <f t="shared" si="0"/>
        <v>14</v>
      </c>
      <c r="L23" s="103">
        <f t="shared" si="0"/>
        <v>0</v>
      </c>
      <c r="M23" s="103">
        <f t="shared" si="0"/>
        <v>0</v>
      </c>
      <c r="N23" s="103">
        <f t="shared" si="0"/>
        <v>54</v>
      </c>
      <c r="O23" s="103">
        <f t="shared" si="0"/>
        <v>15</v>
      </c>
      <c r="P23" s="103">
        <f t="shared" si="0"/>
        <v>0</v>
      </c>
      <c r="Q23" s="103">
        <f t="shared" si="0"/>
        <v>7</v>
      </c>
      <c r="R23" s="103">
        <f t="shared" si="0"/>
        <v>59</v>
      </c>
      <c r="S23" s="103">
        <f t="shared" si="0"/>
        <v>26</v>
      </c>
      <c r="T23" s="103">
        <f t="shared" si="0"/>
        <v>1</v>
      </c>
      <c r="U23" s="103">
        <f t="shared" si="0"/>
        <v>5</v>
      </c>
      <c r="V23" s="103">
        <f t="shared" si="0"/>
        <v>46</v>
      </c>
      <c r="W23" s="103">
        <f t="shared" si="0"/>
        <v>12</v>
      </c>
      <c r="X23" s="103">
        <f t="shared" si="0"/>
        <v>1</v>
      </c>
      <c r="Y23" s="103">
        <f t="shared" si="0"/>
        <v>3</v>
      </c>
      <c r="Z23" s="103">
        <f t="shared" si="0"/>
        <v>49</v>
      </c>
      <c r="AA23" s="103">
        <f t="shared" si="0"/>
        <v>8</v>
      </c>
      <c r="AB23" s="103">
        <f t="shared" si="0"/>
        <v>1</v>
      </c>
      <c r="AC23" s="103">
        <f t="shared" si="0"/>
        <v>5</v>
      </c>
      <c r="AD23" s="103">
        <f t="shared" si="0"/>
        <v>33</v>
      </c>
      <c r="AE23" s="103">
        <f t="shared" si="0"/>
        <v>17</v>
      </c>
      <c r="AF23" s="103">
        <f t="shared" si="0"/>
        <v>0</v>
      </c>
      <c r="AG23" s="103">
        <f t="shared" si="0"/>
        <v>3</v>
      </c>
      <c r="AH23" s="103">
        <f t="shared" ref="AH23:BM23" si="1">SUM(AH6:AH22)</f>
        <v>40</v>
      </c>
      <c r="AI23" s="103">
        <f t="shared" si="1"/>
        <v>14</v>
      </c>
      <c r="AJ23" s="103">
        <f t="shared" si="1"/>
        <v>0</v>
      </c>
      <c r="AK23" s="103">
        <f t="shared" si="1"/>
        <v>4</v>
      </c>
      <c r="AL23" s="103">
        <f t="shared" si="1"/>
        <v>56</v>
      </c>
      <c r="AM23" s="103">
        <f t="shared" si="1"/>
        <v>17</v>
      </c>
      <c r="AN23" s="103">
        <f t="shared" si="1"/>
        <v>1</v>
      </c>
      <c r="AO23" s="103">
        <f t="shared" si="1"/>
        <v>6</v>
      </c>
      <c r="AP23" s="103">
        <f t="shared" si="1"/>
        <v>57</v>
      </c>
      <c r="AQ23" s="103">
        <f t="shared" si="1"/>
        <v>14</v>
      </c>
      <c r="AR23" s="103">
        <f t="shared" si="1"/>
        <v>0</v>
      </c>
      <c r="AS23" s="103">
        <f t="shared" si="1"/>
        <v>4</v>
      </c>
      <c r="AT23" s="103">
        <f t="shared" si="1"/>
        <v>50</v>
      </c>
      <c r="AU23" s="103">
        <f t="shared" si="1"/>
        <v>9</v>
      </c>
      <c r="AV23" s="103">
        <f t="shared" si="1"/>
        <v>0</v>
      </c>
      <c r="AW23" s="103">
        <f t="shared" si="1"/>
        <v>7</v>
      </c>
      <c r="AX23" s="103">
        <f t="shared" si="1"/>
        <v>57</v>
      </c>
      <c r="AY23" s="103">
        <f t="shared" si="1"/>
        <v>15</v>
      </c>
      <c r="AZ23" s="103">
        <f t="shared" si="1"/>
        <v>2</v>
      </c>
      <c r="BA23" s="103">
        <f t="shared" si="1"/>
        <v>3</v>
      </c>
      <c r="BB23" s="103">
        <f t="shared" si="1"/>
        <v>46</v>
      </c>
      <c r="BC23" s="103">
        <f t="shared" si="1"/>
        <v>11</v>
      </c>
      <c r="BD23" s="103">
        <f t="shared" si="1"/>
        <v>0</v>
      </c>
      <c r="BE23" s="103">
        <f t="shared" si="1"/>
        <v>3</v>
      </c>
      <c r="BF23" s="103">
        <f t="shared" si="1"/>
        <v>51</v>
      </c>
      <c r="BG23" s="103">
        <f t="shared" si="1"/>
        <v>15</v>
      </c>
      <c r="BH23" s="103">
        <f t="shared" si="1"/>
        <v>1</v>
      </c>
      <c r="BI23" s="103">
        <f t="shared" si="1"/>
        <v>3</v>
      </c>
      <c r="BJ23" s="103">
        <f t="shared" si="1"/>
        <v>51</v>
      </c>
      <c r="BK23" s="103">
        <f t="shared" si="1"/>
        <v>14</v>
      </c>
      <c r="BL23" s="103">
        <f t="shared" si="1"/>
        <v>0</v>
      </c>
      <c r="BM23" s="103">
        <f t="shared" si="1"/>
        <v>1</v>
      </c>
      <c r="BN23" s="103">
        <f t="shared" ref="BN23:BT23" si="2">SUM(BN6:BN22)</f>
        <v>49</v>
      </c>
      <c r="BO23" s="103">
        <f t="shared" si="2"/>
        <v>20</v>
      </c>
      <c r="BP23" s="103">
        <f t="shared" si="2"/>
        <v>0</v>
      </c>
      <c r="BQ23" s="103">
        <f t="shared" si="2"/>
        <v>0</v>
      </c>
      <c r="BR23" s="103">
        <f t="shared" si="2"/>
        <v>47</v>
      </c>
      <c r="BS23" s="103">
        <f t="shared" si="2"/>
        <v>14</v>
      </c>
      <c r="BT23" s="103">
        <f t="shared" si="2"/>
        <v>0</v>
      </c>
    </row>
  </sheetData>
  <mergeCells count="125">
    <mergeCell ref="CW2:CW5"/>
    <mergeCell ref="CQ2:CQ5"/>
    <mergeCell ref="CR2:CR5"/>
    <mergeCell ref="CS2:CS5"/>
    <mergeCell ref="CT2:CT5"/>
    <mergeCell ref="CU2:CU5"/>
    <mergeCell ref="CV2:CV5"/>
    <mergeCell ref="CK2:CK5"/>
    <mergeCell ref="CL2:CL5"/>
    <mergeCell ref="CM2:CM5"/>
    <mergeCell ref="CN2:CN5"/>
    <mergeCell ref="CO2:CO5"/>
    <mergeCell ref="CP2:CP5"/>
    <mergeCell ref="CE2:CE5"/>
    <mergeCell ref="CF2:CF5"/>
    <mergeCell ref="CG2:CG5"/>
    <mergeCell ref="CH2:CH5"/>
    <mergeCell ref="CI2:CI5"/>
    <mergeCell ref="CJ2:CJ5"/>
    <mergeCell ref="BY2:BY5"/>
    <mergeCell ref="BZ2:BZ5"/>
    <mergeCell ref="CA2:CA5"/>
    <mergeCell ref="CB2:CB5"/>
    <mergeCell ref="CC2:CC5"/>
    <mergeCell ref="CD2:CD5"/>
    <mergeCell ref="BS2:BS5"/>
    <mergeCell ref="BT2:BT5"/>
    <mergeCell ref="BU2:BU5"/>
    <mergeCell ref="BV2:BV5"/>
    <mergeCell ref="BW2:BW5"/>
    <mergeCell ref="BX2:BX5"/>
    <mergeCell ref="BM2:BM5"/>
    <mergeCell ref="BN2:BN5"/>
    <mergeCell ref="BO2:BO5"/>
    <mergeCell ref="BP2:BP5"/>
    <mergeCell ref="BQ2:BQ5"/>
    <mergeCell ref="BR2:BR5"/>
    <mergeCell ref="BG2:BG5"/>
    <mergeCell ref="BH2:BH5"/>
    <mergeCell ref="BI2:BI5"/>
    <mergeCell ref="BJ2:BJ5"/>
    <mergeCell ref="BK2:BK5"/>
    <mergeCell ref="BL2:BL5"/>
    <mergeCell ref="BA2:BA5"/>
    <mergeCell ref="BB2:BB5"/>
    <mergeCell ref="BC2:BC5"/>
    <mergeCell ref="BD2:BD5"/>
    <mergeCell ref="BE2:BE5"/>
    <mergeCell ref="BF2:BF5"/>
    <mergeCell ref="AW2:AW5"/>
    <mergeCell ref="AX2:AX5"/>
    <mergeCell ref="AY2:AY5"/>
    <mergeCell ref="AZ2:AZ5"/>
    <mergeCell ref="AO2:AO5"/>
    <mergeCell ref="AP2:AP5"/>
    <mergeCell ref="AQ2:AQ5"/>
    <mergeCell ref="AR2:AR5"/>
    <mergeCell ref="AS2:AS5"/>
    <mergeCell ref="AT2:AT5"/>
    <mergeCell ref="AN2:AN5"/>
    <mergeCell ref="AC2:AC5"/>
    <mergeCell ref="AD2:AD5"/>
    <mergeCell ref="AE2:AE5"/>
    <mergeCell ref="AF2:AF5"/>
    <mergeCell ref="AG2:AG5"/>
    <mergeCell ref="AH2:AH5"/>
    <mergeCell ref="AU2:AU5"/>
    <mergeCell ref="AV2:AV5"/>
    <mergeCell ref="CT1:CW1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BV1:BY1"/>
    <mergeCell ref="BZ1:CC1"/>
    <mergeCell ref="CD1:CG1"/>
    <mergeCell ref="CH1:CK1"/>
    <mergeCell ref="CL1:CO1"/>
    <mergeCell ref="CP1:CS1"/>
    <mergeCell ref="AX1:BA1"/>
    <mergeCell ref="BB1:BE1"/>
    <mergeCell ref="W2:W5"/>
    <mergeCell ref="X2:X5"/>
    <mergeCell ref="Y2:Y5"/>
    <mergeCell ref="Z2:Z5"/>
    <mergeCell ref="AA2:AA5"/>
    <mergeCell ref="AB2:AB5"/>
    <mergeCell ref="BR1:BU1"/>
    <mergeCell ref="Z1:AC1"/>
    <mergeCell ref="AD1:AG1"/>
    <mergeCell ref="AH1:AK1"/>
    <mergeCell ref="AL1:AO1"/>
    <mergeCell ref="AP1:AS1"/>
    <mergeCell ref="AT1:AW1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AI2:AI5"/>
    <mergeCell ref="AJ2:AJ5"/>
    <mergeCell ref="AK2:AK5"/>
    <mergeCell ref="AL2:AL5"/>
    <mergeCell ref="AM2:AM5"/>
    <mergeCell ref="B1:E1"/>
    <mergeCell ref="F1:I1"/>
    <mergeCell ref="J1:M1"/>
    <mergeCell ref="N1:Q1"/>
    <mergeCell ref="R1:U1"/>
    <mergeCell ref="V1:Y1"/>
    <mergeCell ref="BF1:BI1"/>
    <mergeCell ref="BJ1:BM1"/>
    <mergeCell ref="BN1:BQ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19"/>
  <sheetViews>
    <sheetView zoomScale="87" zoomScaleNormal="87" workbookViewId="0">
      <selection activeCell="D19" sqref="D19"/>
    </sheetView>
  </sheetViews>
  <sheetFormatPr baseColWidth="10" defaultRowHeight="15" x14ac:dyDescent="0.25"/>
  <cols>
    <col min="1" max="1" width="15.85546875" customWidth="1"/>
    <col min="2" max="2" width="20.85546875" bestFit="1" customWidth="1"/>
    <col min="3" max="3" width="17.28515625" customWidth="1"/>
    <col min="4" max="4" width="16.42578125" customWidth="1"/>
    <col min="5" max="5" width="15.7109375" bestFit="1" customWidth="1"/>
    <col min="6" max="6" width="16.5703125" customWidth="1"/>
    <col min="7" max="7" width="14.85546875" bestFit="1" customWidth="1"/>
    <col min="8" max="8" width="16.28515625" customWidth="1"/>
    <col min="9" max="9" width="17.28515625" customWidth="1"/>
    <col min="10" max="10" width="18" bestFit="1" customWidth="1"/>
    <col min="11" max="11" width="14.42578125" customWidth="1"/>
    <col min="12" max="12" width="14.7109375" customWidth="1"/>
    <col min="13" max="13" width="16.5703125" bestFit="1" customWidth="1"/>
    <col min="14" max="14" width="16.42578125" bestFit="1" customWidth="1"/>
    <col min="15" max="15" width="17" bestFit="1" customWidth="1"/>
    <col min="16" max="16" width="16.7109375" customWidth="1"/>
    <col min="17" max="17" width="13.5703125" customWidth="1"/>
  </cols>
  <sheetData>
    <row r="1" spans="1:17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</row>
    <row r="2" spans="1:17" s="97" customFormat="1" ht="21.75" customHeight="1" x14ac:dyDescent="0.3">
      <c r="A2" s="121" t="str">
        <f>+Equipos!B3</f>
        <v>Los Amigos</v>
      </c>
      <c r="B2" s="121" t="str">
        <f>+Equipos!B4</f>
        <v>La Nueva Era</v>
      </c>
      <c r="C2" s="121" t="str">
        <f>+Equipos!B5</f>
        <v>La Amistad</v>
      </c>
      <c r="D2" s="121" t="str">
        <f>+Equipos!B6</f>
        <v>Konami</v>
      </c>
      <c r="E2" s="121" t="str">
        <f>+Equipos!B7</f>
        <v>Villanueva</v>
      </c>
      <c r="F2" s="121" t="str">
        <f>+Equipos!B8</f>
        <v>Ron Star</v>
      </c>
      <c r="G2" s="121" t="str">
        <f>+Equipos!B9</f>
        <v>Amenadim</v>
      </c>
      <c r="H2" s="121" t="str">
        <f>+Equipos!B10</f>
        <v>Hojas Anchas</v>
      </c>
      <c r="I2" s="121" t="str">
        <f>+Equipos!B11</f>
        <v>Valentín FC</v>
      </c>
      <c r="J2" s="121" t="str">
        <f>+Equipos!B12</f>
        <v>Boca Juniors</v>
      </c>
      <c r="K2" s="121" t="str">
        <f>+Equipos!B13</f>
        <v>Deportivo Fénix</v>
      </c>
      <c r="L2" s="121" t="str">
        <f>+Equipos!B14</f>
        <v>Rayos FC</v>
      </c>
      <c r="M2" s="121" t="str">
        <f>+Equipos!B15</f>
        <v>La Unión FC</v>
      </c>
      <c r="N2" s="121" t="str">
        <f>+Equipos!B16</f>
        <v>Los Aliados</v>
      </c>
      <c r="O2" s="121" t="str">
        <f>+Equipos!B17</f>
        <v>Atalanta</v>
      </c>
      <c r="P2" s="121" t="s">
        <v>382</v>
      </c>
      <c r="Q2" s="121">
        <f>+Equipos!B19</f>
        <v>0</v>
      </c>
    </row>
    <row r="3" spans="1:17" x14ac:dyDescent="0.25">
      <c r="A3" s="4" t="s">
        <v>296</v>
      </c>
      <c r="B3" s="4" t="s">
        <v>388</v>
      </c>
      <c r="C3" s="4" t="s">
        <v>482</v>
      </c>
      <c r="D3" s="4" t="s">
        <v>236</v>
      </c>
      <c r="E3" s="4" t="s">
        <v>257</v>
      </c>
      <c r="F3" s="4" t="s">
        <v>248</v>
      </c>
      <c r="G3" s="4" t="s">
        <v>376</v>
      </c>
      <c r="H3" s="4" t="s">
        <v>295</v>
      </c>
      <c r="I3" s="4" t="s">
        <v>495</v>
      </c>
      <c r="J3" s="4" t="s">
        <v>362</v>
      </c>
      <c r="K3" s="4" t="s">
        <v>501</v>
      </c>
      <c r="L3" s="4" t="s">
        <v>355</v>
      </c>
      <c r="M3" s="4" t="s">
        <v>250</v>
      </c>
      <c r="N3" s="124" t="s">
        <v>469</v>
      </c>
      <c r="O3" s="4" t="s">
        <v>350</v>
      </c>
      <c r="P3" s="4" t="s">
        <v>433</v>
      </c>
      <c r="Q3" s="4" t="s">
        <v>277</v>
      </c>
    </row>
    <row r="4" spans="1:17" x14ac:dyDescent="0.25">
      <c r="A4" s="4" t="s">
        <v>359</v>
      </c>
      <c r="B4" s="4" t="s">
        <v>444</v>
      </c>
      <c r="C4" s="4" t="s">
        <v>483</v>
      </c>
      <c r="D4" s="4" t="s">
        <v>237</v>
      </c>
      <c r="E4" s="4" t="s">
        <v>247</v>
      </c>
      <c r="F4" s="4" t="s">
        <v>491</v>
      </c>
      <c r="G4" s="4" t="s">
        <v>342</v>
      </c>
      <c r="H4" s="4" t="s">
        <v>461</v>
      </c>
      <c r="I4" s="4" t="s">
        <v>352</v>
      </c>
      <c r="J4" s="4" t="s">
        <v>374</v>
      </c>
      <c r="K4" s="4" t="s">
        <v>354</v>
      </c>
      <c r="L4" s="4" t="s">
        <v>356</v>
      </c>
      <c r="M4" s="4" t="s">
        <v>305</v>
      </c>
      <c r="N4" s="124" t="s">
        <v>470</v>
      </c>
      <c r="O4" s="4" t="s">
        <v>422</v>
      </c>
      <c r="P4" s="4" t="s">
        <v>434</v>
      </c>
      <c r="Q4" s="4" t="s">
        <v>278</v>
      </c>
    </row>
    <row r="5" spans="1:17" x14ac:dyDescent="0.25">
      <c r="A5" s="4" t="s">
        <v>360</v>
      </c>
      <c r="B5" s="4" t="s">
        <v>445</v>
      </c>
      <c r="C5" s="4" t="s">
        <v>394</v>
      </c>
      <c r="D5" s="4" t="s">
        <v>456</v>
      </c>
      <c r="E5" s="4" t="s">
        <v>414</v>
      </c>
      <c r="F5" s="4" t="s">
        <v>322</v>
      </c>
      <c r="G5" s="4" t="s">
        <v>261</v>
      </c>
      <c r="H5" s="4" t="s">
        <v>293</v>
      </c>
      <c r="I5" s="4" t="s">
        <v>353</v>
      </c>
      <c r="J5" s="4" t="s">
        <v>347</v>
      </c>
      <c r="K5" s="4" t="s">
        <v>317</v>
      </c>
      <c r="L5" s="4" t="s">
        <v>357</v>
      </c>
      <c r="M5" s="4" t="s">
        <v>402</v>
      </c>
      <c r="N5" s="125" t="s">
        <v>471</v>
      </c>
      <c r="O5" s="4" t="s">
        <v>423</v>
      </c>
      <c r="P5" s="4" t="s">
        <v>435</v>
      </c>
      <c r="Q5" s="4" t="s">
        <v>279</v>
      </c>
    </row>
    <row r="6" spans="1:17" x14ac:dyDescent="0.25">
      <c r="A6" s="4" t="s">
        <v>344</v>
      </c>
      <c r="B6" s="4" t="s">
        <v>513</v>
      </c>
      <c r="C6" s="4" t="s">
        <v>340</v>
      </c>
      <c r="D6" s="4" t="s">
        <v>389</v>
      </c>
      <c r="E6" s="123" t="s">
        <v>415</v>
      </c>
      <c r="F6" s="4" t="s">
        <v>323</v>
      </c>
      <c r="G6" s="4" t="s">
        <v>315</v>
      </c>
      <c r="H6" s="4" t="s">
        <v>292</v>
      </c>
      <c r="I6" s="4" t="s">
        <v>386</v>
      </c>
      <c r="J6" s="4" t="s">
        <v>363</v>
      </c>
      <c r="K6" s="4" t="s">
        <v>502</v>
      </c>
      <c r="L6" s="4" t="s">
        <v>381</v>
      </c>
      <c r="M6" s="123" t="s">
        <v>269</v>
      </c>
      <c r="N6" s="124" t="s">
        <v>472</v>
      </c>
      <c r="O6" s="4" t="s">
        <v>424</v>
      </c>
      <c r="P6" s="4" t="s">
        <v>436</v>
      </c>
      <c r="Q6" s="4" t="s">
        <v>280</v>
      </c>
    </row>
    <row r="7" spans="1:17" x14ac:dyDescent="0.25">
      <c r="A7" s="4" t="s">
        <v>452</v>
      </c>
      <c r="B7" s="4" t="s">
        <v>446</v>
      </c>
      <c r="C7" s="4" t="s">
        <v>484</v>
      </c>
      <c r="D7" s="4" t="s">
        <v>390</v>
      </c>
      <c r="E7" s="4" t="s">
        <v>416</v>
      </c>
      <c r="F7" s="4" t="s">
        <v>256</v>
      </c>
      <c r="G7" s="4" t="s">
        <v>358</v>
      </c>
      <c r="H7" s="4" t="s">
        <v>384</v>
      </c>
      <c r="I7" s="4" t="s">
        <v>496</v>
      </c>
      <c r="J7" s="4" t="s">
        <v>364</v>
      </c>
      <c r="K7" s="4" t="s">
        <v>503</v>
      </c>
      <c r="L7" s="4" t="s">
        <v>251</v>
      </c>
      <c r="M7" s="4" t="s">
        <v>306</v>
      </c>
      <c r="N7" s="124" t="s">
        <v>361</v>
      </c>
      <c r="O7" s="4" t="s">
        <v>425</v>
      </c>
      <c r="P7" s="4" t="s">
        <v>437</v>
      </c>
      <c r="Q7" s="4" t="s">
        <v>281</v>
      </c>
    </row>
    <row r="8" spans="1:17" x14ac:dyDescent="0.25">
      <c r="A8" s="4" t="s">
        <v>345</v>
      </c>
      <c r="B8" s="4" t="s">
        <v>447</v>
      </c>
      <c r="C8" s="4" t="s">
        <v>387</v>
      </c>
      <c r="D8" s="4" t="s">
        <v>258</v>
      </c>
      <c r="E8" s="4" t="s">
        <v>417</v>
      </c>
      <c r="F8" s="4" t="s">
        <v>321</v>
      </c>
      <c r="G8" s="4" t="s">
        <v>239</v>
      </c>
      <c r="H8" s="4" t="s">
        <v>462</v>
      </c>
      <c r="I8" s="4" t="s">
        <v>263</v>
      </c>
      <c r="J8" s="4" t="s">
        <v>259</v>
      </c>
      <c r="K8" s="4" t="s">
        <v>504</v>
      </c>
      <c r="L8" s="4" t="s">
        <v>365</v>
      </c>
      <c r="M8" s="4" t="s">
        <v>302</v>
      </c>
      <c r="N8" s="124" t="s">
        <v>473</v>
      </c>
      <c r="O8" s="4" t="s">
        <v>426</v>
      </c>
      <c r="P8" s="4" t="s">
        <v>438</v>
      </c>
      <c r="Q8" s="4" t="s">
        <v>282</v>
      </c>
    </row>
    <row r="9" spans="1:17" x14ac:dyDescent="0.25">
      <c r="A9" s="4" t="s">
        <v>346</v>
      </c>
      <c r="B9" s="4" t="s">
        <v>448</v>
      </c>
      <c r="C9" s="4" t="s">
        <v>393</v>
      </c>
      <c r="D9" s="4" t="s">
        <v>457</v>
      </c>
      <c r="E9" s="4" t="s">
        <v>299</v>
      </c>
      <c r="F9" s="4" t="s">
        <v>260</v>
      </c>
      <c r="G9" s="4" t="s">
        <v>510</v>
      </c>
      <c r="H9" s="4" t="s">
        <v>463</v>
      </c>
      <c r="I9" s="4" t="s">
        <v>377</v>
      </c>
      <c r="J9" s="4" t="s">
        <v>348</v>
      </c>
      <c r="K9" s="4" t="s">
        <v>509</v>
      </c>
      <c r="L9" s="4" t="s">
        <v>341</v>
      </c>
      <c r="M9" s="123" t="s">
        <v>375</v>
      </c>
      <c r="N9" s="124" t="s">
        <v>400</v>
      </c>
      <c r="O9" s="4" t="s">
        <v>427</v>
      </c>
      <c r="P9" s="4" t="s">
        <v>385</v>
      </c>
      <c r="Q9" s="4" t="s">
        <v>283</v>
      </c>
    </row>
    <row r="10" spans="1:17" x14ac:dyDescent="0.25">
      <c r="A10" s="4" t="s">
        <v>297</v>
      </c>
      <c r="B10" s="4" t="s">
        <v>343</v>
      </c>
      <c r="C10" s="4" t="s">
        <v>485</v>
      </c>
      <c r="D10" s="4" t="s">
        <v>351</v>
      </c>
      <c r="E10" s="4" t="s">
        <v>262</v>
      </c>
      <c r="F10" s="4" t="s">
        <v>396</v>
      </c>
      <c r="G10" s="4" t="s">
        <v>312</v>
      </c>
      <c r="H10" s="4" t="s">
        <v>300</v>
      </c>
      <c r="I10" s="4" t="s">
        <v>497</v>
      </c>
      <c r="J10" s="4" t="s">
        <v>379</v>
      </c>
      <c r="K10" s="4" t="s">
        <v>316</v>
      </c>
      <c r="L10" s="4" t="s">
        <v>366</v>
      </c>
      <c r="M10" s="4" t="s">
        <v>403</v>
      </c>
      <c r="N10" s="125" t="s">
        <v>474</v>
      </c>
      <c r="O10" s="4" t="s">
        <v>428</v>
      </c>
      <c r="P10" s="4" t="s">
        <v>439</v>
      </c>
      <c r="Q10" s="4" t="s">
        <v>284</v>
      </c>
    </row>
    <row r="11" spans="1:17" x14ac:dyDescent="0.25">
      <c r="A11" s="4" t="s">
        <v>307</v>
      </c>
      <c r="B11" s="4" t="s">
        <v>449</v>
      </c>
      <c r="C11" s="4" t="s">
        <v>486</v>
      </c>
      <c r="D11" s="4" t="s">
        <v>458</v>
      </c>
      <c r="E11" s="4" t="s">
        <v>418</v>
      </c>
      <c r="F11" s="4" t="s">
        <v>492</v>
      </c>
      <c r="G11" s="4" t="s">
        <v>521</v>
      </c>
      <c r="H11" s="4" t="s">
        <v>294</v>
      </c>
      <c r="I11" s="4" t="s">
        <v>498</v>
      </c>
      <c r="J11" s="4" t="s">
        <v>409</v>
      </c>
      <c r="K11" s="4" t="s">
        <v>505</v>
      </c>
      <c r="L11" s="4" t="s">
        <v>367</v>
      </c>
      <c r="M11" s="4" t="s">
        <v>398</v>
      </c>
      <c r="N11" s="125" t="s">
        <v>475</v>
      </c>
      <c r="O11" s="4" t="s">
        <v>429</v>
      </c>
      <c r="P11" s="4" t="s">
        <v>440</v>
      </c>
      <c r="Q11" s="4" t="s">
        <v>285</v>
      </c>
    </row>
    <row r="12" spans="1:17" x14ac:dyDescent="0.25">
      <c r="A12" s="4" t="s">
        <v>453</v>
      </c>
      <c r="B12" s="4" t="s">
        <v>267</v>
      </c>
      <c r="C12" s="4" t="s">
        <v>344</v>
      </c>
      <c r="D12" s="4" t="s">
        <v>264</v>
      </c>
      <c r="E12" s="4" t="s">
        <v>318</v>
      </c>
      <c r="F12" s="4" t="s">
        <v>303</v>
      </c>
      <c r="G12" s="4" t="s">
        <v>301</v>
      </c>
      <c r="H12" s="4" t="s">
        <v>464</v>
      </c>
      <c r="I12" s="4" t="s">
        <v>254</v>
      </c>
      <c r="J12" s="4" t="s">
        <v>298</v>
      </c>
      <c r="K12" s="4" t="s">
        <v>508</v>
      </c>
      <c r="L12" s="4" t="s">
        <v>368</v>
      </c>
      <c r="M12" s="4" t="s">
        <v>404</v>
      </c>
      <c r="N12" s="125" t="s">
        <v>476</v>
      </c>
      <c r="O12" s="4" t="s">
        <v>380</v>
      </c>
      <c r="P12" s="4" t="s">
        <v>441</v>
      </c>
      <c r="Q12" s="4" t="s">
        <v>286</v>
      </c>
    </row>
    <row r="13" spans="1:17" x14ac:dyDescent="0.25">
      <c r="A13" s="4" t="s">
        <v>397</v>
      </c>
      <c r="B13" s="4" t="s">
        <v>451</v>
      </c>
      <c r="C13" s="4" t="s">
        <v>487</v>
      </c>
      <c r="D13" s="4" t="s">
        <v>265</v>
      </c>
      <c r="E13" s="4" t="s">
        <v>419</v>
      </c>
      <c r="F13" s="4" t="s">
        <v>493</v>
      </c>
      <c r="G13" s="4" t="s">
        <v>313</v>
      </c>
      <c r="H13" s="4" t="s">
        <v>378</v>
      </c>
      <c r="I13" s="4" t="s">
        <v>499</v>
      </c>
      <c r="J13" s="4" t="s">
        <v>410</v>
      </c>
      <c r="K13" s="4" t="s">
        <v>506</v>
      </c>
      <c r="L13" s="4" t="s">
        <v>369</v>
      </c>
      <c r="M13" s="4" t="s">
        <v>405</v>
      </c>
      <c r="N13" s="125" t="s">
        <v>477</v>
      </c>
      <c r="O13" s="4" t="s">
        <v>430</v>
      </c>
      <c r="P13" s="4" t="s">
        <v>442</v>
      </c>
      <c r="Q13" s="4" t="s">
        <v>287</v>
      </c>
    </row>
    <row r="14" spans="1:17" x14ac:dyDescent="0.25">
      <c r="A14" s="4" t="s">
        <v>454</v>
      </c>
      <c r="B14" s="4" t="s">
        <v>319</v>
      </c>
      <c r="C14" s="4" t="s">
        <v>488</v>
      </c>
      <c r="D14" s="4" t="s">
        <v>324</v>
      </c>
      <c r="E14" s="4" t="s">
        <v>420</v>
      </c>
      <c r="F14" s="4" t="s">
        <v>494</v>
      </c>
      <c r="G14" s="4" t="s">
        <v>320</v>
      </c>
      <c r="H14" s="4" t="s">
        <v>465</v>
      </c>
      <c r="I14" s="4" t="s">
        <v>255</v>
      </c>
      <c r="J14" s="4" t="s">
        <v>411</v>
      </c>
      <c r="K14" s="4" t="s">
        <v>507</v>
      </c>
      <c r="L14" s="4" t="s">
        <v>370</v>
      </c>
      <c r="M14" s="4" t="s">
        <v>406</v>
      </c>
      <c r="N14" s="125" t="s">
        <v>478</v>
      </c>
      <c r="O14" s="4" t="s">
        <v>431</v>
      </c>
      <c r="P14" s="4" t="s">
        <v>443</v>
      </c>
      <c r="Q14" s="4" t="s">
        <v>288</v>
      </c>
    </row>
    <row r="15" spans="1:17" x14ac:dyDescent="0.25">
      <c r="A15" s="4" t="s">
        <v>455</v>
      </c>
      <c r="B15" s="4" t="s">
        <v>450</v>
      </c>
      <c r="C15" s="4" t="s">
        <v>489</v>
      </c>
      <c r="D15" s="4" t="s">
        <v>266</v>
      </c>
      <c r="E15" s="4" t="s">
        <v>519</v>
      </c>
      <c r="F15" s="4" t="s">
        <v>391</v>
      </c>
      <c r="G15" s="4" t="s">
        <v>309</v>
      </c>
      <c r="H15" s="4" t="s">
        <v>466</v>
      </c>
      <c r="I15" s="4" t="s">
        <v>500</v>
      </c>
      <c r="J15" s="4" t="s">
        <v>412</v>
      </c>
      <c r="K15" s="4" t="s">
        <v>518</v>
      </c>
      <c r="L15" s="4" t="s">
        <v>371</v>
      </c>
      <c r="M15" s="4" t="s">
        <v>399</v>
      </c>
      <c r="N15" s="125" t="s">
        <v>479</v>
      </c>
      <c r="O15" s="4" t="s">
        <v>395</v>
      </c>
      <c r="P15" s="4" t="s">
        <v>515</v>
      </c>
      <c r="Q15" s="4" t="s">
        <v>289</v>
      </c>
    </row>
    <row r="16" spans="1:17" x14ac:dyDescent="0.25">
      <c r="A16" s="4" t="s">
        <v>512</v>
      </c>
      <c r="B16" s="4" t="s">
        <v>392</v>
      </c>
      <c r="C16" s="4" t="s">
        <v>511</v>
      </c>
      <c r="D16" s="4" t="s">
        <v>459</v>
      </c>
      <c r="E16" s="4" t="s">
        <v>421</v>
      </c>
      <c r="F16" s="4" t="s">
        <v>249</v>
      </c>
      <c r="G16" s="4" t="s">
        <v>310</v>
      </c>
      <c r="H16" s="4" t="s">
        <v>467</v>
      </c>
      <c r="I16" s="4" t="s">
        <v>401</v>
      </c>
      <c r="J16" s="4" t="s">
        <v>413</v>
      </c>
      <c r="K16" s="4" t="s">
        <v>520</v>
      </c>
      <c r="L16" s="4" t="s">
        <v>372</v>
      </c>
      <c r="M16" s="4" t="s">
        <v>407</v>
      </c>
      <c r="N16" s="125" t="s">
        <v>480</v>
      </c>
      <c r="O16" s="4" t="s">
        <v>432</v>
      </c>
      <c r="P16" s="4" t="s">
        <v>516</v>
      </c>
      <c r="Q16" s="4" t="s">
        <v>290</v>
      </c>
    </row>
    <row r="17" spans="1:17" x14ac:dyDescent="0.25">
      <c r="A17" s="4" t="s">
        <v>524</v>
      </c>
      <c r="B17" s="4" t="s">
        <v>308</v>
      </c>
      <c r="C17" s="4" t="s">
        <v>490</v>
      </c>
      <c r="D17" s="4" t="s">
        <v>460</v>
      </c>
      <c r="E17" s="4" t="s">
        <v>268</v>
      </c>
      <c r="F17" s="104" t="s">
        <v>304</v>
      </c>
      <c r="G17" s="4" t="s">
        <v>314</v>
      </c>
      <c r="H17" s="4" t="s">
        <v>468</v>
      </c>
      <c r="I17" s="4" t="s">
        <v>276</v>
      </c>
      <c r="J17" s="4" t="s">
        <v>514</v>
      </c>
      <c r="K17" s="4" t="s">
        <v>311</v>
      </c>
      <c r="L17" s="4" t="s">
        <v>373</v>
      </c>
      <c r="M17" s="4" t="s">
        <v>408</v>
      </c>
      <c r="N17" s="125" t="s">
        <v>481</v>
      </c>
      <c r="O17" s="4"/>
      <c r="P17" s="4" t="s">
        <v>517</v>
      </c>
      <c r="Q17" s="4" t="s">
        <v>291</v>
      </c>
    </row>
    <row r="19" spans="1:17" ht="18" x14ac:dyDescent="0.25">
      <c r="D19" s="37" t="s">
        <v>243</v>
      </c>
      <c r="G19" s="69"/>
    </row>
  </sheetData>
  <sortState xmlns:xlrd2="http://schemas.microsoft.com/office/spreadsheetml/2017/richdata2" ref="E3:E16">
    <sortCondition ref="E3"/>
  </sortState>
  <phoneticPr fontId="9" type="noConversion"/>
  <hyperlinks>
    <hyperlink ref="D19" location="Equipos!A1" display="Volver" xr:uid="{00000000-0004-0000-1500-000000000000}"/>
  </hyperlinks>
  <pageMargins left="0.7" right="0.7" top="0.75" bottom="0.75" header="0.3" footer="0.3"/>
  <pageSetup orientation="portrait" horizontalDpi="4294967293" verticalDpi="4294967293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8203E-9680-4EF8-8EB4-9C42A3A51778}">
  <dimension ref="A1:DC26"/>
  <sheetViews>
    <sheetView view="pageBreakPreview" zoomScale="90" zoomScaleNormal="90" zoomScaleSheetLayoutView="90" workbookViewId="0">
      <pane xSplit="7" ySplit="3" topLeftCell="H4" activePane="bottomRight" state="frozen"/>
      <selection pane="topRight" activeCell="H1" sqref="H1"/>
      <selection pane="bottomLeft" activeCell="A3" sqref="A3"/>
      <selection pane="bottomRight" activeCell="N14" sqref="N14"/>
    </sheetView>
  </sheetViews>
  <sheetFormatPr baseColWidth="10" defaultColWidth="11.42578125" defaultRowHeight="15" x14ac:dyDescent="0.25"/>
  <cols>
    <col min="1" max="1" width="4.85546875" customWidth="1"/>
    <col min="2" max="2" width="9.42578125" customWidth="1"/>
    <col min="3" max="3" width="11.5703125" style="3" customWidth="1"/>
    <col min="4" max="4" width="4.85546875" style="3" customWidth="1"/>
    <col min="5" max="7" width="4.28515625" style="3" customWidth="1"/>
    <col min="8" max="9" width="2.85546875" style="3" customWidth="1"/>
    <col min="10" max="11" width="3.140625" style="3" customWidth="1"/>
    <col min="12" max="12" width="3.28515625" style="3" customWidth="1"/>
    <col min="13" max="15" width="2.7109375" style="3" customWidth="1"/>
    <col min="16" max="16" width="3" style="3" customWidth="1"/>
    <col min="17" max="107" width="2.7109375" style="3" customWidth="1"/>
    <col min="108" max="16384" width="11.42578125" style="3"/>
  </cols>
  <sheetData>
    <row r="1" spans="1:107" ht="13.9" customHeight="1" x14ac:dyDescent="0.25">
      <c r="A1" s="192">
        <f>Equipos!B19</f>
        <v>0</v>
      </c>
      <c r="B1" s="192"/>
      <c r="C1" s="192"/>
      <c r="H1" s="172" t="s">
        <v>5</v>
      </c>
      <c r="I1" s="173"/>
      <c r="J1" s="173"/>
      <c r="K1" s="174"/>
      <c r="L1" s="172" t="s">
        <v>6</v>
      </c>
      <c r="M1" s="173"/>
      <c r="N1" s="173"/>
      <c r="O1" s="174"/>
      <c r="P1" s="172" t="s">
        <v>7</v>
      </c>
      <c r="Q1" s="173"/>
      <c r="R1" s="173"/>
      <c r="S1" s="174"/>
      <c r="T1" s="172" t="s">
        <v>8</v>
      </c>
      <c r="U1" s="173"/>
      <c r="V1" s="173"/>
      <c r="W1" s="174"/>
      <c r="X1" s="172" t="s">
        <v>9</v>
      </c>
      <c r="Y1" s="173"/>
      <c r="Z1" s="173"/>
      <c r="AA1" s="174"/>
      <c r="AB1" s="172" t="s">
        <v>10</v>
      </c>
      <c r="AC1" s="173"/>
      <c r="AD1" s="173"/>
      <c r="AE1" s="174"/>
      <c r="AF1" s="172" t="s">
        <v>11</v>
      </c>
      <c r="AG1" s="173"/>
      <c r="AH1" s="173"/>
      <c r="AI1" s="174"/>
      <c r="AJ1" s="172" t="s">
        <v>12</v>
      </c>
      <c r="AK1" s="173"/>
      <c r="AL1" s="173"/>
      <c r="AM1" s="174"/>
      <c r="AN1" s="172" t="s">
        <v>13</v>
      </c>
      <c r="AO1" s="173"/>
      <c r="AP1" s="173"/>
      <c r="AQ1" s="174"/>
      <c r="AR1" s="172" t="s">
        <v>14</v>
      </c>
      <c r="AS1" s="173"/>
      <c r="AT1" s="173"/>
      <c r="AU1" s="174"/>
      <c r="AV1" s="172" t="s">
        <v>15</v>
      </c>
      <c r="AW1" s="173"/>
      <c r="AX1" s="173"/>
      <c r="AY1" s="174"/>
      <c r="AZ1" s="172" t="s">
        <v>16</v>
      </c>
      <c r="BA1" s="173"/>
      <c r="BB1" s="173"/>
      <c r="BC1" s="174"/>
      <c r="BD1" s="172" t="s">
        <v>17</v>
      </c>
      <c r="BE1" s="173"/>
      <c r="BF1" s="173"/>
      <c r="BG1" s="174"/>
      <c r="BH1" s="172" t="s">
        <v>18</v>
      </c>
      <c r="BI1" s="173"/>
      <c r="BJ1" s="173"/>
      <c r="BK1" s="174"/>
      <c r="BL1" s="172" t="s">
        <v>19</v>
      </c>
      <c r="BM1" s="173"/>
      <c r="BN1" s="173"/>
      <c r="BO1" s="174"/>
      <c r="BP1" s="172" t="s">
        <v>20</v>
      </c>
      <c r="BQ1" s="173"/>
      <c r="BR1" s="173"/>
      <c r="BS1" s="174"/>
      <c r="BT1" s="172" t="s">
        <v>51</v>
      </c>
      <c r="BU1" s="173"/>
      <c r="BV1" s="173"/>
      <c r="BW1" s="174"/>
      <c r="BX1" s="172" t="s">
        <v>81</v>
      </c>
      <c r="BY1" s="173"/>
      <c r="BZ1" s="173"/>
      <c r="CA1" s="174"/>
      <c r="CB1" s="172" t="s">
        <v>83</v>
      </c>
      <c r="CC1" s="173"/>
      <c r="CD1" s="173"/>
      <c r="CE1" s="174"/>
      <c r="CF1" s="172" t="s">
        <v>84</v>
      </c>
      <c r="CG1" s="173"/>
      <c r="CH1" s="173"/>
      <c r="CI1" s="174"/>
      <c r="CJ1" s="172" t="s">
        <v>85</v>
      </c>
      <c r="CK1" s="173"/>
      <c r="CL1" s="173"/>
      <c r="CM1" s="174"/>
      <c r="CN1" s="172" t="s">
        <v>93</v>
      </c>
      <c r="CO1" s="173"/>
      <c r="CP1" s="173"/>
      <c r="CQ1" s="174"/>
      <c r="CR1" s="172" t="s">
        <v>94</v>
      </c>
      <c r="CS1" s="173"/>
      <c r="CT1" s="173"/>
      <c r="CU1" s="174"/>
      <c r="CV1" s="172" t="s">
        <v>95</v>
      </c>
      <c r="CW1" s="173"/>
      <c r="CX1" s="173"/>
      <c r="CY1" s="174"/>
      <c r="CZ1" s="172" t="s">
        <v>96</v>
      </c>
      <c r="DA1" s="173"/>
      <c r="DB1" s="173"/>
      <c r="DC1" s="174"/>
    </row>
    <row r="2" spans="1:107" ht="13.9" customHeight="1" x14ac:dyDescent="0.25">
      <c r="A2" s="192"/>
      <c r="B2" s="192"/>
      <c r="C2" s="192"/>
      <c r="D2" s="143" t="s">
        <v>272</v>
      </c>
      <c r="E2" s="143"/>
      <c r="F2" s="143"/>
      <c r="G2" s="144"/>
      <c r="H2" s="140" t="str">
        <f>+_xlfn.XLOOKUP($A$1,Fixture!$D$2:$D$9,Fixture!$F$2:$F$9,_xlfn.XLOOKUP($A$1,Fixture!$F$2:$F$9,Fixture!$D$2:$D$9,"Descansa",FALSE))</f>
        <v>Descansa</v>
      </c>
      <c r="I2" s="141"/>
      <c r="J2" s="141"/>
      <c r="K2" s="142"/>
      <c r="L2" s="140" t="str">
        <f>+_xlfn.XLOOKUP($A$1,Fixture!$D$10:$D$17,Fixture!$F$10:$F$17,_xlfn.XLOOKUP($A$1,Fixture!$F$10:$F$17,Fixture!$D$10:$D$17,"Descansa",FALSE))</f>
        <v>Descansa</v>
      </c>
      <c r="M2" s="141"/>
      <c r="N2" s="141"/>
      <c r="O2" s="142"/>
      <c r="P2" s="175" t="str">
        <f>+_xlfn.XLOOKUP($A$1,Fixture!$D$18:$D$25,Fixture!$F$18:$F$25,_xlfn.XLOOKUP($A$1,Fixture!$F$18:$F$25,Fixture!$D$18:$D$25,"Descansa",FALSE))</f>
        <v>Descansa</v>
      </c>
      <c r="Q2" s="176"/>
      <c r="R2" s="176"/>
      <c r="S2" s="177"/>
      <c r="T2" s="140" t="str">
        <f>+_xlfn.XLOOKUP($A$1,Fixture!$D$26:$D$33,Fixture!$F$26:$F$33,_xlfn.XLOOKUP($A$1,Fixture!$F$26:$F$33,Fixture!$D$26:$D$33,"Descansa",FALSE))</f>
        <v>Descansa</v>
      </c>
      <c r="U2" s="141"/>
      <c r="V2" s="141"/>
      <c r="W2" s="142"/>
      <c r="X2" s="140" t="str">
        <f>+_xlfn.XLOOKUP($A$1,Fixture!$D$34:$D$41,Fixture!$F$34:$F$41,_xlfn.XLOOKUP($A$1,Fixture!$F$34:$F$41,Fixture!$D$34:$D$41,"Descansa",FALSE))</f>
        <v>Descansa</v>
      </c>
      <c r="Y2" s="141"/>
      <c r="Z2" s="141"/>
      <c r="AA2" s="142"/>
      <c r="AB2" s="140" t="str">
        <f>+_xlfn.XLOOKUP($A$1,Fixture!$D$42:$D$49,Fixture!$F$42:$F$49,_xlfn.XLOOKUP($A$1,Fixture!$F$42:$F$49,Fixture!$D$42:$D$49,"Descansa",FALSE))</f>
        <v>Descansa</v>
      </c>
      <c r="AC2" s="141"/>
      <c r="AD2" s="141"/>
      <c r="AE2" s="142"/>
      <c r="AF2" s="140" t="str">
        <f>+_xlfn.XLOOKUP($A$1,Fixture!$D$50:$D$57,Fixture!$F$50:$F$57,_xlfn.XLOOKUP($A$1,Fixture!$F$50:$F$57,Fixture!$D$50:$D$57,"Descansa",FALSE))</f>
        <v>Descansa</v>
      </c>
      <c r="AG2" s="141"/>
      <c r="AH2" s="141"/>
      <c r="AI2" s="142"/>
      <c r="AJ2" s="140" t="str">
        <f>+_xlfn.XLOOKUP($A$1,Fixture!$D$58:$D$65,Fixture!$F$58:$F$65,_xlfn.XLOOKUP($A$1,Fixture!$F$58:$F$65,Fixture!$D$58:$D$65,"Descansa",FALSE))</f>
        <v>Descansa</v>
      </c>
      <c r="AK2" s="141"/>
      <c r="AL2" s="141"/>
      <c r="AM2" s="142"/>
      <c r="AN2" s="140" t="str">
        <f>+_xlfn.XLOOKUP($A$1,Fixture!$D$66:$D$73,Fixture!$F$66:$F$73,_xlfn.XLOOKUP($A$1,Fixture!$F$66:$F$73,Fixture!$D$66:$D$73,"Descansa",FALSE))</f>
        <v>Descansa</v>
      </c>
      <c r="AO2" s="141"/>
      <c r="AP2" s="141"/>
      <c r="AQ2" s="142"/>
      <c r="AR2" s="140" t="str">
        <f>+_xlfn.XLOOKUP($A$1,Fixture!$D$74:$D$81,Fixture!$F$74:$F$81,_xlfn.XLOOKUP($A$1,Fixture!$F$74:$F$81,Fixture!$D$74:$D$81,"Descansa",FALSE))</f>
        <v>Descansa</v>
      </c>
      <c r="AS2" s="141"/>
      <c r="AT2" s="141"/>
      <c r="AU2" s="142"/>
      <c r="AV2" s="140" t="str">
        <f>+_xlfn.XLOOKUP($A$1,Fixture!$D$82:$D$89,Fixture!$F$82:$F$89,_xlfn.XLOOKUP($A$1,Fixture!$F$82:$F$89,Fixture!$D$82:$D$89,"Descansa",FALSE))</f>
        <v>Descansa</v>
      </c>
      <c r="AW2" s="141"/>
      <c r="AX2" s="141"/>
      <c r="AY2" s="142"/>
      <c r="AZ2" s="140" t="str">
        <f>+_xlfn.XLOOKUP($A$1,Fixture!$D$90:$D$97,Fixture!$F$90:$F$97,_xlfn.XLOOKUP($A$1,Fixture!$F$90:$F$97,Fixture!$D$90:$D$97,"Descansa",FALSE))</f>
        <v>Descansa</v>
      </c>
      <c r="BA2" s="141"/>
      <c r="BB2" s="141"/>
      <c r="BC2" s="142"/>
      <c r="BD2" s="140" t="str">
        <f>+_xlfn.XLOOKUP($A$1,Fixture!$D$98:$D$105,Fixture!$F$98:$F$105,_xlfn.XLOOKUP($A$1,Fixture!$F$98:$F$105,Fixture!$D$98:$D$105,"Descansa",FALSE))</f>
        <v>Descansa</v>
      </c>
      <c r="BE2" s="141"/>
      <c r="BF2" s="141"/>
      <c r="BG2" s="142"/>
      <c r="BH2" s="140" t="str">
        <f>+_xlfn.XLOOKUP($A$1,Fixture!$D$106:$D$113,Fixture!$F$106:$F$113,_xlfn.XLOOKUP($A$1,Fixture!$F$106:$F$113,Fixture!$D$106:$D$113,"Descansa",FALSE))</f>
        <v>Descansa</v>
      </c>
      <c r="BI2" s="141"/>
      <c r="BJ2" s="141"/>
      <c r="BK2" s="142"/>
      <c r="BL2" s="140" t="str">
        <f>+_xlfn.XLOOKUP($A$1,Fixture!$D$114:$D$121,Fixture!$F$114:$F$121,_xlfn.XLOOKUP($A$1,Fixture!$F$114:$F$121,Fixture!$D$114:$D$121,"Descansa",FALSE))</f>
        <v>Descansa</v>
      </c>
      <c r="BM2" s="141"/>
      <c r="BN2" s="141"/>
      <c r="BO2" s="142"/>
      <c r="BP2" s="140" t="str">
        <f>+_xlfn.XLOOKUP($A$1,Fixture!$D$122:$D$128,Fixture!$F$122:$F$128,_xlfn.XLOOKUP($A$1,Fixture!$F$122:$F$128,Fixture!$D$122:$D$128,"Descansa",FALSE))</f>
        <v>Descansa</v>
      </c>
      <c r="BQ2" s="141"/>
      <c r="BR2" s="141"/>
      <c r="BS2" s="142"/>
      <c r="BT2" s="140" t="str">
        <f>+_xlfn.XLOOKUP($A$1,Fixture!$D$129:$D$135,Fixture!$F$129:$F$135,_xlfn.XLOOKUP($A$1,Fixture!$F$129:$F$135,Fixture!$D$129:$D$135,"Descansa",FALSE))</f>
        <v>Descansa</v>
      </c>
      <c r="BU2" s="141"/>
      <c r="BV2" s="141"/>
      <c r="BW2" s="142"/>
      <c r="BX2" s="140" t="str">
        <f>+_xlfn.XLOOKUP($A$1,Fixture!$D$136:$D$141,Fixture!$F$136:$F$141,_xlfn.XLOOKUP($A$1,Fixture!$F$136:$F$141,Fixture!$D$136:$D$141,"Descansa",FALSE))</f>
        <v>Descansa</v>
      </c>
      <c r="BY2" s="141"/>
      <c r="BZ2" s="141"/>
      <c r="CA2" s="142"/>
      <c r="CB2" s="140" t="str">
        <f>+_xlfn.XLOOKUP($A$1,Fixture!$D$142:$D$149,Fixture!$F$142:$F$149,_xlfn.XLOOKUP($A$1,Fixture!$F$142:$F$149,Fixture!$D$142:$D$149,"Descansa",FALSE))</f>
        <v>Descansa</v>
      </c>
      <c r="CC2" s="141"/>
      <c r="CD2" s="141"/>
      <c r="CE2" s="142"/>
      <c r="CF2" s="140" t="str">
        <f>+_xlfn.XLOOKUP($A$1,Fixture!$D$150:$D$155,Fixture!$F$150:$F$155,_xlfn.XLOOKUP($A$1,Fixture!$F$150:$F$155,Fixture!$D$150:$D$155,"Descansa",FALSE))</f>
        <v>Descansa</v>
      </c>
      <c r="CG2" s="141"/>
      <c r="CH2" s="141"/>
      <c r="CI2" s="142"/>
      <c r="CJ2" s="140" t="str">
        <f>+_xlfn.XLOOKUP($A$1,Fixture!$D$156:$D$161,Fixture!$F$156:$F$161,_xlfn.XLOOKUP($A$1,Fixture!$F$156:$F$161,Fixture!$D$156:$D$161,"Descansa",FALSE))</f>
        <v>Descansa</v>
      </c>
      <c r="CK2" s="141"/>
      <c r="CL2" s="141"/>
      <c r="CM2" s="142"/>
      <c r="CN2" s="140" t="str">
        <f>+_xlfn.XLOOKUP($A$1,Fixture!$D$162:$D$167,Fixture!$F$162:$F$167,_xlfn.XLOOKUP($A$1,Fixture!$F$162:$F$167,Fixture!$D$162:$D$167,"Descansa",FALSE))</f>
        <v>Descansa</v>
      </c>
      <c r="CO2" s="141"/>
      <c r="CP2" s="141"/>
      <c r="CQ2" s="142"/>
      <c r="CR2" s="140" t="str">
        <f>+_xlfn.XLOOKUP($A$1,Fixture!$D$168:$D$169,Fixture!$F$168:$F$169,_xlfn.XLOOKUP($A$1,Fixture!$F$168:$F$169,Fixture!$D$168:$D$169,"Descanssa",FALSE))</f>
        <v>Descanssa</v>
      </c>
      <c r="CS2" s="141"/>
      <c r="CT2" s="141"/>
      <c r="CU2" s="142"/>
      <c r="CV2" s="140" t="str">
        <f>+_xlfn.XLOOKUP($A$1,Fixture!$D$170:$D$171,Fixture!$F$170:$F$171,_xlfn.XLOOKUP($A$1,Fixture!$F$170:$F$171,Fixture!$D$170:$D$171,"Descansa",FALSE))</f>
        <v>Descansa</v>
      </c>
      <c r="CW2" s="141"/>
      <c r="CX2" s="141"/>
      <c r="CY2" s="142"/>
      <c r="CZ2" s="72"/>
      <c r="DA2" s="73"/>
      <c r="DB2" s="73"/>
      <c r="DC2" s="74"/>
    </row>
    <row r="3" spans="1:107" ht="14.45" customHeight="1" x14ac:dyDescent="0.25">
      <c r="A3" s="192"/>
      <c r="B3" s="192"/>
      <c r="C3" s="192"/>
      <c r="D3" s="22" t="s">
        <v>89</v>
      </c>
      <c r="E3" s="22" t="s">
        <v>90</v>
      </c>
      <c r="F3" s="22" t="s">
        <v>91</v>
      </c>
      <c r="G3" s="24" t="s">
        <v>92</v>
      </c>
      <c r="H3" s="163">
        <f>+VLOOKUP(H1,Resultados!$A$3:$B$71,2,FALSE)</f>
        <v>45676</v>
      </c>
      <c r="I3" s="164"/>
      <c r="J3" s="164"/>
      <c r="K3" s="165"/>
      <c r="L3" s="163">
        <f>+VLOOKUP(L1,Resultados!$A$3:$B$71,2,FALSE)</f>
        <v>45683</v>
      </c>
      <c r="M3" s="164"/>
      <c r="N3" s="164"/>
      <c r="O3" s="165"/>
      <c r="P3" s="163">
        <f>+VLOOKUP(P1,Resultados!$A$3:$B$71,2,FALSE)</f>
        <v>45690</v>
      </c>
      <c r="Q3" s="164"/>
      <c r="R3" s="164"/>
      <c r="S3" s="165"/>
      <c r="T3" s="163">
        <f>+VLOOKUP(T1,Resultados!$A$3:$B$71,2,FALSE)</f>
        <v>45697</v>
      </c>
      <c r="U3" s="164"/>
      <c r="V3" s="164"/>
      <c r="W3" s="165"/>
      <c r="X3" s="163">
        <f>+VLOOKUP(X1,Resultados!$A$3:$B$71,2,FALSE)</f>
        <v>45704</v>
      </c>
      <c r="Y3" s="164"/>
      <c r="Z3" s="164"/>
      <c r="AA3" s="165"/>
      <c r="AB3" s="163">
        <f>+VLOOKUP(AB1,Resultados!$A$3:$B$71,2,FALSE)</f>
        <v>45711</v>
      </c>
      <c r="AC3" s="164"/>
      <c r="AD3" s="164"/>
      <c r="AE3" s="165"/>
      <c r="AF3" s="163">
        <f>+VLOOKUP(AF1,Resultados!$A$3:$B$71,2,FALSE)</f>
        <v>45718</v>
      </c>
      <c r="AG3" s="164"/>
      <c r="AH3" s="164"/>
      <c r="AI3" s="165"/>
      <c r="AJ3" s="163">
        <f>+VLOOKUP(AJ1,Resultados!$A$3:$B$71,2,FALSE)</f>
        <v>45725</v>
      </c>
      <c r="AK3" s="164"/>
      <c r="AL3" s="164"/>
      <c r="AM3" s="165"/>
      <c r="AN3" s="163">
        <f>+VLOOKUP(AN1,Resultados!$A$3:$B$71,2,FALSE)</f>
        <v>45704</v>
      </c>
      <c r="AO3" s="164"/>
      <c r="AP3" s="164"/>
      <c r="AQ3" s="165"/>
      <c r="AR3" s="163" t="e">
        <f>+VLOOKUP(AR1,Resultados!$A$3:$B$71,2,FALSE)</f>
        <v>#N/A</v>
      </c>
      <c r="AS3" s="164"/>
      <c r="AT3" s="164"/>
      <c r="AU3" s="165"/>
      <c r="AV3" s="163" t="e">
        <f>+VLOOKUP(AV1,Resultados!$A$3:$B$71,2,FALSE)</f>
        <v>#N/A</v>
      </c>
      <c r="AW3" s="164"/>
      <c r="AX3" s="164"/>
      <c r="AY3" s="165"/>
      <c r="AZ3" s="163" t="e">
        <f>+VLOOKUP(AZ1,Resultados!$A$3:$B$71,2,FALSE)</f>
        <v>#N/A</v>
      </c>
      <c r="BA3" s="164"/>
      <c r="BB3" s="164"/>
      <c r="BC3" s="165"/>
      <c r="BD3" s="163" t="e">
        <f>+VLOOKUP(BD1,Resultados!$A$3:$B$71,2,FALSE)</f>
        <v>#N/A</v>
      </c>
      <c r="BE3" s="164"/>
      <c r="BF3" s="164"/>
      <c r="BG3" s="165"/>
      <c r="BH3" s="163" t="e">
        <f>+VLOOKUP(BH1,Resultados!$A$3:$B$71,2,FALSE)</f>
        <v>#N/A</v>
      </c>
      <c r="BI3" s="164"/>
      <c r="BJ3" s="164"/>
      <c r="BK3" s="165"/>
      <c r="BL3" s="163" t="e">
        <f>+VLOOKUP(BL1,Resultados!$A$3:$B$71,2,FALSE)</f>
        <v>#N/A</v>
      </c>
      <c r="BM3" s="164"/>
      <c r="BN3" s="164"/>
      <c r="BO3" s="165"/>
      <c r="BP3" s="163" t="e">
        <f>+VLOOKUP(BP1,Resultados!$A$3:$B$71,2,FALSE)</f>
        <v>#N/A</v>
      </c>
      <c r="BQ3" s="164"/>
      <c r="BR3" s="164"/>
      <c r="BS3" s="165"/>
      <c r="BT3" s="163" t="e">
        <f>+VLOOKUP(BT1,Resultados!$A$3:$B$71,2,FALSE)</f>
        <v>#N/A</v>
      </c>
      <c r="BU3" s="164"/>
      <c r="BV3" s="164"/>
      <c r="BW3" s="165"/>
      <c r="BX3" s="163" t="e">
        <f>+VLOOKUP(BX1,Resultados!$A$3:$B$71,2,FALSE)</f>
        <v>#N/A</v>
      </c>
      <c r="BY3" s="164"/>
      <c r="BZ3" s="164"/>
      <c r="CA3" s="165"/>
      <c r="CB3" s="163" t="e">
        <f>+VLOOKUP(CB1,Resultados!$A$3:$B$71,2,FALSE)</f>
        <v>#N/A</v>
      </c>
      <c r="CC3" s="164"/>
      <c r="CD3" s="164"/>
      <c r="CE3" s="165"/>
      <c r="CF3" s="163" t="e">
        <f>+VLOOKUP(CF1,Resultados!$A$3:$B$71,2,FALSE)</f>
        <v>#N/A</v>
      </c>
      <c r="CG3" s="164"/>
      <c r="CH3" s="164"/>
      <c r="CI3" s="165"/>
      <c r="CJ3" s="163" t="e">
        <f>+VLOOKUP(CJ1,Resultados!$A$3:$B$71,2,FALSE)</f>
        <v>#N/A</v>
      </c>
      <c r="CK3" s="164"/>
      <c r="CL3" s="164"/>
      <c r="CM3" s="165"/>
      <c r="CN3" s="163" t="e">
        <f>+VLOOKUP(CN1,Resultados!$A$3:$B$71,2,FALSE)</f>
        <v>#N/A</v>
      </c>
      <c r="CO3" s="164"/>
      <c r="CP3" s="164"/>
      <c r="CQ3" s="165"/>
      <c r="CR3" s="163" t="e">
        <f>+VLOOKUP(CR1,Resultados!$A$3:$B$71,2,FALSE)</f>
        <v>#N/A</v>
      </c>
      <c r="CS3" s="164"/>
      <c r="CT3" s="164"/>
      <c r="CU3" s="165"/>
      <c r="CV3" s="163" t="e">
        <f>+VLOOKUP(CV1,Resultados!$A$3:$B$71,2,FALSE)</f>
        <v>#N/A</v>
      </c>
      <c r="CW3" s="164"/>
      <c r="CX3" s="164"/>
      <c r="CY3" s="165"/>
      <c r="CZ3" s="163" t="e">
        <f>+VLOOKUP(CZ1,Resultados!$A$3:$B$71,2,FALSE)</f>
        <v>#N/A</v>
      </c>
      <c r="DA3" s="164"/>
      <c r="DB3" s="164"/>
      <c r="DC3" s="165"/>
    </row>
    <row r="4" spans="1:107" ht="19.899999999999999" customHeight="1" x14ac:dyDescent="0.25">
      <c r="A4" s="222" t="s">
        <v>3</v>
      </c>
      <c r="B4" s="154" t="str">
        <f>Jugadores!Q3</f>
        <v>Equıpo 17 1</v>
      </c>
      <c r="C4" s="155"/>
      <c r="D4" s="24">
        <f>H4+L4+P4+T4+X4+AB4+AF4+AJ4+AN4+AR4+AV4+AZ4+BD4+BH4+BL4+BP4+BT4+BX4+CB4+CF4+CJ4+CN4+CR4+CV4+CZ4</f>
        <v>0</v>
      </c>
      <c r="E4" s="24">
        <f>I4+M4+Q4+U4+Y4+AC4+AG4+AK4+AO4+AS4+AW4+BA4+BE4+BI4+BM4+BQ4+BV4+BY4+CD4+CG4+CL4+CO4+CT4+CW4+DB4</f>
        <v>0</v>
      </c>
      <c r="F4" s="115">
        <f>J4+N4+R4+V4+Z4+AD4+AH4+AL4+AP4+AT4+AX4+BB4+BF4+BJ4+BN4+BT4+BX4+CB4+CF4+CJ4+CN4+CR4+CV4+CZ4</f>
        <v>0</v>
      </c>
      <c r="G4" s="115">
        <f>K4+O4+S4+W4+AA4+AE4+AI4+AM4+AQ4+AU4+AY4+BC4+BG4+BK4+BO4+BV4+BY4+CD4+CG4+CL4+CO4+CT4+CW4+DB4</f>
        <v>0</v>
      </c>
      <c r="H4" s="28"/>
      <c r="I4" s="26"/>
      <c r="J4" s="26"/>
      <c r="K4" s="29"/>
      <c r="L4" s="28"/>
      <c r="M4" s="26"/>
      <c r="N4" s="26"/>
      <c r="O4" s="29"/>
      <c r="P4" s="28"/>
      <c r="Q4" s="26"/>
      <c r="R4" s="26"/>
      <c r="S4" s="29"/>
      <c r="T4" s="28"/>
      <c r="U4" s="26"/>
      <c r="V4" s="26"/>
      <c r="W4" s="29"/>
      <c r="X4" s="28"/>
      <c r="Y4" s="26"/>
      <c r="Z4" s="26"/>
      <c r="AA4" s="29"/>
      <c r="AB4" s="28"/>
      <c r="AC4" s="26"/>
      <c r="AD4" s="26"/>
      <c r="AE4" s="29"/>
      <c r="AF4" s="28"/>
      <c r="AG4" s="26"/>
      <c r="AH4" s="26"/>
      <c r="AI4" s="29"/>
      <c r="AJ4" s="28"/>
      <c r="AK4" s="26"/>
      <c r="AL4" s="26"/>
      <c r="AM4" s="29"/>
      <c r="AN4" s="28"/>
      <c r="AO4" s="26"/>
      <c r="AP4" s="26"/>
      <c r="AQ4" s="29"/>
      <c r="AR4" s="28"/>
      <c r="AS4" s="26"/>
      <c r="AT4" s="26"/>
      <c r="AU4" s="29"/>
      <c r="AV4" s="28"/>
      <c r="AW4" s="26"/>
      <c r="AX4" s="26"/>
      <c r="AY4" s="29"/>
      <c r="AZ4" s="28"/>
      <c r="BA4" s="26"/>
      <c r="BB4" s="26"/>
      <c r="BC4" s="29"/>
      <c r="BD4" s="28"/>
      <c r="BE4" s="26"/>
      <c r="BF4" s="26"/>
      <c r="BG4" s="29"/>
      <c r="BH4" s="28"/>
      <c r="BI4" s="26"/>
      <c r="BJ4" s="26"/>
      <c r="BK4" s="29"/>
      <c r="BL4" s="28"/>
      <c r="BM4" s="26"/>
      <c r="BN4" s="26"/>
      <c r="BO4" s="29"/>
      <c r="BP4" s="28"/>
      <c r="BQ4" s="26"/>
      <c r="BR4" s="26"/>
      <c r="BS4" s="29"/>
      <c r="BT4" s="28"/>
      <c r="BU4" s="26"/>
      <c r="BV4" s="26"/>
      <c r="BW4" s="29"/>
      <c r="BX4" s="28"/>
      <c r="BY4" s="26"/>
      <c r="BZ4" s="26"/>
      <c r="CA4" s="29"/>
      <c r="CB4" s="28"/>
      <c r="CC4" s="26"/>
      <c r="CD4" s="26"/>
      <c r="CE4" s="29"/>
      <c r="CF4" s="28"/>
      <c r="CG4" s="26"/>
      <c r="CH4" s="26"/>
      <c r="CI4" s="29"/>
      <c r="CJ4" s="28"/>
      <c r="CK4" s="26"/>
      <c r="CL4" s="26"/>
      <c r="CM4" s="29"/>
      <c r="CN4" s="28"/>
      <c r="CO4" s="26"/>
      <c r="CP4" s="26"/>
      <c r="CQ4" s="29"/>
      <c r="CR4" s="28"/>
      <c r="CS4" s="26"/>
      <c r="CT4" s="26"/>
      <c r="CU4" s="29"/>
      <c r="CV4" s="28"/>
      <c r="CW4" s="26"/>
      <c r="CX4" s="26"/>
      <c r="CY4" s="29"/>
      <c r="CZ4" s="28"/>
      <c r="DA4" s="26"/>
      <c r="DB4" s="26"/>
      <c r="DC4" s="29"/>
    </row>
    <row r="5" spans="1:107" ht="19.899999999999999" customHeight="1" x14ac:dyDescent="0.25">
      <c r="A5" s="222"/>
      <c r="B5" s="154" t="str">
        <f>Jugadores!Q4</f>
        <v>Equıpo 17 2</v>
      </c>
      <c r="C5" s="155"/>
      <c r="D5" s="24">
        <f t="shared" ref="D5:D18" si="0">H5+L5+P5+T5+X5+AB5+AF5+AJ5+AN5+AR5+AV5+AZ5+BD5+BH5+BL5+BP5+BT5+BX5+CB5+CF5+CJ5+CN5+CR5+CV5+CZ5</f>
        <v>0</v>
      </c>
      <c r="E5" s="24">
        <f t="shared" ref="E5:E18" si="1">I5+M5+Q5+U5+Y5+AC5+AG5+AK5+AO5+AS5+AW5+BA5+BE5+BI5+BM5+BQ5+BV5+BY5+CD5+CG5+CL5+CO5+CT5+CW5+DB5</f>
        <v>0</v>
      </c>
      <c r="F5" s="115">
        <f t="shared" ref="F5:F18" si="2">J5+N5+R5+V5+Z5+AD5+AH5+AL5+AP5+AT5+AX5+BB5+BF5+BJ5+BN5+BT5+BX5+CB5+CF5+CJ5+CN5+CR5+CV5+CZ5</f>
        <v>0</v>
      </c>
      <c r="G5" s="115">
        <f t="shared" ref="G5:G18" si="3">K5+O5+S5+W5+AA5+AE5+AI5+AM5+AQ5+AU5+AY5+BC5+BG5+BK5+BO5+BV5+BY5+CD5+CG5+CL5+CO5+CT5+CW5+DB5</f>
        <v>0</v>
      </c>
      <c r="H5" s="28"/>
      <c r="I5" s="26"/>
      <c r="J5" s="26"/>
      <c r="K5" s="29"/>
      <c r="L5" s="28"/>
      <c r="M5" s="26"/>
      <c r="N5" s="26"/>
      <c r="O5" s="29"/>
      <c r="P5" s="28"/>
      <c r="Q5" s="26"/>
      <c r="R5" s="26"/>
      <c r="S5" s="29"/>
      <c r="T5" s="28"/>
      <c r="U5" s="26"/>
      <c r="V5" s="26"/>
      <c r="W5" s="29"/>
      <c r="X5" s="28"/>
      <c r="Y5" s="26"/>
      <c r="Z5" s="26"/>
      <c r="AA5" s="29"/>
      <c r="AB5" s="28"/>
      <c r="AC5" s="26"/>
      <c r="AD5" s="26"/>
      <c r="AE5" s="29"/>
      <c r="AF5" s="28"/>
      <c r="AG5" s="26"/>
      <c r="AH5" s="26"/>
      <c r="AI5" s="29"/>
      <c r="AJ5" s="28"/>
      <c r="AK5" s="26"/>
      <c r="AL5" s="26"/>
      <c r="AM5" s="29"/>
      <c r="AN5" s="28"/>
      <c r="AO5" s="26"/>
      <c r="AP5" s="26"/>
      <c r="AQ5" s="29"/>
      <c r="AR5" s="28"/>
      <c r="AS5" s="26"/>
      <c r="AT5" s="26"/>
      <c r="AU5" s="29"/>
      <c r="AV5" s="28"/>
      <c r="AW5" s="26"/>
      <c r="AX5" s="26"/>
      <c r="AY5" s="29"/>
      <c r="AZ5" s="28"/>
      <c r="BA5" s="26"/>
      <c r="BB5" s="26"/>
      <c r="BC5" s="29"/>
      <c r="BD5" s="28"/>
      <c r="BE5" s="26"/>
      <c r="BF5" s="26"/>
      <c r="BG5" s="29"/>
      <c r="BH5" s="28"/>
      <c r="BI5" s="26"/>
      <c r="BJ5" s="26"/>
      <c r="BK5" s="29"/>
      <c r="BL5" s="28"/>
      <c r="BM5" s="26"/>
      <c r="BN5" s="26"/>
      <c r="BO5" s="29"/>
      <c r="BP5" s="28"/>
      <c r="BQ5" s="26"/>
      <c r="BR5" s="26"/>
      <c r="BS5" s="29"/>
      <c r="BT5" s="28"/>
      <c r="BU5" s="26"/>
      <c r="BV5" s="26"/>
      <c r="BW5" s="29"/>
      <c r="BX5" s="28"/>
      <c r="BY5" s="26"/>
      <c r="BZ5" s="26"/>
      <c r="CA5" s="29"/>
      <c r="CB5" s="28"/>
      <c r="CC5" s="26"/>
      <c r="CD5" s="26"/>
      <c r="CE5" s="29"/>
      <c r="CF5" s="28"/>
      <c r="CG5" s="26"/>
      <c r="CH5" s="26"/>
      <c r="CI5" s="29"/>
      <c r="CJ5" s="28"/>
      <c r="CK5" s="26"/>
      <c r="CL5" s="26"/>
      <c r="CM5" s="29"/>
      <c r="CN5" s="28"/>
      <c r="CO5" s="26"/>
      <c r="CP5" s="26"/>
      <c r="CQ5" s="29"/>
      <c r="CR5" s="28"/>
      <c r="CS5" s="26"/>
      <c r="CT5" s="26"/>
      <c r="CU5" s="29"/>
      <c r="CV5" s="28"/>
      <c r="CW5" s="26"/>
      <c r="CX5" s="26"/>
      <c r="CY5" s="29"/>
      <c r="CZ5" s="28"/>
      <c r="DA5" s="26"/>
      <c r="DB5" s="26"/>
      <c r="DC5" s="29"/>
    </row>
    <row r="6" spans="1:107" ht="19.899999999999999" customHeight="1" x14ac:dyDescent="0.25">
      <c r="A6" s="222"/>
      <c r="B6" s="154" t="str">
        <f>Jugadores!Q5</f>
        <v>Equıpo 17 3</v>
      </c>
      <c r="C6" s="155"/>
      <c r="D6" s="24">
        <f t="shared" si="0"/>
        <v>0</v>
      </c>
      <c r="E6" s="24">
        <f t="shared" si="1"/>
        <v>0</v>
      </c>
      <c r="F6" s="115">
        <f t="shared" si="2"/>
        <v>0</v>
      </c>
      <c r="G6" s="115">
        <f t="shared" si="3"/>
        <v>0</v>
      </c>
      <c r="H6" s="28"/>
      <c r="I6" s="26"/>
      <c r="J6" s="26"/>
      <c r="K6" s="29"/>
      <c r="L6" s="28"/>
      <c r="M6" s="26"/>
      <c r="N6" s="26"/>
      <c r="O6" s="29"/>
      <c r="P6" s="28"/>
      <c r="Q6" s="26"/>
      <c r="R6" s="26"/>
      <c r="S6" s="29"/>
      <c r="T6" s="28"/>
      <c r="U6" s="26"/>
      <c r="V6" s="26"/>
      <c r="W6" s="29"/>
      <c r="X6" s="28"/>
      <c r="Y6" s="26"/>
      <c r="Z6" s="26"/>
      <c r="AA6" s="29"/>
      <c r="AB6" s="28"/>
      <c r="AC6" s="26"/>
      <c r="AD6" s="26"/>
      <c r="AE6" s="29"/>
      <c r="AF6" s="28"/>
      <c r="AG6" s="26"/>
      <c r="AH6" s="26"/>
      <c r="AI6" s="29"/>
      <c r="AJ6" s="28"/>
      <c r="AK6" s="26"/>
      <c r="AL6" s="26"/>
      <c r="AM6" s="29"/>
      <c r="AN6" s="28"/>
      <c r="AO6" s="26"/>
      <c r="AP6" s="26"/>
      <c r="AQ6" s="29"/>
      <c r="AR6" s="28"/>
      <c r="AS6" s="26"/>
      <c r="AT6" s="26"/>
      <c r="AU6" s="29"/>
      <c r="AV6" s="28"/>
      <c r="AW6" s="26"/>
      <c r="AX6" s="26"/>
      <c r="AY6" s="29"/>
      <c r="AZ6" s="28"/>
      <c r="BA6" s="26"/>
      <c r="BB6" s="26"/>
      <c r="BC6" s="29"/>
      <c r="BD6" s="28"/>
      <c r="BE6" s="26"/>
      <c r="BF6" s="26"/>
      <c r="BG6" s="29"/>
      <c r="BH6" s="28"/>
      <c r="BI6" s="26"/>
      <c r="BJ6" s="26"/>
      <c r="BK6" s="29"/>
      <c r="BL6" s="28"/>
      <c r="BM6" s="26"/>
      <c r="BN6" s="26"/>
      <c r="BO6" s="29"/>
      <c r="BP6" s="28"/>
      <c r="BQ6" s="26"/>
      <c r="BR6" s="26"/>
      <c r="BS6" s="29"/>
      <c r="BT6" s="28"/>
      <c r="BU6" s="26"/>
      <c r="BV6" s="26"/>
      <c r="BW6" s="29"/>
      <c r="BX6" s="28"/>
      <c r="BY6" s="26"/>
      <c r="BZ6" s="26"/>
      <c r="CA6" s="29"/>
      <c r="CB6" s="28"/>
      <c r="CC6" s="26"/>
      <c r="CD6" s="26"/>
      <c r="CE6" s="29"/>
      <c r="CF6" s="28"/>
      <c r="CG6" s="26"/>
      <c r="CH6" s="26"/>
      <c r="CI6" s="29"/>
      <c r="CJ6" s="28"/>
      <c r="CK6" s="26"/>
      <c r="CL6" s="26"/>
      <c r="CM6" s="29"/>
      <c r="CN6" s="28"/>
      <c r="CO6" s="26"/>
      <c r="CP6" s="26"/>
      <c r="CQ6" s="29"/>
      <c r="CR6" s="28"/>
      <c r="CS6" s="26"/>
      <c r="CT6" s="26"/>
      <c r="CU6" s="29"/>
      <c r="CV6" s="28"/>
      <c r="CW6" s="26"/>
      <c r="CX6" s="26"/>
      <c r="CY6" s="29"/>
      <c r="CZ6" s="28"/>
      <c r="DA6" s="26"/>
      <c r="DB6" s="26"/>
      <c r="DC6" s="29"/>
    </row>
    <row r="7" spans="1:107" ht="19.899999999999999" customHeight="1" x14ac:dyDescent="0.25">
      <c r="A7" s="222"/>
      <c r="B7" s="154" t="str">
        <f>Jugadores!Q6</f>
        <v>Equıpo 17 4</v>
      </c>
      <c r="C7" s="155"/>
      <c r="D7" s="24">
        <f t="shared" si="0"/>
        <v>0</v>
      </c>
      <c r="E7" s="24">
        <f t="shared" si="1"/>
        <v>0</v>
      </c>
      <c r="F7" s="115">
        <f t="shared" si="2"/>
        <v>0</v>
      </c>
      <c r="G7" s="115">
        <f t="shared" si="3"/>
        <v>0</v>
      </c>
      <c r="H7" s="28"/>
      <c r="I7" s="26"/>
      <c r="J7" s="26"/>
      <c r="K7" s="29"/>
      <c r="L7" s="28"/>
      <c r="M7" s="26"/>
      <c r="N7" s="26"/>
      <c r="O7" s="29"/>
      <c r="P7" s="28"/>
      <c r="Q7" s="26"/>
      <c r="R7" s="26"/>
      <c r="S7" s="29"/>
      <c r="T7" s="28"/>
      <c r="U7" s="26"/>
      <c r="V7" s="26"/>
      <c r="W7" s="29"/>
      <c r="X7" s="28"/>
      <c r="Y7" s="26"/>
      <c r="Z7" s="26"/>
      <c r="AA7" s="29"/>
      <c r="AB7" s="28"/>
      <c r="AC7" s="26"/>
      <c r="AD7" s="26"/>
      <c r="AE7" s="29"/>
      <c r="AF7" s="28"/>
      <c r="AG7" s="26"/>
      <c r="AH7" s="26"/>
      <c r="AI7" s="29"/>
      <c r="AJ7" s="28"/>
      <c r="AK7" s="26"/>
      <c r="AL7" s="26"/>
      <c r="AM7" s="29"/>
      <c r="AN7" s="28"/>
      <c r="AO7" s="26"/>
      <c r="AP7" s="26"/>
      <c r="AQ7" s="29"/>
      <c r="AR7" s="28"/>
      <c r="AS7" s="26"/>
      <c r="AT7" s="26"/>
      <c r="AU7" s="29"/>
      <c r="AV7" s="28"/>
      <c r="AW7" s="26"/>
      <c r="AX7" s="26"/>
      <c r="AY7" s="29"/>
      <c r="AZ7" s="28"/>
      <c r="BA7" s="26"/>
      <c r="BB7" s="26"/>
      <c r="BC7" s="29"/>
      <c r="BD7" s="28"/>
      <c r="BE7" s="26"/>
      <c r="BF7" s="26"/>
      <c r="BG7" s="29"/>
      <c r="BH7" s="28"/>
      <c r="BI7" s="26"/>
      <c r="BJ7" s="26"/>
      <c r="BK7" s="29"/>
      <c r="BL7" s="28"/>
      <c r="BM7" s="26"/>
      <c r="BN7" s="26"/>
      <c r="BO7" s="29"/>
      <c r="BP7" s="28"/>
      <c r="BQ7" s="26"/>
      <c r="BR7" s="26"/>
      <c r="BS7" s="29"/>
      <c r="BT7" s="28"/>
      <c r="BU7" s="26"/>
      <c r="BV7" s="26"/>
      <c r="BW7" s="29"/>
      <c r="BX7" s="28"/>
      <c r="BY7" s="26"/>
      <c r="BZ7" s="26"/>
      <c r="CA7" s="29"/>
      <c r="CB7" s="28"/>
      <c r="CC7" s="26"/>
      <c r="CD7" s="26"/>
      <c r="CE7" s="29"/>
      <c r="CF7" s="28"/>
      <c r="CG7" s="26"/>
      <c r="CH7" s="26"/>
      <c r="CI7" s="29"/>
      <c r="CJ7" s="28"/>
      <c r="CK7" s="26"/>
      <c r="CL7" s="26"/>
      <c r="CM7" s="29"/>
      <c r="CN7" s="28"/>
      <c r="CO7" s="26"/>
      <c r="CP7" s="26"/>
      <c r="CQ7" s="29"/>
      <c r="CR7" s="28"/>
      <c r="CS7" s="26"/>
      <c r="CT7" s="26"/>
      <c r="CU7" s="29"/>
      <c r="CV7" s="28"/>
      <c r="CW7" s="26"/>
      <c r="CX7" s="26"/>
      <c r="CY7" s="29"/>
      <c r="CZ7" s="28"/>
      <c r="DA7" s="26"/>
      <c r="DB7" s="26"/>
      <c r="DC7" s="29"/>
    </row>
    <row r="8" spans="1:107" ht="19.899999999999999" customHeight="1" x14ac:dyDescent="0.25">
      <c r="A8" s="222"/>
      <c r="B8" s="154" t="str">
        <f>Jugadores!Q7</f>
        <v>Equıpo 17 5</v>
      </c>
      <c r="C8" s="155"/>
      <c r="D8" s="24">
        <f t="shared" si="0"/>
        <v>0</v>
      </c>
      <c r="E8" s="24">
        <f t="shared" si="1"/>
        <v>0</v>
      </c>
      <c r="F8" s="115">
        <f t="shared" si="2"/>
        <v>0</v>
      </c>
      <c r="G8" s="115">
        <f t="shared" si="3"/>
        <v>0</v>
      </c>
      <c r="H8" s="28"/>
      <c r="I8" s="26"/>
      <c r="J8" s="26"/>
      <c r="K8" s="29"/>
      <c r="L8" s="28"/>
      <c r="M8" s="26"/>
      <c r="N8" s="26"/>
      <c r="O8" s="29"/>
      <c r="P8" s="28"/>
      <c r="Q8" s="26"/>
      <c r="R8" s="26"/>
      <c r="S8" s="29"/>
      <c r="T8" s="28"/>
      <c r="U8" s="26"/>
      <c r="V8" s="26"/>
      <c r="W8" s="29"/>
      <c r="X8" s="28"/>
      <c r="Y8" s="26"/>
      <c r="Z8" s="26"/>
      <c r="AA8" s="29"/>
      <c r="AB8" s="28"/>
      <c r="AC8" s="26"/>
      <c r="AD8" s="26"/>
      <c r="AE8" s="29"/>
      <c r="AF8" s="28"/>
      <c r="AG8" s="26"/>
      <c r="AH8" s="26"/>
      <c r="AI8" s="29"/>
      <c r="AJ8" s="28"/>
      <c r="AK8" s="26"/>
      <c r="AL8" s="26"/>
      <c r="AM8" s="29"/>
      <c r="AN8" s="28"/>
      <c r="AO8" s="26"/>
      <c r="AP8" s="26"/>
      <c r="AQ8" s="29"/>
      <c r="AR8" s="28"/>
      <c r="AS8" s="26"/>
      <c r="AT8" s="26"/>
      <c r="AU8" s="29"/>
      <c r="AV8" s="28"/>
      <c r="AW8" s="26"/>
      <c r="AX8" s="26"/>
      <c r="AY8" s="29"/>
      <c r="AZ8" s="28"/>
      <c r="BA8" s="26"/>
      <c r="BB8" s="26"/>
      <c r="BC8" s="29"/>
      <c r="BD8" s="28"/>
      <c r="BE8" s="26"/>
      <c r="BF8" s="26"/>
      <c r="BG8" s="29"/>
      <c r="BH8" s="28"/>
      <c r="BI8" s="26"/>
      <c r="BJ8" s="26"/>
      <c r="BK8" s="29"/>
      <c r="BL8" s="28"/>
      <c r="BM8" s="26"/>
      <c r="BN8" s="26"/>
      <c r="BO8" s="29"/>
      <c r="BP8" s="28"/>
      <c r="BQ8" s="26"/>
      <c r="BR8" s="26"/>
      <c r="BS8" s="29"/>
      <c r="BT8" s="28"/>
      <c r="BU8" s="26"/>
      <c r="BV8" s="26"/>
      <c r="BW8" s="29"/>
      <c r="BX8" s="28"/>
      <c r="BY8" s="26"/>
      <c r="BZ8" s="26"/>
      <c r="CA8" s="29"/>
      <c r="CB8" s="28"/>
      <c r="CC8" s="26"/>
      <c r="CD8" s="26"/>
      <c r="CE8" s="29"/>
      <c r="CF8" s="28"/>
      <c r="CG8" s="26"/>
      <c r="CH8" s="26"/>
      <c r="CI8" s="29"/>
      <c r="CJ8" s="28"/>
      <c r="CK8" s="26"/>
      <c r="CL8" s="26"/>
      <c r="CM8" s="29"/>
      <c r="CN8" s="28"/>
      <c r="CO8" s="26"/>
      <c r="CP8" s="26"/>
      <c r="CQ8" s="29"/>
      <c r="CR8" s="28"/>
      <c r="CS8" s="26"/>
      <c r="CT8" s="26"/>
      <c r="CU8" s="29"/>
      <c r="CV8" s="28"/>
      <c r="CW8" s="26"/>
      <c r="CX8" s="26"/>
      <c r="CY8" s="29"/>
      <c r="CZ8" s="28"/>
      <c r="DA8" s="26"/>
      <c r="DB8" s="26"/>
      <c r="DC8" s="29"/>
    </row>
    <row r="9" spans="1:107" ht="19.899999999999999" customHeight="1" x14ac:dyDescent="0.25">
      <c r="A9" s="222"/>
      <c r="B9" s="154" t="str">
        <f>Jugadores!Q8</f>
        <v>Equıpo 17 6</v>
      </c>
      <c r="C9" s="155"/>
      <c r="D9" s="24">
        <f t="shared" si="0"/>
        <v>0</v>
      </c>
      <c r="E9" s="24">
        <f t="shared" si="1"/>
        <v>0</v>
      </c>
      <c r="F9" s="115">
        <f t="shared" si="2"/>
        <v>0</v>
      </c>
      <c r="G9" s="115">
        <f t="shared" si="3"/>
        <v>0</v>
      </c>
      <c r="H9" s="28"/>
      <c r="I9" s="26"/>
      <c r="J9" s="26"/>
      <c r="K9" s="29"/>
      <c r="L9" s="28"/>
      <c r="M9" s="26"/>
      <c r="N9" s="26"/>
      <c r="O9" s="29"/>
      <c r="P9" s="28"/>
      <c r="Q9" s="26"/>
      <c r="R9" s="26"/>
      <c r="S9" s="29"/>
      <c r="T9" s="28"/>
      <c r="U9" s="26"/>
      <c r="V9" s="26"/>
      <c r="W9" s="29"/>
      <c r="X9" s="28"/>
      <c r="Y9" s="26"/>
      <c r="Z9" s="26"/>
      <c r="AA9" s="29"/>
      <c r="AB9" s="28"/>
      <c r="AC9" s="26"/>
      <c r="AD9" s="26"/>
      <c r="AE9" s="29"/>
      <c r="AF9" s="28"/>
      <c r="AG9" s="26"/>
      <c r="AH9" s="26"/>
      <c r="AI9" s="29"/>
      <c r="AJ9" s="28"/>
      <c r="AK9" s="26"/>
      <c r="AL9" s="26"/>
      <c r="AM9" s="29"/>
      <c r="AN9" s="28"/>
      <c r="AO9" s="26"/>
      <c r="AP9" s="26"/>
      <c r="AQ9" s="29"/>
      <c r="AR9" s="28"/>
      <c r="AS9" s="26"/>
      <c r="AT9" s="26"/>
      <c r="AU9" s="29"/>
      <c r="AV9" s="28"/>
      <c r="AW9" s="26"/>
      <c r="AX9" s="26"/>
      <c r="AY9" s="29"/>
      <c r="AZ9" s="28"/>
      <c r="BA9" s="26"/>
      <c r="BB9" s="26"/>
      <c r="BC9" s="29"/>
      <c r="BD9" s="28"/>
      <c r="BE9" s="26"/>
      <c r="BF9" s="26"/>
      <c r="BG9" s="29"/>
      <c r="BH9" s="28"/>
      <c r="BI9" s="26"/>
      <c r="BJ9" s="26"/>
      <c r="BK9" s="29"/>
      <c r="BL9" s="28"/>
      <c r="BM9" s="26"/>
      <c r="BN9" s="26"/>
      <c r="BO9" s="29"/>
      <c r="BP9" s="28"/>
      <c r="BQ9" s="26"/>
      <c r="BR9" s="26"/>
      <c r="BS9" s="29"/>
      <c r="BT9" s="28"/>
      <c r="BU9" s="26"/>
      <c r="BV9" s="26"/>
      <c r="BW9" s="29"/>
      <c r="BX9" s="28"/>
      <c r="BY9" s="26"/>
      <c r="BZ9" s="26"/>
      <c r="CA9" s="29"/>
      <c r="CB9" s="28"/>
      <c r="CC9" s="26"/>
      <c r="CD9" s="26"/>
      <c r="CE9" s="29"/>
      <c r="CF9" s="28"/>
      <c r="CG9" s="26"/>
      <c r="CH9" s="26"/>
      <c r="CI9" s="29"/>
      <c r="CJ9" s="28"/>
      <c r="CK9" s="26"/>
      <c r="CL9" s="26"/>
      <c r="CM9" s="29"/>
      <c r="CN9" s="28"/>
      <c r="CO9" s="26"/>
      <c r="CP9" s="26"/>
      <c r="CQ9" s="29"/>
      <c r="CR9" s="28"/>
      <c r="CS9" s="26"/>
      <c r="CT9" s="26"/>
      <c r="CU9" s="29"/>
      <c r="CV9" s="28"/>
      <c r="CW9" s="26"/>
      <c r="CX9" s="26"/>
      <c r="CY9" s="29"/>
      <c r="CZ9" s="28"/>
      <c r="DA9" s="26"/>
      <c r="DB9" s="26"/>
      <c r="DC9" s="29"/>
    </row>
    <row r="10" spans="1:107" ht="19.899999999999999" customHeight="1" x14ac:dyDescent="0.25">
      <c r="A10" s="222"/>
      <c r="B10" s="154" t="str">
        <f>Jugadores!Q9</f>
        <v>Equıpo 17 7</v>
      </c>
      <c r="C10" s="155"/>
      <c r="D10" s="24">
        <f t="shared" si="0"/>
        <v>0</v>
      </c>
      <c r="E10" s="24">
        <f t="shared" si="1"/>
        <v>0</v>
      </c>
      <c r="F10" s="115">
        <f t="shared" si="2"/>
        <v>0</v>
      </c>
      <c r="G10" s="115">
        <f t="shared" si="3"/>
        <v>0</v>
      </c>
      <c r="H10" s="28"/>
      <c r="I10" s="26"/>
      <c r="J10" s="26"/>
      <c r="K10" s="29"/>
      <c r="L10" s="28"/>
      <c r="M10" s="26"/>
      <c r="N10" s="26"/>
      <c r="O10" s="29"/>
      <c r="P10" s="28"/>
      <c r="Q10" s="26"/>
      <c r="R10" s="26"/>
      <c r="S10" s="29"/>
      <c r="T10" s="28"/>
      <c r="U10" s="26"/>
      <c r="V10" s="26"/>
      <c r="W10" s="29"/>
      <c r="X10" s="28"/>
      <c r="Y10" s="26"/>
      <c r="Z10" s="26"/>
      <c r="AA10" s="29"/>
      <c r="AB10" s="28"/>
      <c r="AC10" s="26"/>
      <c r="AD10" s="26"/>
      <c r="AE10" s="29"/>
      <c r="AF10" s="28"/>
      <c r="AG10" s="26"/>
      <c r="AH10" s="26"/>
      <c r="AI10" s="29"/>
      <c r="AJ10" s="28"/>
      <c r="AK10" s="26"/>
      <c r="AL10" s="26"/>
      <c r="AM10" s="29"/>
      <c r="AN10" s="28"/>
      <c r="AO10" s="26"/>
      <c r="AP10" s="26"/>
      <c r="AQ10" s="29"/>
      <c r="AR10" s="28"/>
      <c r="AS10" s="26"/>
      <c r="AT10" s="26"/>
      <c r="AU10" s="29"/>
      <c r="AV10" s="28"/>
      <c r="AW10" s="26"/>
      <c r="AX10" s="26"/>
      <c r="AY10" s="29"/>
      <c r="AZ10" s="28"/>
      <c r="BA10" s="26"/>
      <c r="BB10" s="26"/>
      <c r="BC10" s="29"/>
      <c r="BD10" s="28"/>
      <c r="BE10" s="26"/>
      <c r="BF10" s="26"/>
      <c r="BG10" s="29"/>
      <c r="BH10" s="28"/>
      <c r="BI10" s="26"/>
      <c r="BJ10" s="26"/>
      <c r="BK10" s="29"/>
      <c r="BL10" s="28"/>
      <c r="BM10" s="26"/>
      <c r="BN10" s="26"/>
      <c r="BO10" s="29"/>
      <c r="BP10" s="28"/>
      <c r="BQ10" s="26"/>
      <c r="BR10" s="26"/>
      <c r="BS10" s="29"/>
      <c r="BT10" s="28"/>
      <c r="BU10" s="26"/>
      <c r="BV10" s="26"/>
      <c r="BW10" s="29"/>
      <c r="BX10" s="28"/>
      <c r="BY10" s="26"/>
      <c r="BZ10" s="26"/>
      <c r="CA10" s="29"/>
      <c r="CB10" s="28"/>
      <c r="CC10" s="26"/>
      <c r="CD10" s="26"/>
      <c r="CE10" s="29"/>
      <c r="CF10" s="28"/>
      <c r="CG10" s="26"/>
      <c r="CH10" s="26"/>
      <c r="CI10" s="29"/>
      <c r="CJ10" s="28"/>
      <c r="CK10" s="26"/>
      <c r="CL10" s="26"/>
      <c r="CM10" s="29"/>
      <c r="CN10" s="28"/>
      <c r="CO10" s="26"/>
      <c r="CP10" s="26"/>
      <c r="CQ10" s="29"/>
      <c r="CR10" s="28"/>
      <c r="CS10" s="26"/>
      <c r="CT10" s="26"/>
      <c r="CU10" s="29"/>
      <c r="CV10" s="28"/>
      <c r="CW10" s="26"/>
      <c r="CX10" s="26"/>
      <c r="CY10" s="29"/>
      <c r="CZ10" s="28"/>
      <c r="DA10" s="26"/>
      <c r="DB10" s="26"/>
      <c r="DC10" s="29"/>
    </row>
    <row r="11" spans="1:107" ht="19.899999999999999" customHeight="1" x14ac:dyDescent="0.25">
      <c r="A11" s="222"/>
      <c r="B11" s="154" t="str">
        <f>Jugadores!Q10</f>
        <v>Equıpo 17 8</v>
      </c>
      <c r="C11" s="155"/>
      <c r="D11" s="24">
        <f t="shared" si="0"/>
        <v>0</v>
      </c>
      <c r="E11" s="24">
        <f t="shared" si="1"/>
        <v>0</v>
      </c>
      <c r="F11" s="115">
        <f t="shared" si="2"/>
        <v>0</v>
      </c>
      <c r="G11" s="115">
        <f t="shared" si="3"/>
        <v>0</v>
      </c>
      <c r="H11" s="28"/>
      <c r="I11" s="26"/>
      <c r="J11" s="26"/>
      <c r="K11" s="29"/>
      <c r="L11" s="28"/>
      <c r="M11" s="26"/>
      <c r="N11" s="26"/>
      <c r="O11" s="29"/>
      <c r="P11" s="28"/>
      <c r="Q11" s="26"/>
      <c r="R11" s="26"/>
      <c r="S11" s="29"/>
      <c r="T11" s="28"/>
      <c r="U11" s="26"/>
      <c r="V11" s="26"/>
      <c r="W11" s="29"/>
      <c r="X11" s="28"/>
      <c r="Y11" s="26"/>
      <c r="Z11" s="26"/>
      <c r="AA11" s="29"/>
      <c r="AB11" s="28"/>
      <c r="AC11" s="26"/>
      <c r="AD11" s="26"/>
      <c r="AE11" s="29"/>
      <c r="AF11" s="28"/>
      <c r="AG11" s="26"/>
      <c r="AH11" s="26"/>
      <c r="AI11" s="29"/>
      <c r="AJ11" s="28"/>
      <c r="AK11" s="26"/>
      <c r="AL11" s="26"/>
      <c r="AM11" s="29"/>
      <c r="AN11" s="28"/>
      <c r="AO11" s="26"/>
      <c r="AP11" s="26"/>
      <c r="AQ11" s="29"/>
      <c r="AR11" s="28"/>
      <c r="AS11" s="26"/>
      <c r="AT11" s="26"/>
      <c r="AU11" s="29"/>
      <c r="AV11" s="28"/>
      <c r="AW11" s="26"/>
      <c r="AX11" s="26"/>
      <c r="AY11" s="29"/>
      <c r="AZ11" s="28"/>
      <c r="BA11" s="26"/>
      <c r="BB11" s="26"/>
      <c r="BC11" s="29"/>
      <c r="BD11" s="28"/>
      <c r="BE11" s="26"/>
      <c r="BF11" s="26"/>
      <c r="BG11" s="29"/>
      <c r="BH11" s="28"/>
      <c r="BI11" s="26"/>
      <c r="BJ11" s="26"/>
      <c r="BK11" s="29"/>
      <c r="BL11" s="28"/>
      <c r="BM11" s="26"/>
      <c r="BN11" s="26"/>
      <c r="BO11" s="29"/>
      <c r="BP11" s="28"/>
      <c r="BQ11" s="26"/>
      <c r="BR11" s="26"/>
      <c r="BS11" s="29"/>
      <c r="BT11" s="28"/>
      <c r="BU11" s="26"/>
      <c r="BV11" s="26"/>
      <c r="BW11" s="29"/>
      <c r="BX11" s="28"/>
      <c r="BY11" s="26"/>
      <c r="BZ11" s="26"/>
      <c r="CA11" s="29"/>
      <c r="CB11" s="28"/>
      <c r="CC11" s="26"/>
      <c r="CD11" s="26"/>
      <c r="CE11" s="29"/>
      <c r="CF11" s="28"/>
      <c r="CG11" s="26"/>
      <c r="CH11" s="26"/>
      <c r="CI11" s="29"/>
      <c r="CJ11" s="28"/>
      <c r="CK11" s="26"/>
      <c r="CL11" s="26"/>
      <c r="CM11" s="29"/>
      <c r="CN11" s="28"/>
      <c r="CO11" s="26"/>
      <c r="CP11" s="26"/>
      <c r="CQ11" s="29"/>
      <c r="CR11" s="28"/>
      <c r="CS11" s="26"/>
      <c r="CT11" s="26"/>
      <c r="CU11" s="29"/>
      <c r="CV11" s="28"/>
      <c r="CW11" s="26"/>
      <c r="CX11" s="26"/>
      <c r="CY11" s="29"/>
      <c r="CZ11" s="28"/>
      <c r="DA11" s="26"/>
      <c r="DB11" s="26"/>
      <c r="DC11" s="29"/>
    </row>
    <row r="12" spans="1:107" ht="19.899999999999999" customHeight="1" x14ac:dyDescent="0.25">
      <c r="A12" s="222"/>
      <c r="B12" s="154" t="str">
        <f>Jugadores!Q11</f>
        <v>Equıpo 17 9</v>
      </c>
      <c r="C12" s="155"/>
      <c r="D12" s="24">
        <f t="shared" si="0"/>
        <v>0</v>
      </c>
      <c r="E12" s="24">
        <f t="shared" si="1"/>
        <v>0</v>
      </c>
      <c r="F12" s="115">
        <f t="shared" si="2"/>
        <v>0</v>
      </c>
      <c r="G12" s="115">
        <f t="shared" si="3"/>
        <v>0</v>
      </c>
      <c r="H12" s="28"/>
      <c r="I12" s="26"/>
      <c r="J12" s="26"/>
      <c r="K12" s="29"/>
      <c r="L12" s="28"/>
      <c r="M12" s="26"/>
      <c r="N12" s="26"/>
      <c r="O12" s="29"/>
      <c r="P12" s="28"/>
      <c r="Q12" s="26"/>
      <c r="R12" s="26"/>
      <c r="S12" s="29"/>
      <c r="T12" s="28"/>
      <c r="U12" s="26"/>
      <c r="V12" s="26"/>
      <c r="W12" s="29"/>
      <c r="X12" s="28"/>
      <c r="Y12" s="26"/>
      <c r="Z12" s="26"/>
      <c r="AA12" s="29"/>
      <c r="AB12" s="28"/>
      <c r="AC12" s="26"/>
      <c r="AD12" s="26"/>
      <c r="AE12" s="29"/>
      <c r="AF12" s="28"/>
      <c r="AG12" s="26"/>
      <c r="AH12" s="26"/>
      <c r="AI12" s="29"/>
      <c r="AJ12" s="28"/>
      <c r="AK12" s="26"/>
      <c r="AL12" s="26"/>
      <c r="AM12" s="29"/>
      <c r="AN12" s="28"/>
      <c r="AO12" s="26"/>
      <c r="AP12" s="26"/>
      <c r="AQ12" s="29"/>
      <c r="AR12" s="28"/>
      <c r="AS12" s="26"/>
      <c r="AT12" s="26"/>
      <c r="AU12" s="29"/>
      <c r="AV12" s="28"/>
      <c r="AW12" s="26"/>
      <c r="AX12" s="26"/>
      <c r="AY12" s="29"/>
      <c r="AZ12" s="28"/>
      <c r="BA12" s="26"/>
      <c r="BB12" s="26"/>
      <c r="BC12" s="29"/>
      <c r="BD12" s="28"/>
      <c r="BE12" s="26"/>
      <c r="BF12" s="26"/>
      <c r="BG12" s="29"/>
      <c r="BH12" s="28"/>
      <c r="BI12" s="26"/>
      <c r="BJ12" s="26"/>
      <c r="BK12" s="29"/>
      <c r="BL12" s="28"/>
      <c r="BM12" s="26"/>
      <c r="BN12" s="26"/>
      <c r="BO12" s="29"/>
      <c r="BP12" s="28"/>
      <c r="BQ12" s="26"/>
      <c r="BR12" s="26"/>
      <c r="BS12" s="29"/>
      <c r="BT12" s="28"/>
      <c r="BU12" s="26"/>
      <c r="BV12" s="26"/>
      <c r="BW12" s="29"/>
      <c r="BX12" s="28"/>
      <c r="BY12" s="26"/>
      <c r="BZ12" s="26"/>
      <c r="CA12" s="29"/>
      <c r="CB12" s="28"/>
      <c r="CC12" s="26"/>
      <c r="CD12" s="26"/>
      <c r="CE12" s="29"/>
      <c r="CF12" s="28"/>
      <c r="CG12" s="26"/>
      <c r="CH12" s="26"/>
      <c r="CI12" s="29"/>
      <c r="CJ12" s="28"/>
      <c r="CK12" s="26"/>
      <c r="CL12" s="26"/>
      <c r="CM12" s="29"/>
      <c r="CN12" s="28"/>
      <c r="CO12" s="26"/>
      <c r="CP12" s="26"/>
      <c r="CQ12" s="29"/>
      <c r="CR12" s="28"/>
      <c r="CS12" s="26"/>
      <c r="CT12" s="26"/>
      <c r="CU12" s="29"/>
      <c r="CV12" s="28"/>
      <c r="CW12" s="26"/>
      <c r="CX12" s="26"/>
      <c r="CY12" s="29"/>
      <c r="CZ12" s="28"/>
      <c r="DA12" s="26"/>
      <c r="DB12" s="26"/>
      <c r="DC12" s="29"/>
    </row>
    <row r="13" spans="1:107" ht="19.899999999999999" customHeight="1" x14ac:dyDescent="0.25">
      <c r="A13" s="222"/>
      <c r="B13" s="154" t="str">
        <f>Jugadores!Q12</f>
        <v>Equıpo 17 10</v>
      </c>
      <c r="C13" s="155"/>
      <c r="D13" s="24">
        <f t="shared" si="0"/>
        <v>0</v>
      </c>
      <c r="E13" s="24">
        <f t="shared" si="1"/>
        <v>0</v>
      </c>
      <c r="F13" s="115">
        <f t="shared" si="2"/>
        <v>0</v>
      </c>
      <c r="G13" s="115">
        <f t="shared" si="3"/>
        <v>0</v>
      </c>
      <c r="H13" s="28"/>
      <c r="I13" s="26"/>
      <c r="J13" s="26"/>
      <c r="K13" s="29"/>
      <c r="L13" s="28"/>
      <c r="M13" s="26"/>
      <c r="N13" s="26"/>
      <c r="O13" s="29"/>
      <c r="P13" s="28"/>
      <c r="Q13" s="26"/>
      <c r="R13" s="26"/>
      <c r="S13" s="29"/>
      <c r="T13" s="28"/>
      <c r="U13" s="26"/>
      <c r="V13" s="26"/>
      <c r="W13" s="29"/>
      <c r="X13" s="28"/>
      <c r="Y13" s="26"/>
      <c r="Z13" s="26"/>
      <c r="AA13" s="29"/>
      <c r="AB13" s="28"/>
      <c r="AC13" s="26"/>
      <c r="AD13" s="26"/>
      <c r="AE13" s="29"/>
      <c r="AF13" s="28"/>
      <c r="AG13" s="26"/>
      <c r="AH13" s="26"/>
      <c r="AI13" s="29"/>
      <c r="AJ13" s="28"/>
      <c r="AK13" s="26"/>
      <c r="AL13" s="26"/>
      <c r="AM13" s="29"/>
      <c r="AN13" s="28"/>
      <c r="AO13" s="26"/>
      <c r="AP13" s="26"/>
      <c r="AQ13" s="29"/>
      <c r="AR13" s="28"/>
      <c r="AS13" s="26"/>
      <c r="AT13" s="26"/>
      <c r="AU13" s="29"/>
      <c r="AV13" s="28"/>
      <c r="AW13" s="26"/>
      <c r="AX13" s="26"/>
      <c r="AY13" s="29"/>
      <c r="AZ13" s="28"/>
      <c r="BA13" s="26"/>
      <c r="BB13" s="26"/>
      <c r="BC13" s="29"/>
      <c r="BD13" s="28"/>
      <c r="BE13" s="26"/>
      <c r="BF13" s="26"/>
      <c r="BG13" s="29"/>
      <c r="BH13" s="28"/>
      <c r="BI13" s="26"/>
      <c r="BJ13" s="26"/>
      <c r="BK13" s="29"/>
      <c r="BL13" s="28"/>
      <c r="BM13" s="26"/>
      <c r="BN13" s="26"/>
      <c r="BO13" s="29"/>
      <c r="BP13" s="28"/>
      <c r="BQ13" s="26"/>
      <c r="BR13" s="26"/>
      <c r="BS13" s="29"/>
      <c r="BT13" s="28"/>
      <c r="BU13" s="26"/>
      <c r="BV13" s="26"/>
      <c r="BW13" s="29"/>
      <c r="BX13" s="28"/>
      <c r="BY13" s="26"/>
      <c r="BZ13" s="26"/>
      <c r="CA13" s="29"/>
      <c r="CB13" s="28"/>
      <c r="CC13" s="26"/>
      <c r="CD13" s="26"/>
      <c r="CE13" s="29"/>
      <c r="CF13" s="28"/>
      <c r="CG13" s="26"/>
      <c r="CH13" s="26"/>
      <c r="CI13" s="29"/>
      <c r="CJ13" s="28"/>
      <c r="CK13" s="26"/>
      <c r="CL13" s="26"/>
      <c r="CM13" s="29"/>
      <c r="CN13" s="28"/>
      <c r="CO13" s="26"/>
      <c r="CP13" s="26"/>
      <c r="CQ13" s="29"/>
      <c r="CR13" s="28"/>
      <c r="CS13" s="26"/>
      <c r="CT13" s="26"/>
      <c r="CU13" s="29"/>
      <c r="CV13" s="28"/>
      <c r="CW13" s="26"/>
      <c r="CX13" s="26"/>
      <c r="CY13" s="29"/>
      <c r="CZ13" s="28"/>
      <c r="DA13" s="26"/>
      <c r="DB13" s="26"/>
      <c r="DC13" s="29"/>
    </row>
    <row r="14" spans="1:107" ht="19.899999999999999" customHeight="1" x14ac:dyDescent="0.25">
      <c r="A14" s="222"/>
      <c r="B14" s="154" t="str">
        <f>Jugadores!Q13</f>
        <v>Equıpo 17 11</v>
      </c>
      <c r="C14" s="155"/>
      <c r="D14" s="24">
        <f t="shared" si="0"/>
        <v>0</v>
      </c>
      <c r="E14" s="24">
        <f t="shared" si="1"/>
        <v>0</v>
      </c>
      <c r="F14" s="115">
        <f t="shared" si="2"/>
        <v>0</v>
      </c>
      <c r="G14" s="115">
        <f t="shared" si="3"/>
        <v>0</v>
      </c>
      <c r="H14" s="28"/>
      <c r="I14" s="26"/>
      <c r="J14" s="26"/>
      <c r="K14" s="29"/>
      <c r="L14" s="28"/>
      <c r="M14" s="26"/>
      <c r="N14" s="26"/>
      <c r="O14" s="29"/>
      <c r="P14" s="28"/>
      <c r="Q14" s="26"/>
      <c r="R14" s="26"/>
      <c r="S14" s="29"/>
      <c r="T14" s="28"/>
      <c r="U14" s="26"/>
      <c r="V14" s="26"/>
      <c r="W14" s="29"/>
      <c r="X14" s="28"/>
      <c r="Y14" s="26"/>
      <c r="Z14" s="26"/>
      <c r="AA14" s="29"/>
      <c r="AB14" s="28"/>
      <c r="AC14" s="26"/>
      <c r="AD14" s="26"/>
      <c r="AE14" s="29"/>
      <c r="AF14" s="28"/>
      <c r="AG14" s="26"/>
      <c r="AH14" s="26"/>
      <c r="AI14" s="29"/>
      <c r="AJ14" s="28"/>
      <c r="AK14" s="26"/>
      <c r="AL14" s="26"/>
      <c r="AM14" s="29"/>
      <c r="AN14" s="28"/>
      <c r="AO14" s="26"/>
      <c r="AP14" s="26"/>
      <c r="AQ14" s="29"/>
      <c r="AR14" s="28"/>
      <c r="AS14" s="26"/>
      <c r="AT14" s="26"/>
      <c r="AU14" s="29"/>
      <c r="AV14" s="28"/>
      <c r="AW14" s="26"/>
      <c r="AX14" s="26"/>
      <c r="AY14" s="29"/>
      <c r="AZ14" s="28"/>
      <c r="BA14" s="26"/>
      <c r="BB14" s="26"/>
      <c r="BC14" s="29"/>
      <c r="BD14" s="28"/>
      <c r="BE14" s="26"/>
      <c r="BF14" s="26"/>
      <c r="BG14" s="29"/>
      <c r="BH14" s="28"/>
      <c r="BI14" s="26"/>
      <c r="BJ14" s="26"/>
      <c r="BK14" s="29"/>
      <c r="BL14" s="28"/>
      <c r="BM14" s="26"/>
      <c r="BN14" s="26"/>
      <c r="BO14" s="29"/>
      <c r="BP14" s="28"/>
      <c r="BQ14" s="26"/>
      <c r="BR14" s="26"/>
      <c r="BS14" s="29"/>
      <c r="BT14" s="28"/>
      <c r="BU14" s="26"/>
      <c r="BV14" s="26"/>
      <c r="BW14" s="29"/>
      <c r="BX14" s="28"/>
      <c r="BY14" s="26"/>
      <c r="BZ14" s="26"/>
      <c r="CA14" s="29"/>
      <c r="CB14" s="28"/>
      <c r="CC14" s="26"/>
      <c r="CD14" s="26"/>
      <c r="CE14" s="29"/>
      <c r="CF14" s="28"/>
      <c r="CG14" s="26"/>
      <c r="CH14" s="26"/>
      <c r="CI14" s="29"/>
      <c r="CJ14" s="28"/>
      <c r="CK14" s="26"/>
      <c r="CL14" s="26"/>
      <c r="CM14" s="29"/>
      <c r="CN14" s="28"/>
      <c r="CO14" s="26"/>
      <c r="CP14" s="26"/>
      <c r="CQ14" s="29"/>
      <c r="CR14" s="28"/>
      <c r="CS14" s="26"/>
      <c r="CT14" s="26"/>
      <c r="CU14" s="29"/>
      <c r="CV14" s="28"/>
      <c r="CW14" s="26"/>
      <c r="CX14" s="26"/>
      <c r="CY14" s="29"/>
      <c r="CZ14" s="28"/>
      <c r="DA14" s="26"/>
      <c r="DB14" s="26"/>
      <c r="DC14" s="29"/>
    </row>
    <row r="15" spans="1:107" ht="19.899999999999999" customHeight="1" x14ac:dyDescent="0.25">
      <c r="A15" s="222"/>
      <c r="B15" s="154" t="str">
        <f>Jugadores!Q14</f>
        <v>Equıpo 17 12</v>
      </c>
      <c r="C15" s="155"/>
      <c r="D15" s="24">
        <f t="shared" si="0"/>
        <v>0</v>
      </c>
      <c r="E15" s="24">
        <f t="shared" si="1"/>
        <v>0</v>
      </c>
      <c r="F15" s="115">
        <f t="shared" si="2"/>
        <v>0</v>
      </c>
      <c r="G15" s="115">
        <f t="shared" si="3"/>
        <v>0</v>
      </c>
      <c r="H15" s="28"/>
      <c r="I15" s="26"/>
      <c r="J15" s="26"/>
      <c r="K15" s="29"/>
      <c r="L15" s="28"/>
      <c r="M15" s="26"/>
      <c r="N15" s="26"/>
      <c r="O15" s="29"/>
      <c r="P15" s="28"/>
      <c r="Q15" s="26"/>
      <c r="R15" s="26"/>
      <c r="S15" s="29"/>
      <c r="T15" s="28"/>
      <c r="U15" s="26"/>
      <c r="V15" s="26"/>
      <c r="W15" s="29"/>
      <c r="X15" s="28"/>
      <c r="Y15" s="26"/>
      <c r="Z15" s="26"/>
      <c r="AA15" s="29"/>
      <c r="AB15" s="28"/>
      <c r="AC15" s="26"/>
      <c r="AD15" s="26"/>
      <c r="AE15" s="29"/>
      <c r="AF15" s="28"/>
      <c r="AG15" s="26"/>
      <c r="AH15" s="26"/>
      <c r="AI15" s="29"/>
      <c r="AJ15" s="28"/>
      <c r="AK15" s="26"/>
      <c r="AL15" s="26"/>
      <c r="AM15" s="29"/>
      <c r="AN15" s="28"/>
      <c r="AO15" s="26"/>
      <c r="AP15" s="26"/>
      <c r="AQ15" s="29"/>
      <c r="AR15" s="28"/>
      <c r="AS15" s="26"/>
      <c r="AT15" s="26"/>
      <c r="AU15" s="29"/>
      <c r="AV15" s="28"/>
      <c r="AW15" s="26"/>
      <c r="AX15" s="26"/>
      <c r="AY15" s="29"/>
      <c r="AZ15" s="28"/>
      <c r="BA15" s="26"/>
      <c r="BB15" s="26"/>
      <c r="BC15" s="29"/>
      <c r="BD15" s="28"/>
      <c r="BE15" s="26"/>
      <c r="BF15" s="26"/>
      <c r="BG15" s="29"/>
      <c r="BH15" s="28"/>
      <c r="BI15" s="26"/>
      <c r="BJ15" s="26"/>
      <c r="BK15" s="29"/>
      <c r="BL15" s="28"/>
      <c r="BM15" s="26"/>
      <c r="BN15" s="26"/>
      <c r="BO15" s="29"/>
      <c r="BP15" s="28"/>
      <c r="BQ15" s="26"/>
      <c r="BR15" s="26"/>
      <c r="BS15" s="29"/>
      <c r="BT15" s="28"/>
      <c r="BU15" s="26"/>
      <c r="BV15" s="26"/>
      <c r="BW15" s="29"/>
      <c r="BX15" s="28"/>
      <c r="BY15" s="26"/>
      <c r="BZ15" s="26"/>
      <c r="CA15" s="29"/>
      <c r="CB15" s="28"/>
      <c r="CC15" s="26"/>
      <c r="CD15" s="26"/>
      <c r="CE15" s="29"/>
      <c r="CF15" s="28"/>
      <c r="CG15" s="26"/>
      <c r="CH15" s="26"/>
      <c r="CI15" s="29"/>
      <c r="CJ15" s="28"/>
      <c r="CK15" s="26"/>
      <c r="CL15" s="26"/>
      <c r="CM15" s="29"/>
      <c r="CN15" s="28"/>
      <c r="CO15" s="26"/>
      <c r="CP15" s="26"/>
      <c r="CQ15" s="29"/>
      <c r="CR15" s="28"/>
      <c r="CS15" s="26"/>
      <c r="CT15" s="26"/>
      <c r="CU15" s="29"/>
      <c r="CV15" s="28"/>
      <c r="CW15" s="26"/>
      <c r="CX15" s="26"/>
      <c r="CY15" s="29"/>
      <c r="CZ15" s="28"/>
      <c r="DA15" s="26"/>
      <c r="DB15" s="26"/>
      <c r="DC15" s="29"/>
    </row>
    <row r="16" spans="1:107" ht="19.899999999999999" customHeight="1" x14ac:dyDescent="0.25">
      <c r="A16" s="222"/>
      <c r="B16" s="154" t="str">
        <f>Jugadores!Q15</f>
        <v>Equıpo 17 13</v>
      </c>
      <c r="C16" s="155"/>
      <c r="D16" s="24">
        <f t="shared" si="0"/>
        <v>0</v>
      </c>
      <c r="E16" s="24">
        <f t="shared" si="1"/>
        <v>0</v>
      </c>
      <c r="F16" s="115">
        <f t="shared" si="2"/>
        <v>0</v>
      </c>
      <c r="G16" s="115">
        <f t="shared" si="3"/>
        <v>0</v>
      </c>
      <c r="H16" s="28"/>
      <c r="I16" s="26"/>
      <c r="J16" s="26"/>
      <c r="K16" s="29"/>
      <c r="L16" s="28"/>
      <c r="M16" s="26"/>
      <c r="N16" s="26"/>
      <c r="O16" s="29"/>
      <c r="P16" s="28"/>
      <c r="Q16" s="26"/>
      <c r="R16" s="26"/>
      <c r="S16" s="29"/>
      <c r="T16" s="28"/>
      <c r="U16" s="26"/>
      <c r="V16" s="26"/>
      <c r="W16" s="29"/>
      <c r="X16" s="28"/>
      <c r="Y16" s="26"/>
      <c r="Z16" s="26"/>
      <c r="AA16" s="29"/>
      <c r="AB16" s="28"/>
      <c r="AC16" s="26"/>
      <c r="AD16" s="26"/>
      <c r="AE16" s="29"/>
      <c r="AF16" s="28"/>
      <c r="AG16" s="26"/>
      <c r="AH16" s="26"/>
      <c r="AI16" s="29"/>
      <c r="AJ16" s="28"/>
      <c r="AK16" s="26"/>
      <c r="AL16" s="26"/>
      <c r="AM16" s="29"/>
      <c r="AN16" s="28"/>
      <c r="AO16" s="26"/>
      <c r="AP16" s="26"/>
      <c r="AQ16" s="29"/>
      <c r="AR16" s="28"/>
      <c r="AS16" s="26"/>
      <c r="AT16" s="26"/>
      <c r="AU16" s="29"/>
      <c r="AV16" s="28"/>
      <c r="AW16" s="26"/>
      <c r="AX16" s="26"/>
      <c r="AY16" s="29"/>
      <c r="AZ16" s="28"/>
      <c r="BA16" s="26"/>
      <c r="BB16" s="26"/>
      <c r="BC16" s="29"/>
      <c r="BD16" s="28"/>
      <c r="BE16" s="26"/>
      <c r="BF16" s="26"/>
      <c r="BG16" s="29"/>
      <c r="BH16" s="28"/>
      <c r="BI16" s="26"/>
      <c r="BJ16" s="26"/>
      <c r="BK16" s="29"/>
      <c r="BL16" s="28"/>
      <c r="BM16" s="26"/>
      <c r="BN16" s="26"/>
      <c r="BO16" s="29"/>
      <c r="BP16" s="28"/>
      <c r="BQ16" s="26"/>
      <c r="BR16" s="26"/>
      <c r="BS16" s="29"/>
      <c r="BT16" s="28"/>
      <c r="BU16" s="26"/>
      <c r="BV16" s="26"/>
      <c r="BW16" s="29"/>
      <c r="BX16" s="28"/>
      <c r="BY16" s="26"/>
      <c r="BZ16" s="26"/>
      <c r="CA16" s="29"/>
      <c r="CB16" s="28"/>
      <c r="CC16" s="26"/>
      <c r="CD16" s="26"/>
      <c r="CE16" s="29"/>
      <c r="CF16" s="28"/>
      <c r="CG16" s="26"/>
      <c r="CH16" s="26"/>
      <c r="CI16" s="29"/>
      <c r="CJ16" s="28"/>
      <c r="CK16" s="26"/>
      <c r="CL16" s="26"/>
      <c r="CM16" s="29"/>
      <c r="CN16" s="28"/>
      <c r="CO16" s="26"/>
      <c r="CP16" s="26"/>
      <c r="CQ16" s="29"/>
      <c r="CR16" s="28"/>
      <c r="CS16" s="26"/>
      <c r="CT16" s="26"/>
      <c r="CU16" s="29"/>
      <c r="CV16" s="28"/>
      <c r="CW16" s="26"/>
      <c r="CX16" s="26"/>
      <c r="CY16" s="29"/>
      <c r="CZ16" s="28"/>
      <c r="DA16" s="26"/>
      <c r="DB16" s="26"/>
      <c r="DC16" s="29"/>
    </row>
    <row r="17" spans="1:107" ht="19.899999999999999" customHeight="1" x14ac:dyDescent="0.25">
      <c r="A17" s="222"/>
      <c r="B17" s="154" t="str">
        <f>Jugadores!Q16</f>
        <v>Equıpo 17 14</v>
      </c>
      <c r="C17" s="155"/>
      <c r="D17" s="24">
        <f t="shared" si="0"/>
        <v>0</v>
      </c>
      <c r="E17" s="24">
        <f t="shared" si="1"/>
        <v>0</v>
      </c>
      <c r="F17" s="115">
        <f t="shared" si="2"/>
        <v>0</v>
      </c>
      <c r="G17" s="115">
        <f t="shared" si="3"/>
        <v>0</v>
      </c>
      <c r="H17" s="28"/>
      <c r="I17" s="26"/>
      <c r="J17" s="26"/>
      <c r="K17" s="29"/>
      <c r="L17" s="28"/>
      <c r="M17" s="26"/>
      <c r="N17" s="26"/>
      <c r="O17" s="29"/>
      <c r="P17" s="28"/>
      <c r="Q17" s="26"/>
      <c r="R17" s="26"/>
      <c r="S17" s="29"/>
      <c r="T17" s="28"/>
      <c r="U17" s="26"/>
      <c r="V17" s="26"/>
      <c r="W17" s="29"/>
      <c r="X17" s="28"/>
      <c r="Y17" s="26"/>
      <c r="Z17" s="26"/>
      <c r="AA17" s="29"/>
      <c r="AB17" s="28"/>
      <c r="AC17" s="26"/>
      <c r="AD17" s="26"/>
      <c r="AE17" s="29"/>
      <c r="AF17" s="28"/>
      <c r="AG17" s="26"/>
      <c r="AH17" s="26"/>
      <c r="AI17" s="29"/>
      <c r="AJ17" s="28"/>
      <c r="AK17" s="26"/>
      <c r="AL17" s="26"/>
      <c r="AM17" s="29"/>
      <c r="AN17" s="28"/>
      <c r="AO17" s="26"/>
      <c r="AP17" s="26"/>
      <c r="AQ17" s="29"/>
      <c r="AR17" s="28"/>
      <c r="AS17" s="26"/>
      <c r="AT17" s="26"/>
      <c r="AU17" s="29"/>
      <c r="AV17" s="28"/>
      <c r="AW17" s="26"/>
      <c r="AX17" s="26"/>
      <c r="AY17" s="29"/>
      <c r="AZ17" s="28"/>
      <c r="BA17" s="26"/>
      <c r="BB17" s="26"/>
      <c r="BC17" s="29"/>
      <c r="BD17" s="28"/>
      <c r="BE17" s="26"/>
      <c r="BF17" s="26"/>
      <c r="BG17" s="29"/>
      <c r="BH17" s="28"/>
      <c r="BI17" s="26"/>
      <c r="BJ17" s="26"/>
      <c r="BK17" s="29"/>
      <c r="BL17" s="28"/>
      <c r="BM17" s="26"/>
      <c r="BN17" s="26"/>
      <c r="BO17" s="29"/>
      <c r="BP17" s="28"/>
      <c r="BQ17" s="26"/>
      <c r="BR17" s="26"/>
      <c r="BS17" s="29"/>
      <c r="BT17" s="28"/>
      <c r="BU17" s="26"/>
      <c r="BV17" s="26"/>
      <c r="BW17" s="29"/>
      <c r="BX17" s="28"/>
      <c r="BY17" s="26"/>
      <c r="BZ17" s="26"/>
      <c r="CA17" s="29"/>
      <c r="CB17" s="28"/>
      <c r="CC17" s="26"/>
      <c r="CD17" s="26"/>
      <c r="CE17" s="29"/>
      <c r="CF17" s="28"/>
      <c r="CG17" s="26"/>
      <c r="CH17" s="26"/>
      <c r="CI17" s="29"/>
      <c r="CJ17" s="28"/>
      <c r="CK17" s="26"/>
      <c r="CL17" s="26"/>
      <c r="CM17" s="29"/>
      <c r="CN17" s="28"/>
      <c r="CO17" s="26"/>
      <c r="CP17" s="26"/>
      <c r="CQ17" s="29"/>
      <c r="CR17" s="28"/>
      <c r="CS17" s="26"/>
      <c r="CT17" s="26"/>
      <c r="CU17" s="29"/>
      <c r="CV17" s="28"/>
      <c r="CW17" s="26"/>
      <c r="CX17" s="26"/>
      <c r="CY17" s="29"/>
      <c r="CZ17" s="28"/>
      <c r="DA17" s="26"/>
      <c r="DB17" s="26"/>
      <c r="DC17" s="29"/>
    </row>
    <row r="18" spans="1:107" ht="19.899999999999999" customHeight="1" x14ac:dyDescent="0.25">
      <c r="A18" s="223"/>
      <c r="B18" s="154" t="str">
        <f>Jugadores!Q17</f>
        <v>Equıpo 17 15</v>
      </c>
      <c r="C18" s="155"/>
      <c r="D18" s="24">
        <f t="shared" si="0"/>
        <v>0</v>
      </c>
      <c r="E18" s="24">
        <f t="shared" si="1"/>
        <v>0</v>
      </c>
      <c r="F18" s="115">
        <f t="shared" si="2"/>
        <v>0</v>
      </c>
      <c r="G18" s="115">
        <f t="shared" si="3"/>
        <v>0</v>
      </c>
      <c r="H18" s="28"/>
      <c r="I18" s="26"/>
      <c r="J18" s="26"/>
      <c r="K18" s="29"/>
      <c r="L18" s="28"/>
      <c r="M18" s="26"/>
      <c r="N18" s="26"/>
      <c r="O18" s="29"/>
      <c r="P18" s="28"/>
      <c r="Q18" s="26"/>
      <c r="R18" s="26"/>
      <c r="S18" s="29"/>
      <c r="T18" s="28"/>
      <c r="U18" s="26"/>
      <c r="V18" s="26"/>
      <c r="W18" s="29"/>
      <c r="X18" s="28"/>
      <c r="Y18" s="26"/>
      <c r="Z18" s="26"/>
      <c r="AA18" s="29"/>
      <c r="AB18" s="28"/>
      <c r="AC18" s="26"/>
      <c r="AD18" s="26"/>
      <c r="AE18" s="29"/>
      <c r="AF18" s="28"/>
      <c r="AG18" s="26"/>
      <c r="AH18" s="26"/>
      <c r="AI18" s="29"/>
      <c r="AJ18" s="28"/>
      <c r="AK18" s="26"/>
      <c r="AL18" s="26"/>
      <c r="AM18" s="29"/>
      <c r="AN18" s="28"/>
      <c r="AO18" s="26"/>
      <c r="AP18" s="26"/>
      <c r="AQ18" s="29"/>
      <c r="AR18" s="28"/>
      <c r="AS18" s="26"/>
      <c r="AT18" s="26"/>
      <c r="AU18" s="29"/>
      <c r="AV18" s="28"/>
      <c r="AW18" s="26"/>
      <c r="AX18" s="26"/>
      <c r="AY18" s="29"/>
      <c r="AZ18" s="28"/>
      <c r="BA18" s="26"/>
      <c r="BB18" s="26"/>
      <c r="BC18" s="29"/>
      <c r="BD18" s="28"/>
      <c r="BE18" s="26"/>
      <c r="BF18" s="26"/>
      <c r="BG18" s="29"/>
      <c r="BH18" s="28"/>
      <c r="BI18" s="26"/>
      <c r="BJ18" s="26"/>
      <c r="BK18" s="29"/>
      <c r="BL18" s="28"/>
      <c r="BM18" s="26"/>
      <c r="BN18" s="26"/>
      <c r="BO18" s="29"/>
      <c r="BP18" s="28"/>
      <c r="BQ18" s="26"/>
      <c r="BR18" s="26"/>
      <c r="BS18" s="29"/>
      <c r="BT18" s="28"/>
      <c r="BU18" s="26"/>
      <c r="BV18" s="26"/>
      <c r="BW18" s="29"/>
      <c r="BX18" s="28"/>
      <c r="BY18" s="26"/>
      <c r="BZ18" s="26"/>
      <c r="CA18" s="29"/>
      <c r="CB18" s="28"/>
      <c r="CC18" s="26"/>
      <c r="CD18" s="26"/>
      <c r="CE18" s="29"/>
      <c r="CF18" s="28"/>
      <c r="CG18" s="26"/>
      <c r="CH18" s="26"/>
      <c r="CI18" s="29"/>
      <c r="CJ18" s="28"/>
      <c r="CK18" s="26"/>
      <c r="CL18" s="26"/>
      <c r="CM18" s="29"/>
      <c r="CN18" s="28"/>
      <c r="CO18" s="26"/>
      <c r="CP18" s="26"/>
      <c r="CQ18" s="29"/>
      <c r="CR18" s="28"/>
      <c r="CS18" s="26"/>
      <c r="CT18" s="26"/>
      <c r="CU18" s="29"/>
      <c r="CV18" s="28"/>
      <c r="CW18" s="26"/>
      <c r="CX18" s="26"/>
      <c r="CY18" s="29"/>
      <c r="CZ18" s="28"/>
      <c r="DA18" s="26"/>
      <c r="DB18" s="26"/>
      <c r="DC18" s="29"/>
    </row>
    <row r="19" spans="1:107" ht="14.45" customHeight="1" x14ac:dyDescent="0.25">
      <c r="B19" s="158" t="s">
        <v>105</v>
      </c>
      <c r="C19" s="159"/>
      <c r="D19" s="160"/>
      <c r="E19" s="160"/>
      <c r="F19" s="160"/>
      <c r="G19" s="160"/>
      <c r="H19" s="28"/>
      <c r="I19" s="26"/>
      <c r="J19" s="26"/>
      <c r="K19" s="29"/>
      <c r="L19" s="28"/>
      <c r="M19" s="26"/>
      <c r="N19" s="26"/>
      <c r="O19" s="29"/>
      <c r="P19" s="28"/>
      <c r="Q19" s="26"/>
      <c r="R19" s="26"/>
      <c r="S19" s="29"/>
      <c r="T19" s="28"/>
      <c r="U19" s="26"/>
      <c r="V19" s="26"/>
      <c r="W19" s="29"/>
      <c r="X19" s="28"/>
      <c r="Y19" s="26"/>
      <c r="Z19" s="26"/>
      <c r="AA19" s="29"/>
      <c r="AB19" s="28"/>
      <c r="AC19" s="26"/>
      <c r="AD19" s="26"/>
      <c r="AE19" s="29"/>
      <c r="AF19" s="28"/>
      <c r="AG19" s="26"/>
      <c r="AH19" s="26"/>
      <c r="AI19" s="29"/>
      <c r="AJ19" s="28"/>
      <c r="AK19" s="26"/>
      <c r="AL19" s="26"/>
      <c r="AM19" s="29"/>
      <c r="AN19" s="28"/>
      <c r="AO19" s="26"/>
      <c r="AP19" s="26"/>
      <c r="AQ19" s="29"/>
      <c r="AR19" s="28"/>
      <c r="AS19" s="26"/>
      <c r="AT19" s="26"/>
      <c r="AU19" s="29"/>
      <c r="AV19" s="28"/>
      <c r="AW19" s="26"/>
      <c r="AX19" s="26"/>
      <c r="AY19" s="29"/>
      <c r="AZ19" s="28"/>
      <c r="BA19" s="26"/>
      <c r="BB19" s="26"/>
      <c r="BC19" s="29"/>
      <c r="BD19" s="28"/>
      <c r="BE19" s="26"/>
      <c r="BF19" s="26"/>
      <c r="BG19" s="29"/>
      <c r="BH19" s="28"/>
      <c r="BI19" s="26"/>
      <c r="BJ19" s="26"/>
      <c r="BK19" s="29"/>
      <c r="BL19" s="28"/>
      <c r="BM19" s="26"/>
      <c r="BN19" s="26"/>
      <c r="BO19" s="29"/>
      <c r="BP19" s="28"/>
      <c r="BQ19" s="26"/>
      <c r="BR19" s="26"/>
      <c r="BS19" s="29"/>
      <c r="BT19" s="28"/>
      <c r="BU19" s="26"/>
      <c r="BV19" s="26"/>
      <c r="BW19" s="29"/>
      <c r="BX19" s="28"/>
      <c r="BY19" s="26"/>
      <c r="BZ19" s="26"/>
      <c r="CA19" s="29"/>
      <c r="CB19" s="28"/>
      <c r="CC19" s="26"/>
      <c r="CD19" s="26"/>
      <c r="CE19" s="29"/>
      <c r="CF19" s="28"/>
      <c r="CG19" s="26"/>
      <c r="CH19" s="26"/>
      <c r="CI19" s="29"/>
      <c r="CJ19" s="28"/>
      <c r="CK19" s="26"/>
      <c r="CL19" s="26"/>
      <c r="CM19" s="29"/>
      <c r="CN19" s="28"/>
      <c r="CO19" s="26"/>
      <c r="CP19" s="26"/>
      <c r="CQ19" s="29"/>
      <c r="CR19" s="28"/>
      <c r="CS19" s="26"/>
      <c r="CT19" s="26"/>
      <c r="CU19" s="29"/>
      <c r="CV19" s="28"/>
      <c r="CW19" s="26"/>
      <c r="CX19" s="26"/>
      <c r="CY19" s="29"/>
      <c r="CZ19" s="28"/>
      <c r="DA19" s="26"/>
      <c r="DB19" s="26"/>
      <c r="DC19" s="29"/>
    </row>
    <row r="20" spans="1:107" x14ac:dyDescent="0.25">
      <c r="B20" s="158" t="s">
        <v>104</v>
      </c>
      <c r="C20" s="159"/>
      <c r="D20" s="159"/>
      <c r="E20" s="159"/>
      <c r="F20" s="159"/>
      <c r="G20" s="159"/>
      <c r="H20" s="28"/>
      <c r="I20" s="26"/>
      <c r="J20" s="26"/>
      <c r="K20" s="29"/>
      <c r="L20" s="28"/>
      <c r="M20" s="26"/>
      <c r="N20" s="26"/>
      <c r="O20" s="29"/>
      <c r="P20" s="28"/>
      <c r="Q20" s="26"/>
      <c r="R20" s="26"/>
      <c r="S20" s="29"/>
      <c r="T20" s="28"/>
      <c r="U20" s="26"/>
      <c r="V20" s="26"/>
      <c r="W20" s="29"/>
      <c r="X20" s="28"/>
      <c r="Y20" s="26"/>
      <c r="Z20" s="26"/>
      <c r="AA20" s="29"/>
      <c r="AB20" s="28"/>
      <c r="AC20" s="26"/>
      <c r="AD20" s="26"/>
      <c r="AE20" s="29"/>
      <c r="AF20" s="28"/>
      <c r="AG20" s="26"/>
      <c r="AH20" s="26"/>
      <c r="AI20" s="29"/>
      <c r="AJ20" s="28"/>
      <c r="AK20" s="26"/>
      <c r="AL20" s="26"/>
      <c r="AM20" s="29"/>
      <c r="AN20" s="28"/>
      <c r="AO20" s="26"/>
      <c r="AP20" s="26"/>
      <c r="AQ20" s="29"/>
      <c r="AR20" s="28"/>
      <c r="AS20" s="26"/>
      <c r="AT20" s="26"/>
      <c r="AU20" s="29"/>
      <c r="AV20" s="28"/>
      <c r="AW20" s="26"/>
      <c r="AX20" s="26"/>
      <c r="AY20" s="29"/>
      <c r="AZ20" s="28"/>
      <c r="BA20" s="26"/>
      <c r="BB20" s="26"/>
      <c r="BC20" s="29"/>
      <c r="BD20" s="28"/>
      <c r="BE20" s="26"/>
      <c r="BF20" s="26"/>
      <c r="BG20" s="29"/>
      <c r="BH20" s="28"/>
      <c r="BI20" s="26"/>
      <c r="BJ20" s="26"/>
      <c r="BK20" s="29"/>
      <c r="BL20" s="28"/>
      <c r="BM20" s="26"/>
      <c r="BN20" s="26"/>
      <c r="BO20" s="29"/>
      <c r="BP20" s="28"/>
      <c r="BQ20" s="26"/>
      <c r="BR20" s="26"/>
      <c r="BS20" s="29"/>
      <c r="BT20" s="28"/>
      <c r="BU20" s="26"/>
      <c r="BV20" s="26"/>
      <c r="BW20" s="29"/>
      <c r="BX20" s="28"/>
      <c r="BY20" s="26"/>
      <c r="BZ20" s="26"/>
      <c r="CA20" s="29"/>
      <c r="CB20" s="28"/>
      <c r="CC20" s="26"/>
      <c r="CD20" s="26"/>
      <c r="CE20" s="29"/>
      <c r="CF20" s="28"/>
      <c r="CG20" s="26"/>
      <c r="CH20" s="26"/>
      <c r="CI20" s="29"/>
      <c r="CJ20" s="28"/>
      <c r="CK20" s="26"/>
      <c r="CL20" s="26"/>
      <c r="CM20" s="29"/>
      <c r="CN20" s="28"/>
      <c r="CO20" s="26"/>
      <c r="CP20" s="26"/>
      <c r="CQ20" s="29"/>
      <c r="CR20" s="28"/>
      <c r="CS20" s="26"/>
      <c r="CT20" s="26"/>
      <c r="CU20" s="29"/>
      <c r="CV20" s="28"/>
      <c r="CW20" s="26"/>
      <c r="CX20" s="26"/>
      <c r="CY20" s="29"/>
      <c r="CZ20" s="28"/>
      <c r="DA20" s="26"/>
      <c r="DB20" s="26"/>
      <c r="DC20" s="29"/>
    </row>
    <row r="21" spans="1:107" ht="15.75" thickBot="1" x14ac:dyDescent="0.3">
      <c r="B21" s="161" t="s">
        <v>106</v>
      </c>
      <c r="C21" s="162"/>
      <c r="D21" s="162"/>
      <c r="E21" s="162"/>
      <c r="F21" s="162"/>
      <c r="G21" s="162"/>
      <c r="H21" s="30"/>
      <c r="I21" s="31"/>
      <c r="J21" s="31"/>
      <c r="K21" s="32"/>
      <c r="L21" s="30"/>
      <c r="M21" s="31"/>
      <c r="N21" s="31"/>
      <c r="O21" s="32"/>
      <c r="P21" s="30"/>
      <c r="Q21" s="31"/>
      <c r="R21" s="31"/>
      <c r="S21" s="32"/>
      <c r="T21" s="30"/>
      <c r="U21" s="31"/>
      <c r="V21" s="31"/>
      <c r="W21" s="32"/>
      <c r="X21" s="30"/>
      <c r="Y21" s="31"/>
      <c r="Z21" s="31"/>
      <c r="AA21" s="32"/>
      <c r="AB21" s="30"/>
      <c r="AC21" s="31"/>
      <c r="AD21" s="31"/>
      <c r="AE21" s="32"/>
      <c r="AF21" s="30"/>
      <c r="AG21" s="31"/>
      <c r="AH21" s="31"/>
      <c r="AI21" s="32"/>
      <c r="AJ21" s="30"/>
      <c r="AK21" s="31"/>
      <c r="AL21" s="31"/>
      <c r="AM21" s="32"/>
      <c r="AN21" s="30"/>
      <c r="AO21" s="31"/>
      <c r="AP21" s="31"/>
      <c r="AQ21" s="32"/>
      <c r="AR21" s="30"/>
      <c r="AS21" s="31"/>
      <c r="AT21" s="31"/>
      <c r="AU21" s="32"/>
      <c r="AV21" s="30"/>
      <c r="AW21" s="31"/>
      <c r="AX21" s="31"/>
      <c r="AY21" s="32"/>
      <c r="AZ21" s="30"/>
      <c r="BA21" s="31"/>
      <c r="BB21" s="31"/>
      <c r="BC21" s="32"/>
      <c r="BD21" s="30"/>
      <c r="BE21" s="31"/>
      <c r="BF21" s="31"/>
      <c r="BG21" s="32"/>
      <c r="BH21" s="30"/>
      <c r="BI21" s="31"/>
      <c r="BJ21" s="31"/>
      <c r="BK21" s="32"/>
      <c r="BL21" s="30"/>
      <c r="BM21" s="31"/>
      <c r="BN21" s="31"/>
      <c r="BO21" s="32"/>
      <c r="BP21" s="30"/>
      <c r="BQ21" s="31"/>
      <c r="BR21" s="31"/>
      <c r="BS21" s="32"/>
      <c r="BT21" s="30"/>
      <c r="BU21" s="31"/>
      <c r="BV21" s="31"/>
      <c r="BW21" s="32"/>
      <c r="BX21" s="30"/>
      <c r="BY21" s="31"/>
      <c r="BZ21" s="31"/>
      <c r="CA21" s="32"/>
      <c r="CB21" s="30"/>
      <c r="CC21" s="31"/>
      <c r="CD21" s="31"/>
      <c r="CE21" s="32"/>
      <c r="CF21" s="30"/>
      <c r="CG21" s="31"/>
      <c r="CH21" s="31"/>
      <c r="CI21" s="32"/>
      <c r="CJ21" s="30"/>
      <c r="CK21" s="31"/>
      <c r="CL21" s="31"/>
      <c r="CM21" s="32"/>
      <c r="CN21" s="30"/>
      <c r="CO21" s="31"/>
      <c r="CP21" s="31"/>
      <c r="CQ21" s="32"/>
      <c r="CR21" s="30"/>
      <c r="CS21" s="31"/>
      <c r="CT21" s="31"/>
      <c r="CU21" s="32"/>
      <c r="CV21" s="30"/>
      <c r="CW21" s="31"/>
      <c r="CX21" s="31"/>
      <c r="CY21" s="32"/>
      <c r="CZ21" s="30"/>
      <c r="DA21" s="31"/>
      <c r="DB21" s="31"/>
      <c r="DC21" s="32"/>
    </row>
    <row r="22" spans="1:107" x14ac:dyDescent="0.25">
      <c r="B22" s="3"/>
      <c r="C22" s="27"/>
      <c r="D22" s="23">
        <f>H22+L22+P22+T22+X22+AB22+AF22+AJ22+AN22+AR22+AV22+AZ22+BD22+BH22+BL22+BP22+BT22+BX22+CB22+CF22+CJ22+CN22+CR22+CV22+CZ22</f>
        <v>0</v>
      </c>
      <c r="E22" s="23">
        <f>I22+M22+Q22+U22+Y22+AC22+AG22+AK22+AO22+AS22+AW22+BA22+BE22+BI22+BM22+BQ22+BV22+BY22+CD22+CG22+CL22+CO22+CT22+CW22+DB22</f>
        <v>0</v>
      </c>
      <c r="F22" s="23">
        <f>J22+N22+R22+V22+Z22+AD22+AH22+AL22+AP22+AT22+AX22+BB22+BF22+BJ22+BN22+BT22+BX22+CB22+CF22+CJ22+CN22+CR22+CV22+CZ22</f>
        <v>0</v>
      </c>
      <c r="G22" s="23">
        <f>K22+O22+S22+W22+AA22+AE22+AI22+AM22+AQ22+AU22+AY22+BC22+BG22+BK22+BO22+BV22+BY22+CD22+CG22+CL22+CO22+CT22+CW22+DB22</f>
        <v>0</v>
      </c>
      <c r="H22" s="33">
        <f t="shared" ref="H22:AM22" si="4">SUM(H4:H21)</f>
        <v>0</v>
      </c>
      <c r="I22" s="34">
        <f t="shared" si="4"/>
        <v>0</v>
      </c>
      <c r="J22" s="34">
        <f t="shared" si="4"/>
        <v>0</v>
      </c>
      <c r="K22" s="35">
        <f t="shared" si="4"/>
        <v>0</v>
      </c>
      <c r="L22" s="33">
        <f t="shared" si="4"/>
        <v>0</v>
      </c>
      <c r="M22" s="34">
        <f t="shared" si="4"/>
        <v>0</v>
      </c>
      <c r="N22" s="34">
        <f t="shared" si="4"/>
        <v>0</v>
      </c>
      <c r="O22" s="35">
        <f t="shared" si="4"/>
        <v>0</v>
      </c>
      <c r="P22" s="33">
        <f t="shared" si="4"/>
        <v>0</v>
      </c>
      <c r="Q22" s="34">
        <f t="shared" si="4"/>
        <v>0</v>
      </c>
      <c r="R22" s="34">
        <f t="shared" si="4"/>
        <v>0</v>
      </c>
      <c r="S22" s="35">
        <f t="shared" si="4"/>
        <v>0</v>
      </c>
      <c r="T22" s="33">
        <f t="shared" si="4"/>
        <v>0</v>
      </c>
      <c r="U22" s="34">
        <f t="shared" si="4"/>
        <v>0</v>
      </c>
      <c r="V22" s="34">
        <f t="shared" si="4"/>
        <v>0</v>
      </c>
      <c r="W22" s="35">
        <f t="shared" si="4"/>
        <v>0</v>
      </c>
      <c r="X22" s="33">
        <f t="shared" si="4"/>
        <v>0</v>
      </c>
      <c r="Y22" s="34">
        <f t="shared" si="4"/>
        <v>0</v>
      </c>
      <c r="Z22" s="34">
        <f t="shared" si="4"/>
        <v>0</v>
      </c>
      <c r="AA22" s="35">
        <f t="shared" si="4"/>
        <v>0</v>
      </c>
      <c r="AB22" s="33">
        <f t="shared" si="4"/>
        <v>0</v>
      </c>
      <c r="AC22" s="34">
        <f t="shared" si="4"/>
        <v>0</v>
      </c>
      <c r="AD22" s="34">
        <f t="shared" si="4"/>
        <v>0</v>
      </c>
      <c r="AE22" s="35">
        <f t="shared" si="4"/>
        <v>0</v>
      </c>
      <c r="AF22" s="33">
        <f t="shared" si="4"/>
        <v>0</v>
      </c>
      <c r="AG22" s="34">
        <f t="shared" si="4"/>
        <v>0</v>
      </c>
      <c r="AH22" s="34">
        <f t="shared" si="4"/>
        <v>0</v>
      </c>
      <c r="AI22" s="35">
        <f t="shared" si="4"/>
        <v>0</v>
      </c>
      <c r="AJ22" s="33">
        <f t="shared" si="4"/>
        <v>0</v>
      </c>
      <c r="AK22" s="34">
        <f t="shared" si="4"/>
        <v>0</v>
      </c>
      <c r="AL22" s="34">
        <f t="shared" si="4"/>
        <v>0</v>
      </c>
      <c r="AM22" s="35">
        <f t="shared" si="4"/>
        <v>0</v>
      </c>
      <c r="AN22" s="33">
        <f t="shared" ref="AN22:CY22" si="5">SUM(AN4:AN21)</f>
        <v>0</v>
      </c>
      <c r="AO22" s="34">
        <f t="shared" si="5"/>
        <v>0</v>
      </c>
      <c r="AP22" s="34">
        <f t="shared" si="5"/>
        <v>0</v>
      </c>
      <c r="AQ22" s="35">
        <f t="shared" si="5"/>
        <v>0</v>
      </c>
      <c r="AR22" s="33">
        <f t="shared" si="5"/>
        <v>0</v>
      </c>
      <c r="AS22" s="34">
        <f t="shared" si="5"/>
        <v>0</v>
      </c>
      <c r="AT22" s="34">
        <f t="shared" si="5"/>
        <v>0</v>
      </c>
      <c r="AU22" s="35">
        <f t="shared" si="5"/>
        <v>0</v>
      </c>
      <c r="AV22" s="33">
        <f t="shared" si="5"/>
        <v>0</v>
      </c>
      <c r="AW22" s="34">
        <f t="shared" si="5"/>
        <v>0</v>
      </c>
      <c r="AX22" s="34">
        <f t="shared" si="5"/>
        <v>0</v>
      </c>
      <c r="AY22" s="35">
        <f t="shared" si="5"/>
        <v>0</v>
      </c>
      <c r="AZ22" s="33">
        <f t="shared" si="5"/>
        <v>0</v>
      </c>
      <c r="BA22" s="34">
        <f t="shared" si="5"/>
        <v>0</v>
      </c>
      <c r="BB22" s="34">
        <f t="shared" si="5"/>
        <v>0</v>
      </c>
      <c r="BC22" s="35">
        <f t="shared" si="5"/>
        <v>0</v>
      </c>
      <c r="BD22" s="33">
        <f t="shared" si="5"/>
        <v>0</v>
      </c>
      <c r="BE22" s="34">
        <f t="shared" si="5"/>
        <v>0</v>
      </c>
      <c r="BF22" s="34">
        <f t="shared" si="5"/>
        <v>0</v>
      </c>
      <c r="BG22" s="35">
        <f t="shared" si="5"/>
        <v>0</v>
      </c>
      <c r="BH22" s="33">
        <f t="shared" si="5"/>
        <v>0</v>
      </c>
      <c r="BI22" s="34">
        <f t="shared" si="5"/>
        <v>0</v>
      </c>
      <c r="BJ22" s="34">
        <f t="shared" si="5"/>
        <v>0</v>
      </c>
      <c r="BK22" s="35">
        <f t="shared" si="5"/>
        <v>0</v>
      </c>
      <c r="BL22" s="33">
        <f t="shared" si="5"/>
        <v>0</v>
      </c>
      <c r="BM22" s="34">
        <f t="shared" si="5"/>
        <v>0</v>
      </c>
      <c r="BN22" s="34">
        <f t="shared" si="5"/>
        <v>0</v>
      </c>
      <c r="BO22" s="35">
        <f t="shared" si="5"/>
        <v>0</v>
      </c>
      <c r="BP22" s="33">
        <f t="shared" si="5"/>
        <v>0</v>
      </c>
      <c r="BQ22" s="34">
        <f t="shared" si="5"/>
        <v>0</v>
      </c>
      <c r="BR22" s="34">
        <f t="shared" si="5"/>
        <v>0</v>
      </c>
      <c r="BS22" s="35">
        <f t="shared" si="5"/>
        <v>0</v>
      </c>
      <c r="BT22" s="33">
        <f t="shared" si="5"/>
        <v>0</v>
      </c>
      <c r="BU22" s="34">
        <f t="shared" si="5"/>
        <v>0</v>
      </c>
      <c r="BV22" s="34">
        <f t="shared" si="5"/>
        <v>0</v>
      </c>
      <c r="BW22" s="35">
        <f t="shared" si="5"/>
        <v>0</v>
      </c>
      <c r="BX22" s="33">
        <f t="shared" si="5"/>
        <v>0</v>
      </c>
      <c r="BY22" s="34">
        <f t="shared" si="5"/>
        <v>0</v>
      </c>
      <c r="BZ22" s="34">
        <f t="shared" si="5"/>
        <v>0</v>
      </c>
      <c r="CA22" s="35">
        <f t="shared" si="5"/>
        <v>0</v>
      </c>
      <c r="CB22" s="33">
        <f t="shared" si="5"/>
        <v>0</v>
      </c>
      <c r="CC22" s="34">
        <f t="shared" si="5"/>
        <v>0</v>
      </c>
      <c r="CD22" s="34">
        <f t="shared" si="5"/>
        <v>0</v>
      </c>
      <c r="CE22" s="35">
        <f t="shared" si="5"/>
        <v>0</v>
      </c>
      <c r="CF22" s="33">
        <f t="shared" si="5"/>
        <v>0</v>
      </c>
      <c r="CG22" s="34">
        <f t="shared" si="5"/>
        <v>0</v>
      </c>
      <c r="CH22" s="34">
        <f t="shared" si="5"/>
        <v>0</v>
      </c>
      <c r="CI22" s="35">
        <f t="shared" si="5"/>
        <v>0</v>
      </c>
      <c r="CJ22" s="33">
        <f t="shared" si="5"/>
        <v>0</v>
      </c>
      <c r="CK22" s="34">
        <f t="shared" si="5"/>
        <v>0</v>
      </c>
      <c r="CL22" s="34">
        <f t="shared" si="5"/>
        <v>0</v>
      </c>
      <c r="CM22" s="35">
        <f t="shared" si="5"/>
        <v>0</v>
      </c>
      <c r="CN22" s="33">
        <f t="shared" si="5"/>
        <v>0</v>
      </c>
      <c r="CO22" s="34">
        <f t="shared" si="5"/>
        <v>0</v>
      </c>
      <c r="CP22" s="34">
        <f t="shared" si="5"/>
        <v>0</v>
      </c>
      <c r="CQ22" s="35">
        <f t="shared" si="5"/>
        <v>0</v>
      </c>
      <c r="CR22" s="33">
        <f t="shared" si="5"/>
        <v>0</v>
      </c>
      <c r="CS22" s="34">
        <f t="shared" si="5"/>
        <v>0</v>
      </c>
      <c r="CT22" s="34">
        <f t="shared" si="5"/>
        <v>0</v>
      </c>
      <c r="CU22" s="35">
        <f t="shared" si="5"/>
        <v>0</v>
      </c>
      <c r="CV22" s="33">
        <f t="shared" si="5"/>
        <v>0</v>
      </c>
      <c r="CW22" s="34">
        <f t="shared" si="5"/>
        <v>0</v>
      </c>
      <c r="CX22" s="34">
        <f t="shared" si="5"/>
        <v>0</v>
      </c>
      <c r="CY22" s="35">
        <f t="shared" si="5"/>
        <v>0</v>
      </c>
      <c r="CZ22" s="33">
        <f t="shared" ref="CZ22:DC22" si="6">SUM(CZ4:CZ21)</f>
        <v>0</v>
      </c>
      <c r="DA22" s="34">
        <f t="shared" si="6"/>
        <v>0</v>
      </c>
      <c r="DB22" s="34">
        <f t="shared" si="6"/>
        <v>0</v>
      </c>
      <c r="DC22" s="35">
        <f t="shared" si="6"/>
        <v>0</v>
      </c>
    </row>
    <row r="23" spans="1:107" ht="14.45" customHeight="1" x14ac:dyDescent="0.25">
      <c r="B23" s="3"/>
      <c r="C23" s="27"/>
      <c r="D23" s="148" t="s">
        <v>86</v>
      </c>
      <c r="E23" s="148" t="s">
        <v>97</v>
      </c>
      <c r="F23" s="148" t="s">
        <v>99</v>
      </c>
      <c r="G23" s="148" t="s">
        <v>98</v>
      </c>
      <c r="H23" s="145" t="s">
        <v>86</v>
      </c>
      <c r="I23" s="148" t="s">
        <v>97</v>
      </c>
      <c r="J23" s="148" t="s">
        <v>99</v>
      </c>
      <c r="K23" s="151" t="s">
        <v>98</v>
      </c>
      <c r="L23" s="145" t="s">
        <v>86</v>
      </c>
      <c r="M23" s="148" t="s">
        <v>97</v>
      </c>
      <c r="N23" s="148" t="s">
        <v>99</v>
      </c>
      <c r="O23" s="151" t="s">
        <v>98</v>
      </c>
      <c r="P23" s="145" t="s">
        <v>86</v>
      </c>
      <c r="Q23" s="148" t="s">
        <v>97</v>
      </c>
      <c r="R23" s="148" t="s">
        <v>99</v>
      </c>
      <c r="S23" s="151" t="s">
        <v>98</v>
      </c>
      <c r="T23" s="145" t="s">
        <v>86</v>
      </c>
      <c r="U23" s="148" t="s">
        <v>97</v>
      </c>
      <c r="V23" s="148" t="s">
        <v>99</v>
      </c>
      <c r="W23" s="151" t="s">
        <v>98</v>
      </c>
      <c r="X23" s="145" t="s">
        <v>86</v>
      </c>
      <c r="Y23" s="148" t="s">
        <v>97</v>
      </c>
      <c r="Z23" s="148" t="s">
        <v>99</v>
      </c>
      <c r="AA23" s="151" t="s">
        <v>98</v>
      </c>
      <c r="AB23" s="145" t="s">
        <v>86</v>
      </c>
      <c r="AC23" s="148" t="s">
        <v>97</v>
      </c>
      <c r="AD23" s="148" t="s">
        <v>99</v>
      </c>
      <c r="AE23" s="151" t="s">
        <v>98</v>
      </c>
      <c r="AF23" s="145" t="s">
        <v>86</v>
      </c>
      <c r="AG23" s="148" t="s">
        <v>97</v>
      </c>
      <c r="AH23" s="148" t="s">
        <v>99</v>
      </c>
      <c r="AI23" s="151" t="s">
        <v>98</v>
      </c>
      <c r="AJ23" s="145" t="s">
        <v>86</v>
      </c>
      <c r="AK23" s="148" t="s">
        <v>97</v>
      </c>
      <c r="AL23" s="148" t="s">
        <v>99</v>
      </c>
      <c r="AM23" s="151" t="s">
        <v>98</v>
      </c>
      <c r="AN23" s="145" t="s">
        <v>86</v>
      </c>
      <c r="AO23" s="148" t="s">
        <v>97</v>
      </c>
      <c r="AP23" s="148" t="s">
        <v>99</v>
      </c>
      <c r="AQ23" s="151" t="s">
        <v>98</v>
      </c>
      <c r="AR23" s="145" t="s">
        <v>86</v>
      </c>
      <c r="AS23" s="148" t="s">
        <v>97</v>
      </c>
      <c r="AT23" s="148" t="s">
        <v>99</v>
      </c>
      <c r="AU23" s="151" t="s">
        <v>98</v>
      </c>
      <c r="AV23" s="145" t="s">
        <v>86</v>
      </c>
      <c r="AW23" s="148" t="s">
        <v>97</v>
      </c>
      <c r="AX23" s="148" t="s">
        <v>99</v>
      </c>
      <c r="AY23" s="151" t="s">
        <v>98</v>
      </c>
      <c r="AZ23" s="145" t="s">
        <v>86</v>
      </c>
      <c r="BA23" s="148" t="s">
        <v>97</v>
      </c>
      <c r="BB23" s="148" t="s">
        <v>99</v>
      </c>
      <c r="BC23" s="151" t="s">
        <v>98</v>
      </c>
      <c r="BD23" s="145" t="s">
        <v>86</v>
      </c>
      <c r="BE23" s="148" t="s">
        <v>97</v>
      </c>
      <c r="BF23" s="148" t="s">
        <v>99</v>
      </c>
      <c r="BG23" s="151" t="s">
        <v>98</v>
      </c>
      <c r="BH23" s="145" t="s">
        <v>86</v>
      </c>
      <c r="BI23" s="148" t="s">
        <v>97</v>
      </c>
      <c r="BJ23" s="148" t="s">
        <v>99</v>
      </c>
      <c r="BK23" s="151" t="s">
        <v>98</v>
      </c>
      <c r="BL23" s="145" t="s">
        <v>86</v>
      </c>
      <c r="BM23" s="148" t="s">
        <v>97</v>
      </c>
      <c r="BN23" s="148" t="s">
        <v>99</v>
      </c>
      <c r="BO23" s="151" t="s">
        <v>98</v>
      </c>
      <c r="BP23" s="145" t="s">
        <v>86</v>
      </c>
      <c r="BQ23" s="148" t="s">
        <v>97</v>
      </c>
      <c r="BR23" s="148" t="s">
        <v>99</v>
      </c>
      <c r="BS23" s="151" t="s">
        <v>98</v>
      </c>
      <c r="BT23" s="145" t="s">
        <v>86</v>
      </c>
      <c r="BU23" s="148" t="s">
        <v>97</v>
      </c>
      <c r="BV23" s="148" t="s">
        <v>99</v>
      </c>
      <c r="BW23" s="151" t="s">
        <v>98</v>
      </c>
      <c r="BX23" s="145" t="s">
        <v>86</v>
      </c>
      <c r="BY23" s="148" t="s">
        <v>97</v>
      </c>
      <c r="BZ23" s="148" t="s">
        <v>99</v>
      </c>
      <c r="CA23" s="151" t="s">
        <v>98</v>
      </c>
      <c r="CB23" s="145" t="s">
        <v>86</v>
      </c>
      <c r="CC23" s="148" t="s">
        <v>97</v>
      </c>
      <c r="CD23" s="148" t="s">
        <v>99</v>
      </c>
      <c r="CE23" s="151" t="s">
        <v>98</v>
      </c>
      <c r="CF23" s="145" t="s">
        <v>86</v>
      </c>
      <c r="CG23" s="148" t="s">
        <v>97</v>
      </c>
      <c r="CH23" s="148" t="s">
        <v>99</v>
      </c>
      <c r="CI23" s="151" t="s">
        <v>98</v>
      </c>
      <c r="CJ23" s="145" t="s">
        <v>86</v>
      </c>
      <c r="CK23" s="148" t="s">
        <v>97</v>
      </c>
      <c r="CL23" s="148" t="s">
        <v>99</v>
      </c>
      <c r="CM23" s="151" t="s">
        <v>98</v>
      </c>
      <c r="CN23" s="145" t="s">
        <v>86</v>
      </c>
      <c r="CO23" s="148" t="s">
        <v>97</v>
      </c>
      <c r="CP23" s="148" t="s">
        <v>99</v>
      </c>
      <c r="CQ23" s="151" t="s">
        <v>98</v>
      </c>
      <c r="CR23" s="145" t="s">
        <v>86</v>
      </c>
      <c r="CS23" s="148" t="s">
        <v>97</v>
      </c>
      <c r="CT23" s="148" t="s">
        <v>99</v>
      </c>
      <c r="CU23" s="151" t="s">
        <v>98</v>
      </c>
      <c r="CV23" s="145" t="s">
        <v>86</v>
      </c>
      <c r="CW23" s="148" t="s">
        <v>97</v>
      </c>
      <c r="CX23" s="148" t="s">
        <v>99</v>
      </c>
      <c r="CY23" s="151" t="s">
        <v>98</v>
      </c>
      <c r="CZ23" s="145" t="s">
        <v>86</v>
      </c>
      <c r="DA23" s="148" t="s">
        <v>97</v>
      </c>
      <c r="DB23" s="148" t="s">
        <v>99</v>
      </c>
      <c r="DC23" s="151" t="s">
        <v>98</v>
      </c>
    </row>
    <row r="24" spans="1:107" x14ac:dyDescent="0.25">
      <c r="B24" s="3"/>
      <c r="C24" s="27"/>
      <c r="D24" s="149"/>
      <c r="E24" s="149"/>
      <c r="F24" s="149"/>
      <c r="G24" s="149"/>
      <c r="H24" s="146"/>
      <c r="I24" s="149"/>
      <c r="J24" s="149"/>
      <c r="K24" s="152"/>
      <c r="L24" s="146"/>
      <c r="M24" s="149"/>
      <c r="N24" s="149"/>
      <c r="O24" s="152"/>
      <c r="P24" s="146"/>
      <c r="Q24" s="149"/>
      <c r="R24" s="149"/>
      <c r="S24" s="152"/>
      <c r="T24" s="146"/>
      <c r="U24" s="149"/>
      <c r="V24" s="149"/>
      <c r="W24" s="152"/>
      <c r="X24" s="146"/>
      <c r="Y24" s="149"/>
      <c r="Z24" s="149"/>
      <c r="AA24" s="152"/>
      <c r="AB24" s="146"/>
      <c r="AC24" s="149"/>
      <c r="AD24" s="149"/>
      <c r="AE24" s="152"/>
      <c r="AF24" s="146"/>
      <c r="AG24" s="149"/>
      <c r="AH24" s="149"/>
      <c r="AI24" s="152"/>
      <c r="AJ24" s="146"/>
      <c r="AK24" s="149"/>
      <c r="AL24" s="149"/>
      <c r="AM24" s="152"/>
      <c r="AN24" s="146"/>
      <c r="AO24" s="149"/>
      <c r="AP24" s="149"/>
      <c r="AQ24" s="152"/>
      <c r="AR24" s="146"/>
      <c r="AS24" s="149"/>
      <c r="AT24" s="149"/>
      <c r="AU24" s="152"/>
      <c r="AV24" s="146"/>
      <c r="AW24" s="149"/>
      <c r="AX24" s="149"/>
      <c r="AY24" s="152"/>
      <c r="AZ24" s="146"/>
      <c r="BA24" s="149"/>
      <c r="BB24" s="149"/>
      <c r="BC24" s="152"/>
      <c r="BD24" s="146"/>
      <c r="BE24" s="149"/>
      <c r="BF24" s="149"/>
      <c r="BG24" s="152"/>
      <c r="BH24" s="146"/>
      <c r="BI24" s="149"/>
      <c r="BJ24" s="149"/>
      <c r="BK24" s="152"/>
      <c r="BL24" s="146"/>
      <c r="BM24" s="149"/>
      <c r="BN24" s="149"/>
      <c r="BO24" s="152"/>
      <c r="BP24" s="146"/>
      <c r="BQ24" s="149"/>
      <c r="BR24" s="149"/>
      <c r="BS24" s="152"/>
      <c r="BT24" s="146"/>
      <c r="BU24" s="149"/>
      <c r="BV24" s="149"/>
      <c r="BW24" s="152"/>
      <c r="BX24" s="146"/>
      <c r="BY24" s="149"/>
      <c r="BZ24" s="149"/>
      <c r="CA24" s="152"/>
      <c r="CB24" s="146"/>
      <c r="CC24" s="149"/>
      <c r="CD24" s="149"/>
      <c r="CE24" s="152"/>
      <c r="CF24" s="146"/>
      <c r="CG24" s="149"/>
      <c r="CH24" s="149"/>
      <c r="CI24" s="152"/>
      <c r="CJ24" s="146"/>
      <c r="CK24" s="149"/>
      <c r="CL24" s="149"/>
      <c r="CM24" s="152"/>
      <c r="CN24" s="146"/>
      <c r="CO24" s="149"/>
      <c r="CP24" s="149"/>
      <c r="CQ24" s="152"/>
      <c r="CR24" s="146"/>
      <c r="CS24" s="149"/>
      <c r="CT24" s="149"/>
      <c r="CU24" s="152"/>
      <c r="CV24" s="146"/>
      <c r="CW24" s="149"/>
      <c r="CX24" s="149"/>
      <c r="CY24" s="152"/>
      <c r="CZ24" s="146"/>
      <c r="DA24" s="149"/>
      <c r="DB24" s="149"/>
      <c r="DC24" s="152"/>
    </row>
    <row r="25" spans="1:107" x14ac:dyDescent="0.25">
      <c r="D25" s="149"/>
      <c r="E25" s="149"/>
      <c r="F25" s="149"/>
      <c r="G25" s="149"/>
      <c r="H25" s="146"/>
      <c r="I25" s="149"/>
      <c r="J25" s="149"/>
      <c r="K25" s="152"/>
      <c r="L25" s="146"/>
      <c r="M25" s="149"/>
      <c r="N25" s="149"/>
      <c r="O25" s="152"/>
      <c r="P25" s="146"/>
      <c r="Q25" s="149"/>
      <c r="R25" s="149"/>
      <c r="S25" s="152"/>
      <c r="T25" s="146"/>
      <c r="U25" s="149"/>
      <c r="V25" s="149"/>
      <c r="W25" s="152"/>
      <c r="X25" s="146"/>
      <c r="Y25" s="149"/>
      <c r="Z25" s="149"/>
      <c r="AA25" s="152"/>
      <c r="AB25" s="146"/>
      <c r="AC25" s="149"/>
      <c r="AD25" s="149"/>
      <c r="AE25" s="152"/>
      <c r="AF25" s="146"/>
      <c r="AG25" s="149"/>
      <c r="AH25" s="149"/>
      <c r="AI25" s="152"/>
      <c r="AJ25" s="146"/>
      <c r="AK25" s="149"/>
      <c r="AL25" s="149"/>
      <c r="AM25" s="152"/>
      <c r="AN25" s="146"/>
      <c r="AO25" s="149"/>
      <c r="AP25" s="149"/>
      <c r="AQ25" s="152"/>
      <c r="AR25" s="146"/>
      <c r="AS25" s="149"/>
      <c r="AT25" s="149"/>
      <c r="AU25" s="152"/>
      <c r="AV25" s="146"/>
      <c r="AW25" s="149"/>
      <c r="AX25" s="149"/>
      <c r="AY25" s="152"/>
      <c r="AZ25" s="146"/>
      <c r="BA25" s="149"/>
      <c r="BB25" s="149"/>
      <c r="BC25" s="152"/>
      <c r="BD25" s="146"/>
      <c r="BE25" s="149"/>
      <c r="BF25" s="149"/>
      <c r="BG25" s="152"/>
      <c r="BH25" s="146"/>
      <c r="BI25" s="149"/>
      <c r="BJ25" s="149"/>
      <c r="BK25" s="152"/>
      <c r="BL25" s="146"/>
      <c r="BM25" s="149"/>
      <c r="BN25" s="149"/>
      <c r="BO25" s="152"/>
      <c r="BP25" s="146"/>
      <c r="BQ25" s="149"/>
      <c r="BR25" s="149"/>
      <c r="BS25" s="152"/>
      <c r="BT25" s="146"/>
      <c r="BU25" s="149"/>
      <c r="BV25" s="149"/>
      <c r="BW25" s="152"/>
      <c r="BX25" s="146"/>
      <c r="BY25" s="149"/>
      <c r="BZ25" s="149"/>
      <c r="CA25" s="152"/>
      <c r="CB25" s="146"/>
      <c r="CC25" s="149"/>
      <c r="CD25" s="149"/>
      <c r="CE25" s="152"/>
      <c r="CF25" s="146"/>
      <c r="CG25" s="149"/>
      <c r="CH25" s="149"/>
      <c r="CI25" s="152"/>
      <c r="CJ25" s="146"/>
      <c r="CK25" s="149"/>
      <c r="CL25" s="149"/>
      <c r="CM25" s="152"/>
      <c r="CN25" s="146"/>
      <c r="CO25" s="149"/>
      <c r="CP25" s="149"/>
      <c r="CQ25" s="152"/>
      <c r="CR25" s="146"/>
      <c r="CS25" s="149"/>
      <c r="CT25" s="149"/>
      <c r="CU25" s="152"/>
      <c r="CV25" s="146"/>
      <c r="CW25" s="149"/>
      <c r="CX25" s="149"/>
      <c r="CY25" s="152"/>
      <c r="CZ25" s="146"/>
      <c r="DA25" s="149"/>
      <c r="DB25" s="149"/>
      <c r="DC25" s="152"/>
    </row>
    <row r="26" spans="1:107" ht="15.75" thickBot="1" x14ac:dyDescent="0.3">
      <c r="D26" s="149"/>
      <c r="E26" s="149"/>
      <c r="F26" s="149"/>
      <c r="G26" s="149"/>
      <c r="H26" s="147"/>
      <c r="I26" s="150"/>
      <c r="J26" s="150"/>
      <c r="K26" s="153"/>
      <c r="L26" s="147"/>
      <c r="M26" s="150"/>
      <c r="N26" s="150"/>
      <c r="O26" s="153"/>
      <c r="P26" s="147"/>
      <c r="Q26" s="150"/>
      <c r="R26" s="150"/>
      <c r="S26" s="153"/>
      <c r="T26" s="147"/>
      <c r="U26" s="150"/>
      <c r="V26" s="150"/>
      <c r="W26" s="153"/>
      <c r="X26" s="147"/>
      <c r="Y26" s="150"/>
      <c r="Z26" s="150"/>
      <c r="AA26" s="153"/>
      <c r="AB26" s="147"/>
      <c r="AC26" s="150"/>
      <c r="AD26" s="150"/>
      <c r="AE26" s="153"/>
      <c r="AF26" s="147"/>
      <c r="AG26" s="150"/>
      <c r="AH26" s="150"/>
      <c r="AI26" s="153"/>
      <c r="AJ26" s="147"/>
      <c r="AK26" s="150"/>
      <c r="AL26" s="150"/>
      <c r="AM26" s="153"/>
      <c r="AN26" s="147"/>
      <c r="AO26" s="150"/>
      <c r="AP26" s="150"/>
      <c r="AQ26" s="153"/>
      <c r="AR26" s="147"/>
      <c r="AS26" s="150"/>
      <c r="AT26" s="150"/>
      <c r="AU26" s="153"/>
      <c r="AV26" s="147"/>
      <c r="AW26" s="150"/>
      <c r="AX26" s="150"/>
      <c r="AY26" s="153"/>
      <c r="AZ26" s="147"/>
      <c r="BA26" s="150"/>
      <c r="BB26" s="150"/>
      <c r="BC26" s="153"/>
      <c r="BD26" s="147"/>
      <c r="BE26" s="150"/>
      <c r="BF26" s="150"/>
      <c r="BG26" s="153"/>
      <c r="BH26" s="147"/>
      <c r="BI26" s="150"/>
      <c r="BJ26" s="150"/>
      <c r="BK26" s="153"/>
      <c r="BL26" s="147"/>
      <c r="BM26" s="150"/>
      <c r="BN26" s="150"/>
      <c r="BO26" s="153"/>
      <c r="BP26" s="147"/>
      <c r="BQ26" s="150"/>
      <c r="BR26" s="150"/>
      <c r="BS26" s="153"/>
      <c r="BT26" s="147"/>
      <c r="BU26" s="150"/>
      <c r="BV26" s="150"/>
      <c r="BW26" s="153"/>
      <c r="BX26" s="147"/>
      <c r="BY26" s="150"/>
      <c r="BZ26" s="150"/>
      <c r="CA26" s="153"/>
      <c r="CB26" s="147"/>
      <c r="CC26" s="150"/>
      <c r="CD26" s="150"/>
      <c r="CE26" s="153"/>
      <c r="CF26" s="147"/>
      <c r="CG26" s="150"/>
      <c r="CH26" s="150"/>
      <c r="CI26" s="153"/>
      <c r="CJ26" s="147"/>
      <c r="CK26" s="150"/>
      <c r="CL26" s="150"/>
      <c r="CM26" s="153"/>
      <c r="CN26" s="147"/>
      <c r="CO26" s="150"/>
      <c r="CP26" s="150"/>
      <c r="CQ26" s="153"/>
      <c r="CR26" s="147"/>
      <c r="CS26" s="150"/>
      <c r="CT26" s="150"/>
      <c r="CU26" s="153"/>
      <c r="CV26" s="147"/>
      <c r="CW26" s="150"/>
      <c r="CX26" s="150"/>
      <c r="CY26" s="153"/>
      <c r="CZ26" s="147"/>
      <c r="DA26" s="150"/>
      <c r="DB26" s="150"/>
      <c r="DC26" s="153"/>
    </row>
  </sheetData>
  <mergeCells count="199">
    <mergeCell ref="CZ23:CZ26"/>
    <mergeCell ref="DA23:DA26"/>
    <mergeCell ref="DB23:DB26"/>
    <mergeCell ref="DC23:DC26"/>
    <mergeCell ref="CT23:CT26"/>
    <mergeCell ref="CU23:CU26"/>
    <mergeCell ref="CV23:CV26"/>
    <mergeCell ref="CW23:CW26"/>
    <mergeCell ref="CX23:CX26"/>
    <mergeCell ref="CY23:CY26"/>
    <mergeCell ref="CN23:CN26"/>
    <mergeCell ref="CO23:CO26"/>
    <mergeCell ref="CP23:CP26"/>
    <mergeCell ref="CQ23:CQ26"/>
    <mergeCell ref="CR23:CR26"/>
    <mergeCell ref="CS23:CS26"/>
    <mergeCell ref="CH23:CH26"/>
    <mergeCell ref="CI23:CI26"/>
    <mergeCell ref="CJ23:CJ26"/>
    <mergeCell ref="CK23:CK26"/>
    <mergeCell ref="CL23:CL26"/>
    <mergeCell ref="CM23:CM26"/>
    <mergeCell ref="CB23:CB26"/>
    <mergeCell ref="CC23:CC26"/>
    <mergeCell ref="CD23:CD26"/>
    <mergeCell ref="CE23:CE26"/>
    <mergeCell ref="CF23:CF26"/>
    <mergeCell ref="CG23:CG26"/>
    <mergeCell ref="BV23:BV26"/>
    <mergeCell ref="BW23:BW26"/>
    <mergeCell ref="BX23:BX26"/>
    <mergeCell ref="BY23:BY26"/>
    <mergeCell ref="BZ23:BZ26"/>
    <mergeCell ref="CA23:CA26"/>
    <mergeCell ref="BP23:BP26"/>
    <mergeCell ref="BQ23:BQ26"/>
    <mergeCell ref="BR23:BR26"/>
    <mergeCell ref="BS23:BS26"/>
    <mergeCell ref="BT23:BT26"/>
    <mergeCell ref="BU23:BU26"/>
    <mergeCell ref="BJ23:BJ26"/>
    <mergeCell ref="BK23:BK26"/>
    <mergeCell ref="BL23:BL26"/>
    <mergeCell ref="BM23:BM26"/>
    <mergeCell ref="BN23:BN26"/>
    <mergeCell ref="BO23:BO26"/>
    <mergeCell ref="BD23:BD26"/>
    <mergeCell ref="BE23:BE26"/>
    <mergeCell ref="BF23:BF26"/>
    <mergeCell ref="BG23:BG26"/>
    <mergeCell ref="BH23:BH26"/>
    <mergeCell ref="BI23:BI26"/>
    <mergeCell ref="AX23:AX26"/>
    <mergeCell ref="AY23:AY26"/>
    <mergeCell ref="AZ23:AZ26"/>
    <mergeCell ref="BA23:BA26"/>
    <mergeCell ref="BB23:BB26"/>
    <mergeCell ref="BC23:BC26"/>
    <mergeCell ref="AR23:AR26"/>
    <mergeCell ref="AS23:AS26"/>
    <mergeCell ref="AT23:AT26"/>
    <mergeCell ref="AU23:AU26"/>
    <mergeCell ref="AV23:AV26"/>
    <mergeCell ref="AW23:AW26"/>
    <mergeCell ref="AL23:AL26"/>
    <mergeCell ref="AM23:AM26"/>
    <mergeCell ref="AN23:AN26"/>
    <mergeCell ref="AO23:AO26"/>
    <mergeCell ref="AP23:AP26"/>
    <mergeCell ref="AQ23:AQ26"/>
    <mergeCell ref="AF23:AF26"/>
    <mergeCell ref="AG23:AG26"/>
    <mergeCell ref="AH23:AH26"/>
    <mergeCell ref="AI23:AI26"/>
    <mergeCell ref="AJ23:AJ26"/>
    <mergeCell ref="AK23:AK26"/>
    <mergeCell ref="Z23:Z26"/>
    <mergeCell ref="AA23:AA26"/>
    <mergeCell ref="AB23:AB26"/>
    <mergeCell ref="AC23:AC26"/>
    <mergeCell ref="AD23:AD26"/>
    <mergeCell ref="AE23:AE26"/>
    <mergeCell ref="T23:T26"/>
    <mergeCell ref="U23:U26"/>
    <mergeCell ref="V23:V26"/>
    <mergeCell ref="W23:W26"/>
    <mergeCell ref="X23:X26"/>
    <mergeCell ref="Y23:Y26"/>
    <mergeCell ref="N23:N26"/>
    <mergeCell ref="O23:O26"/>
    <mergeCell ref="P23:P26"/>
    <mergeCell ref="Q23:Q26"/>
    <mergeCell ref="R23:R26"/>
    <mergeCell ref="S23:S26"/>
    <mergeCell ref="H23:H26"/>
    <mergeCell ref="I23:I26"/>
    <mergeCell ref="J23:J26"/>
    <mergeCell ref="K23:K26"/>
    <mergeCell ref="L23:L26"/>
    <mergeCell ref="M23:M26"/>
    <mergeCell ref="B17:C17"/>
    <mergeCell ref="B18:C18"/>
    <mergeCell ref="B19:G19"/>
    <mergeCell ref="B20:G20"/>
    <mergeCell ref="B21:G21"/>
    <mergeCell ref="D23:D26"/>
    <mergeCell ref="E23:E26"/>
    <mergeCell ref="F23:F26"/>
    <mergeCell ref="G23:G26"/>
    <mergeCell ref="A4:A18"/>
    <mergeCell ref="B4:C4"/>
    <mergeCell ref="B5:C5"/>
    <mergeCell ref="B6:C6"/>
    <mergeCell ref="B7:C7"/>
    <mergeCell ref="B8:C8"/>
    <mergeCell ref="B9:C9"/>
    <mergeCell ref="B10:C10"/>
    <mergeCell ref="BX3:CA3"/>
    <mergeCell ref="AZ3:BC3"/>
    <mergeCell ref="BD3:BG3"/>
    <mergeCell ref="BP3:BS3"/>
    <mergeCell ref="B11:C11"/>
    <mergeCell ref="BH3:BK3"/>
    <mergeCell ref="BL3:BO3"/>
    <mergeCell ref="BT3:BW3"/>
    <mergeCell ref="CF2:CI2"/>
    <mergeCell ref="B12:C12"/>
    <mergeCell ref="B13:C13"/>
    <mergeCell ref="B14:C14"/>
    <mergeCell ref="B15:C15"/>
    <mergeCell ref="B16:C16"/>
    <mergeCell ref="CV3:CY3"/>
    <mergeCell ref="CZ3:DC3"/>
    <mergeCell ref="CB3:CE3"/>
    <mergeCell ref="CF3:CI3"/>
    <mergeCell ref="CJ3:CM3"/>
    <mergeCell ref="CN3:CQ3"/>
    <mergeCell ref="CR3:CU3"/>
    <mergeCell ref="CJ2:CM2"/>
    <mergeCell ref="CN2:CQ2"/>
    <mergeCell ref="CR2:CU2"/>
    <mergeCell ref="CV2:CY2"/>
    <mergeCell ref="H3:K3"/>
    <mergeCell ref="L3:O3"/>
    <mergeCell ref="P3:S3"/>
    <mergeCell ref="T3:W3"/>
    <mergeCell ref="X3:AA3"/>
    <mergeCell ref="BH2:BK2"/>
    <mergeCell ref="BL2:BO2"/>
    <mergeCell ref="BP2:BS2"/>
    <mergeCell ref="BT2:BW2"/>
    <mergeCell ref="BX2:CA2"/>
    <mergeCell ref="CB2:CE2"/>
    <mergeCell ref="AJ2:AM2"/>
    <mergeCell ref="AN2:AQ2"/>
    <mergeCell ref="AR2:AU2"/>
    <mergeCell ref="AV2:AY2"/>
    <mergeCell ref="AZ2:BC2"/>
    <mergeCell ref="BD2:BG2"/>
    <mergeCell ref="CV1:CY1"/>
    <mergeCell ref="CZ1:DC1"/>
    <mergeCell ref="D2:G2"/>
    <mergeCell ref="H2:K2"/>
    <mergeCell ref="L2:O2"/>
    <mergeCell ref="P2:S2"/>
    <mergeCell ref="T2:W2"/>
    <mergeCell ref="X2:AA2"/>
    <mergeCell ref="AB2:AE2"/>
    <mergeCell ref="AF2:AI2"/>
    <mergeCell ref="BX1:CA1"/>
    <mergeCell ref="CB1:CE1"/>
    <mergeCell ref="CF1:CI1"/>
    <mergeCell ref="CJ1:CM1"/>
    <mergeCell ref="CN1:CQ1"/>
    <mergeCell ref="CR1:CU1"/>
    <mergeCell ref="AZ1:BC1"/>
    <mergeCell ref="BD1:BG1"/>
    <mergeCell ref="BH1:BK1"/>
    <mergeCell ref="BL1:BO1"/>
    <mergeCell ref="BP1:BS1"/>
    <mergeCell ref="BT1:BW1"/>
    <mergeCell ref="AB1:AE1"/>
    <mergeCell ref="AF1:AI1"/>
    <mergeCell ref="AJ1:AM1"/>
    <mergeCell ref="AN1:AQ1"/>
    <mergeCell ref="AR1:AU1"/>
    <mergeCell ref="AV1:AY1"/>
    <mergeCell ref="A1:C3"/>
    <mergeCell ref="H1:K1"/>
    <mergeCell ref="L1:O1"/>
    <mergeCell ref="P1:S1"/>
    <mergeCell ref="T1:W1"/>
    <mergeCell ref="X1:AA1"/>
    <mergeCell ref="AB3:AE3"/>
    <mergeCell ref="AF3:AI3"/>
    <mergeCell ref="AJ3:AM3"/>
    <mergeCell ref="AN3:AQ3"/>
    <mergeCell ref="AR3:AU3"/>
    <mergeCell ref="AV3:AY3"/>
  </mergeCells>
  <hyperlinks>
    <hyperlink ref="A1:C3" location="Equipos!A1" display="Equipos!A1" xr:uid="{BA089E1E-EC3E-463C-84BC-8698A41CAF6C}"/>
  </hyperlinks>
  <pageMargins left="0.7" right="0.7" top="0.75" bottom="0.75" header="0.3" footer="0.3"/>
  <pageSetup orientation="portrait" horizont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4294967293" vertic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6"/>
  <dimension ref="A1:T61"/>
  <sheetViews>
    <sheetView workbookViewId="0">
      <pane ySplit="2" topLeftCell="A3" activePane="bottomLeft" state="frozen"/>
      <selection pane="bottomLeft" activeCell="D1" sqref="D1:E1"/>
    </sheetView>
  </sheetViews>
  <sheetFormatPr baseColWidth="10" defaultColWidth="11.42578125" defaultRowHeight="14.25" x14ac:dyDescent="0.25"/>
  <cols>
    <col min="1" max="1" width="17" style="2" bestFit="1" customWidth="1"/>
    <col min="2" max="3" width="18.42578125" style="3" customWidth="1"/>
    <col min="4" max="4" width="7" style="3" customWidth="1"/>
    <col min="5" max="13" width="7.85546875" style="3" bestFit="1" customWidth="1"/>
    <col min="14" max="20" width="9" style="3" bestFit="1" customWidth="1"/>
    <col min="21" max="16384" width="11.42578125" style="3"/>
  </cols>
  <sheetData>
    <row r="1" spans="1:20" ht="15.75" x14ac:dyDescent="0.25">
      <c r="B1" s="3" t="s">
        <v>2</v>
      </c>
      <c r="D1" s="224" t="s">
        <v>59</v>
      </c>
      <c r="E1" s="224"/>
    </row>
    <row r="2" spans="1:20" x14ac:dyDescent="0.25">
      <c r="B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</row>
    <row r="3" spans="1:20" x14ac:dyDescent="0.25">
      <c r="A3" s="4" t="s">
        <v>21</v>
      </c>
      <c r="B3" s="160" t="s">
        <v>52</v>
      </c>
      <c r="C3" s="5"/>
      <c r="D3" s="3">
        <f t="shared" ref="D3:D34" si="0">SUM(E3:T3)</f>
        <v>2</v>
      </c>
      <c r="E3" s="5">
        <v>2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x14ac:dyDescent="0.25">
      <c r="A4" s="7" t="s">
        <v>22</v>
      </c>
      <c r="B4" s="159"/>
      <c r="D4" s="3">
        <f>SUM(L4:T4)</f>
        <v>0</v>
      </c>
      <c r="E4" s="3">
        <v>1</v>
      </c>
    </row>
    <row r="5" spans="1:20" x14ac:dyDescent="0.25">
      <c r="A5" s="9" t="s">
        <v>23</v>
      </c>
      <c r="B5" s="159"/>
      <c r="D5" s="3">
        <f t="shared" si="0"/>
        <v>0</v>
      </c>
    </row>
    <row r="6" spans="1:20" x14ac:dyDescent="0.25">
      <c r="A6" s="8" t="s">
        <v>24</v>
      </c>
      <c r="B6" s="162"/>
      <c r="C6" s="6"/>
      <c r="D6" s="6">
        <f t="shared" si="0"/>
        <v>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25">
      <c r="A7" s="4" t="s">
        <v>21</v>
      </c>
      <c r="B7" s="160" t="s">
        <v>53</v>
      </c>
      <c r="C7" s="5"/>
      <c r="D7" s="3">
        <f t="shared" si="0"/>
        <v>2</v>
      </c>
      <c r="E7" s="5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x14ac:dyDescent="0.25">
      <c r="A8" s="7" t="s">
        <v>22</v>
      </c>
      <c r="B8" s="159"/>
      <c r="D8" s="3">
        <f t="shared" si="0"/>
        <v>0</v>
      </c>
    </row>
    <row r="9" spans="1:20" x14ac:dyDescent="0.25">
      <c r="A9" s="9" t="s">
        <v>23</v>
      </c>
      <c r="B9" s="159"/>
      <c r="D9" s="3">
        <f t="shared" si="0"/>
        <v>0</v>
      </c>
    </row>
    <row r="10" spans="1:20" x14ac:dyDescent="0.25">
      <c r="A10" s="8" t="s">
        <v>24</v>
      </c>
      <c r="B10" s="162"/>
      <c r="C10" s="6"/>
      <c r="D10" s="6">
        <f t="shared" si="0"/>
        <v>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x14ac:dyDescent="0.25">
      <c r="A11" s="4" t="s">
        <v>21</v>
      </c>
      <c r="B11" s="160" t="s">
        <v>74</v>
      </c>
      <c r="C11" s="5"/>
      <c r="D11" s="5">
        <f t="shared" si="0"/>
        <v>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x14ac:dyDescent="0.25">
      <c r="A12" s="7" t="s">
        <v>22</v>
      </c>
      <c r="B12" s="159"/>
      <c r="D12" s="3">
        <f t="shared" si="0"/>
        <v>0</v>
      </c>
    </row>
    <row r="13" spans="1:20" x14ac:dyDescent="0.25">
      <c r="A13" s="9" t="s">
        <v>23</v>
      </c>
      <c r="B13" s="159"/>
      <c r="D13" s="3">
        <f t="shared" si="0"/>
        <v>0</v>
      </c>
    </row>
    <row r="14" spans="1:20" x14ac:dyDescent="0.25">
      <c r="A14" s="8" t="s">
        <v>24</v>
      </c>
      <c r="B14" s="162"/>
      <c r="C14" s="6"/>
      <c r="D14" s="6">
        <f t="shared" si="0"/>
        <v>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25">
      <c r="A15" s="4" t="s">
        <v>21</v>
      </c>
      <c r="B15" s="160" t="s">
        <v>54</v>
      </c>
      <c r="C15" s="5"/>
      <c r="D15" s="5">
        <f t="shared" si="0"/>
        <v>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x14ac:dyDescent="0.25">
      <c r="A16" s="7" t="s">
        <v>22</v>
      </c>
      <c r="B16" s="159"/>
      <c r="D16" s="3">
        <f t="shared" si="0"/>
        <v>0</v>
      </c>
    </row>
    <row r="17" spans="1:20" x14ac:dyDescent="0.25">
      <c r="A17" s="9" t="s">
        <v>23</v>
      </c>
      <c r="B17" s="159"/>
      <c r="C17" s="3" t="s">
        <v>56</v>
      </c>
      <c r="D17" s="3">
        <f t="shared" si="0"/>
        <v>0</v>
      </c>
    </row>
    <row r="18" spans="1:20" x14ac:dyDescent="0.25">
      <c r="A18" s="8" t="s">
        <v>24</v>
      </c>
      <c r="B18" s="162"/>
      <c r="C18" s="6"/>
      <c r="D18" s="6">
        <f t="shared" si="0"/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25">
      <c r="A19" s="4" t="s">
        <v>21</v>
      </c>
      <c r="B19" s="160" t="s">
        <v>55</v>
      </c>
      <c r="D19" s="3">
        <f t="shared" si="0"/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x14ac:dyDescent="0.25">
      <c r="A20" s="7" t="s">
        <v>22</v>
      </c>
      <c r="B20" s="159"/>
      <c r="D20" s="3">
        <f t="shared" si="0"/>
        <v>0</v>
      </c>
    </row>
    <row r="21" spans="1:20" x14ac:dyDescent="0.25">
      <c r="A21" s="9" t="s">
        <v>23</v>
      </c>
      <c r="B21" s="159"/>
      <c r="D21" s="3">
        <f t="shared" si="0"/>
        <v>0</v>
      </c>
    </row>
    <row r="22" spans="1:20" x14ac:dyDescent="0.25">
      <c r="A22" s="8" t="s">
        <v>24</v>
      </c>
      <c r="B22" s="162"/>
      <c r="C22" s="6"/>
      <c r="D22" s="6">
        <f t="shared" si="0"/>
        <v>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25">
      <c r="A23" s="4" t="s">
        <v>21</v>
      </c>
      <c r="B23" s="160" t="s">
        <v>73</v>
      </c>
      <c r="C23" s="5"/>
      <c r="D23" s="5">
        <f t="shared" si="0"/>
        <v>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x14ac:dyDescent="0.25">
      <c r="A24" s="7" t="s">
        <v>22</v>
      </c>
      <c r="B24" s="159"/>
      <c r="D24" s="3">
        <f t="shared" si="0"/>
        <v>0</v>
      </c>
    </row>
    <row r="25" spans="1:20" x14ac:dyDescent="0.25">
      <c r="A25" s="9" t="s">
        <v>23</v>
      </c>
      <c r="B25" s="159"/>
      <c r="D25" s="3">
        <f t="shared" si="0"/>
        <v>0</v>
      </c>
    </row>
    <row r="26" spans="1:20" x14ac:dyDescent="0.25">
      <c r="A26" s="8" t="s">
        <v>24</v>
      </c>
      <c r="B26" s="162"/>
      <c r="C26" s="6"/>
      <c r="D26" s="6">
        <f t="shared" si="0"/>
        <v>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25">
      <c r="A27" s="4" t="s">
        <v>21</v>
      </c>
      <c r="B27" s="160" t="s">
        <v>57</v>
      </c>
      <c r="C27" s="5"/>
      <c r="D27" s="5">
        <f t="shared" si="0"/>
        <v>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x14ac:dyDescent="0.25">
      <c r="A28" s="7" t="s">
        <v>22</v>
      </c>
      <c r="B28" s="159"/>
      <c r="D28" s="3">
        <f t="shared" si="0"/>
        <v>0</v>
      </c>
    </row>
    <row r="29" spans="1:20" x14ac:dyDescent="0.25">
      <c r="A29" s="9" t="s">
        <v>23</v>
      </c>
      <c r="B29" s="159"/>
      <c r="D29" s="3">
        <f t="shared" si="0"/>
        <v>0</v>
      </c>
    </row>
    <row r="30" spans="1:20" x14ac:dyDescent="0.25">
      <c r="A30" s="8" t="s">
        <v>24</v>
      </c>
      <c r="B30" s="162"/>
      <c r="C30" s="6"/>
      <c r="D30" s="6">
        <f t="shared" si="0"/>
        <v>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25">
      <c r="A31" s="4" t="s">
        <v>21</v>
      </c>
      <c r="B31" s="160" t="s">
        <v>63</v>
      </c>
      <c r="C31" s="5"/>
      <c r="D31" s="5">
        <f t="shared" si="0"/>
        <v>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x14ac:dyDescent="0.25">
      <c r="A32" s="7" t="s">
        <v>22</v>
      </c>
      <c r="B32" s="159"/>
      <c r="D32" s="3">
        <f t="shared" si="0"/>
        <v>0</v>
      </c>
    </row>
    <row r="33" spans="1:20" x14ac:dyDescent="0.25">
      <c r="A33" s="9" t="s">
        <v>23</v>
      </c>
      <c r="B33" s="159"/>
      <c r="D33" s="3">
        <f t="shared" si="0"/>
        <v>0</v>
      </c>
    </row>
    <row r="34" spans="1:20" x14ac:dyDescent="0.25">
      <c r="A34" s="8" t="s">
        <v>24</v>
      </c>
      <c r="B34" s="162"/>
      <c r="C34" s="6"/>
      <c r="D34" s="6">
        <f t="shared" si="0"/>
        <v>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x14ac:dyDescent="0.25">
      <c r="A35" s="4" t="s">
        <v>21</v>
      </c>
      <c r="B35" s="160" t="s">
        <v>64</v>
      </c>
      <c r="C35" s="5"/>
      <c r="D35" s="5">
        <f t="shared" ref="D35:D58" si="1">SUM(E35:T35)</f>
        <v>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x14ac:dyDescent="0.25">
      <c r="A36" s="7" t="s">
        <v>22</v>
      </c>
      <c r="B36" s="159"/>
      <c r="D36" s="3">
        <f>SUM(L36:T36)</f>
        <v>0</v>
      </c>
      <c r="F36" s="3">
        <v>1</v>
      </c>
    </row>
    <row r="37" spans="1:20" x14ac:dyDescent="0.25">
      <c r="A37" s="9" t="s">
        <v>23</v>
      </c>
      <c r="B37" s="159"/>
      <c r="D37" s="3">
        <f t="shared" si="1"/>
        <v>0</v>
      </c>
    </row>
    <row r="38" spans="1:20" x14ac:dyDescent="0.25">
      <c r="A38" s="8" t="s">
        <v>24</v>
      </c>
      <c r="B38" s="162"/>
      <c r="C38" s="6"/>
      <c r="D38" s="6">
        <f t="shared" si="1"/>
        <v>0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x14ac:dyDescent="0.25">
      <c r="A39" s="4" t="s">
        <v>21</v>
      </c>
      <c r="B39" s="160" t="s">
        <v>65</v>
      </c>
      <c r="C39" s="5"/>
      <c r="D39" s="5">
        <f t="shared" si="1"/>
        <v>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x14ac:dyDescent="0.25">
      <c r="A40" s="7" t="s">
        <v>22</v>
      </c>
      <c r="B40" s="159"/>
      <c r="D40" s="3">
        <f t="shared" si="1"/>
        <v>0</v>
      </c>
    </row>
    <row r="41" spans="1:20" x14ac:dyDescent="0.25">
      <c r="A41" s="9" t="s">
        <v>23</v>
      </c>
      <c r="B41" s="159"/>
      <c r="D41" s="3">
        <f t="shared" si="1"/>
        <v>0</v>
      </c>
    </row>
    <row r="42" spans="1:20" x14ac:dyDescent="0.25">
      <c r="A42" s="8" t="s">
        <v>24</v>
      </c>
      <c r="B42" s="162"/>
      <c r="C42" s="6"/>
      <c r="D42" s="6">
        <f t="shared" si="1"/>
        <v>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x14ac:dyDescent="0.25">
      <c r="A43" s="4" t="s">
        <v>21</v>
      </c>
      <c r="B43" s="160" t="s">
        <v>66</v>
      </c>
      <c r="C43" s="5"/>
      <c r="D43" s="5">
        <f t="shared" si="1"/>
        <v>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x14ac:dyDescent="0.25">
      <c r="A44" s="7" t="s">
        <v>22</v>
      </c>
      <c r="B44" s="159"/>
      <c r="D44" s="3">
        <f t="shared" si="1"/>
        <v>0</v>
      </c>
    </row>
    <row r="45" spans="1:20" x14ac:dyDescent="0.25">
      <c r="A45" s="9" t="s">
        <v>23</v>
      </c>
      <c r="B45" s="159"/>
      <c r="D45" s="3">
        <f t="shared" si="1"/>
        <v>0</v>
      </c>
    </row>
    <row r="46" spans="1:20" x14ac:dyDescent="0.25">
      <c r="A46" s="8" t="s">
        <v>24</v>
      </c>
      <c r="B46" s="162"/>
      <c r="C46" s="6"/>
      <c r="D46" s="6">
        <f t="shared" si="1"/>
        <v>0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x14ac:dyDescent="0.25">
      <c r="A47" s="4" t="s">
        <v>21</v>
      </c>
      <c r="B47" s="160" t="s">
        <v>67</v>
      </c>
      <c r="C47" s="5"/>
      <c r="D47" s="5">
        <f t="shared" si="1"/>
        <v>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x14ac:dyDescent="0.25">
      <c r="A48" s="7" t="s">
        <v>22</v>
      </c>
      <c r="B48" s="159"/>
      <c r="D48" s="3">
        <f t="shared" si="1"/>
        <v>0</v>
      </c>
    </row>
    <row r="49" spans="1:20" x14ac:dyDescent="0.25">
      <c r="A49" s="9" t="s">
        <v>23</v>
      </c>
      <c r="B49" s="159"/>
      <c r="D49" s="3">
        <f t="shared" si="1"/>
        <v>0</v>
      </c>
    </row>
    <row r="50" spans="1:20" x14ac:dyDescent="0.25">
      <c r="A50" s="8" t="s">
        <v>24</v>
      </c>
      <c r="B50" s="162"/>
      <c r="C50" s="6"/>
      <c r="D50" s="6">
        <f t="shared" si="1"/>
        <v>0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x14ac:dyDescent="0.25">
      <c r="A51" s="4" t="s">
        <v>21</v>
      </c>
      <c r="B51" s="160"/>
      <c r="C51" s="5"/>
      <c r="D51" s="5">
        <f t="shared" si="1"/>
        <v>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x14ac:dyDescent="0.25">
      <c r="A52" s="7" t="s">
        <v>22</v>
      </c>
      <c r="B52" s="159"/>
      <c r="D52" s="3">
        <f t="shared" si="1"/>
        <v>0</v>
      </c>
    </row>
    <row r="53" spans="1:20" x14ac:dyDescent="0.25">
      <c r="A53" s="9" t="s">
        <v>23</v>
      </c>
      <c r="B53" s="159"/>
      <c r="D53" s="3">
        <f t="shared" si="1"/>
        <v>0</v>
      </c>
    </row>
    <row r="54" spans="1:20" x14ac:dyDescent="0.25">
      <c r="A54" s="8" t="s">
        <v>24</v>
      </c>
      <c r="B54" s="162"/>
      <c r="C54" s="6"/>
      <c r="D54" s="6">
        <f t="shared" si="1"/>
        <v>0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x14ac:dyDescent="0.25">
      <c r="A55" s="4" t="s">
        <v>21</v>
      </c>
      <c r="B55" s="160"/>
      <c r="C55" s="5"/>
      <c r="D55" s="5">
        <f t="shared" si="1"/>
        <v>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x14ac:dyDescent="0.25">
      <c r="A56" s="7" t="s">
        <v>22</v>
      </c>
      <c r="B56" s="159"/>
      <c r="D56" s="3">
        <f t="shared" si="1"/>
        <v>0</v>
      </c>
    </row>
    <row r="57" spans="1:20" x14ac:dyDescent="0.25">
      <c r="A57" s="9" t="s">
        <v>23</v>
      </c>
      <c r="B57" s="159"/>
      <c r="D57" s="3">
        <f t="shared" si="1"/>
        <v>0</v>
      </c>
    </row>
    <row r="58" spans="1:20" x14ac:dyDescent="0.25">
      <c r="A58" s="8" t="s">
        <v>24</v>
      </c>
      <c r="B58" s="162"/>
      <c r="C58" s="6"/>
      <c r="D58" s="6">
        <f t="shared" si="1"/>
        <v>0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x14ac:dyDescent="0.25">
      <c r="B59" s="2" t="s">
        <v>25</v>
      </c>
      <c r="C59" s="2"/>
      <c r="E59" s="3">
        <f>SUM(F59:T59)</f>
        <v>0</v>
      </c>
    </row>
    <row r="60" spans="1:20" x14ac:dyDescent="0.25">
      <c r="A60" s="3"/>
      <c r="B60" s="2" t="s">
        <v>30</v>
      </c>
      <c r="C60" s="2"/>
    </row>
    <row r="61" spans="1:20" x14ac:dyDescent="0.25">
      <c r="E61" s="3">
        <f>+E3+E7+E11+E15+E19+E23+E27+E31+E35+E39+E43+E47+E51+E55+E59+E60</f>
        <v>4</v>
      </c>
      <c r="F61" s="3">
        <f t="shared" ref="F61:T61" si="2">+F3+F7+F11+F15+F19+F23+F27+F31+F35+F39+F43+F47+F51+F55+F59+F60</f>
        <v>0</v>
      </c>
      <c r="G61" s="3">
        <f t="shared" si="2"/>
        <v>0</v>
      </c>
      <c r="H61" s="3">
        <f t="shared" si="2"/>
        <v>0</v>
      </c>
      <c r="I61" s="3">
        <f t="shared" si="2"/>
        <v>0</v>
      </c>
      <c r="J61" s="3">
        <f t="shared" si="2"/>
        <v>0</v>
      </c>
      <c r="K61" s="3">
        <f t="shared" si="2"/>
        <v>0</v>
      </c>
      <c r="L61" s="3">
        <f t="shared" si="2"/>
        <v>0</v>
      </c>
      <c r="M61" s="3">
        <f t="shared" si="2"/>
        <v>0</v>
      </c>
      <c r="N61" s="3">
        <f t="shared" si="2"/>
        <v>0</v>
      </c>
      <c r="O61" s="3">
        <f t="shared" si="2"/>
        <v>0</v>
      </c>
      <c r="P61" s="3">
        <f t="shared" si="2"/>
        <v>0</v>
      </c>
      <c r="Q61" s="3">
        <f t="shared" si="2"/>
        <v>0</v>
      </c>
      <c r="R61" s="3">
        <f t="shared" si="2"/>
        <v>0</v>
      </c>
      <c r="S61" s="3">
        <f t="shared" si="2"/>
        <v>0</v>
      </c>
      <c r="T61" s="3">
        <f t="shared" si="2"/>
        <v>0</v>
      </c>
    </row>
  </sheetData>
  <mergeCells count="15">
    <mergeCell ref="B47:B50"/>
    <mergeCell ref="B51:B54"/>
    <mergeCell ref="B55:B58"/>
    <mergeCell ref="B23:B26"/>
    <mergeCell ref="B27:B30"/>
    <mergeCell ref="B31:B34"/>
    <mergeCell ref="B35:B38"/>
    <mergeCell ref="B39:B42"/>
    <mergeCell ref="B43:B46"/>
    <mergeCell ref="B19:B22"/>
    <mergeCell ref="D1:E1"/>
    <mergeCell ref="B3:B6"/>
    <mergeCell ref="B7:B10"/>
    <mergeCell ref="B11:B14"/>
    <mergeCell ref="B15:B18"/>
  </mergeCells>
  <hyperlinks>
    <hyperlink ref="D1:E1" location="Equipos!A1" display="Los Nepos" xr:uid="{00000000-0004-0000-1600-000000000000}"/>
  </hyperlinks>
  <pageMargins left="0.7" right="0.7" top="0.75" bottom="0.75" header="0.3" footer="0.3"/>
  <pageSetup orientation="portrait" horizontalDpi="4294967293" verticalDpi="429496729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7"/>
  <dimension ref="A1:T64"/>
  <sheetViews>
    <sheetView workbookViewId="0">
      <pane ySplit="2" topLeftCell="A27" activePane="bottomLeft" state="frozen"/>
      <selection pane="bottomLeft" activeCell="D1" sqref="D1:E1"/>
    </sheetView>
  </sheetViews>
  <sheetFormatPr baseColWidth="10" defaultColWidth="11.42578125" defaultRowHeight="14.25" x14ac:dyDescent="0.25"/>
  <cols>
    <col min="1" max="1" width="17" style="2" bestFit="1" customWidth="1"/>
    <col min="2" max="2" width="18.42578125" style="3" customWidth="1"/>
    <col min="3" max="3" width="11.140625" style="3" bestFit="1" customWidth="1"/>
    <col min="4" max="4" width="6.5703125" style="3" customWidth="1"/>
    <col min="5" max="13" width="7.85546875" style="3" bestFit="1" customWidth="1"/>
    <col min="14" max="20" width="9" style="3" bestFit="1" customWidth="1"/>
    <col min="21" max="16384" width="11.42578125" style="3"/>
  </cols>
  <sheetData>
    <row r="1" spans="1:20" ht="15.75" x14ac:dyDescent="0.25">
      <c r="B1" s="3" t="s">
        <v>2</v>
      </c>
      <c r="D1" s="224" t="str">
        <f>+Equipos!B8</f>
        <v>Ron Star</v>
      </c>
      <c r="E1" s="224"/>
    </row>
    <row r="2" spans="1:20" x14ac:dyDescent="0.25">
      <c r="B2" s="3" t="s">
        <v>3</v>
      </c>
      <c r="C2" s="3" t="s">
        <v>40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</row>
    <row r="3" spans="1:20" x14ac:dyDescent="0.25">
      <c r="A3" s="4" t="s">
        <v>21</v>
      </c>
      <c r="B3" s="160" t="s">
        <v>75</v>
      </c>
      <c r="C3" s="12"/>
      <c r="D3" s="5">
        <f t="shared" ref="D3:D34" si="0">SUM(E3:T3)</f>
        <v>2</v>
      </c>
      <c r="E3" s="5">
        <v>2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x14ac:dyDescent="0.25">
      <c r="A4" s="7" t="s">
        <v>22</v>
      </c>
      <c r="B4" s="159"/>
      <c r="D4" s="3">
        <f t="shared" si="0"/>
        <v>0</v>
      </c>
    </row>
    <row r="5" spans="1:20" x14ac:dyDescent="0.25">
      <c r="A5" s="9" t="s">
        <v>23</v>
      </c>
      <c r="B5" s="159"/>
      <c r="D5" s="3">
        <f t="shared" si="0"/>
        <v>0</v>
      </c>
    </row>
    <row r="6" spans="1:20" x14ac:dyDescent="0.25">
      <c r="A6" s="8" t="s">
        <v>24</v>
      </c>
      <c r="B6" s="162"/>
      <c r="C6" s="6"/>
      <c r="D6" s="6">
        <f t="shared" si="0"/>
        <v>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25">
      <c r="A7" s="4" t="s">
        <v>21</v>
      </c>
      <c r="B7" s="160" t="s">
        <v>76</v>
      </c>
      <c r="C7" s="12"/>
      <c r="D7" s="5">
        <f t="shared" si="0"/>
        <v>2</v>
      </c>
      <c r="E7" s="5">
        <v>1</v>
      </c>
      <c r="F7" s="5"/>
      <c r="G7" s="5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x14ac:dyDescent="0.25">
      <c r="A8" s="7" t="s">
        <v>22</v>
      </c>
      <c r="B8" s="159"/>
      <c r="D8" s="3">
        <f>SUM(L8:T8)</f>
        <v>0</v>
      </c>
      <c r="G8" s="3">
        <v>1</v>
      </c>
    </row>
    <row r="9" spans="1:20" x14ac:dyDescent="0.25">
      <c r="A9" s="9" t="s">
        <v>23</v>
      </c>
      <c r="B9" s="159"/>
      <c r="D9" s="3">
        <f t="shared" si="0"/>
        <v>0</v>
      </c>
    </row>
    <row r="10" spans="1:20" x14ac:dyDescent="0.25">
      <c r="A10" s="8" t="s">
        <v>24</v>
      </c>
      <c r="B10" s="162"/>
      <c r="C10" s="6"/>
      <c r="D10" s="6">
        <f t="shared" si="0"/>
        <v>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x14ac:dyDescent="0.25">
      <c r="A11" s="4" t="s">
        <v>21</v>
      </c>
      <c r="B11" s="160" t="s">
        <v>50</v>
      </c>
      <c r="C11" s="12"/>
      <c r="D11" s="5">
        <f t="shared" si="0"/>
        <v>4</v>
      </c>
      <c r="E11" s="5">
        <v>1</v>
      </c>
      <c r="F11" s="5">
        <v>1</v>
      </c>
      <c r="G11" s="5">
        <v>1</v>
      </c>
      <c r="H11" s="5">
        <v>1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x14ac:dyDescent="0.25">
      <c r="A12" s="7" t="s">
        <v>22</v>
      </c>
      <c r="B12" s="159"/>
      <c r="D12" s="3">
        <f t="shared" si="0"/>
        <v>0</v>
      </c>
    </row>
    <row r="13" spans="1:20" x14ac:dyDescent="0.25">
      <c r="A13" s="9" t="s">
        <v>23</v>
      </c>
      <c r="B13" s="159"/>
      <c r="D13" s="3">
        <f t="shared" si="0"/>
        <v>0</v>
      </c>
    </row>
    <row r="14" spans="1:20" x14ac:dyDescent="0.25">
      <c r="A14" s="8" t="s">
        <v>24</v>
      </c>
      <c r="B14" s="162"/>
      <c r="C14" s="6"/>
      <c r="D14" s="6">
        <f t="shared" si="0"/>
        <v>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25">
      <c r="A15" s="4" t="s">
        <v>21</v>
      </c>
      <c r="B15" s="160" t="s">
        <v>70</v>
      </c>
      <c r="C15" s="12"/>
      <c r="D15" s="5">
        <f t="shared" si="0"/>
        <v>3</v>
      </c>
      <c r="E15" s="5">
        <v>2</v>
      </c>
      <c r="F15" s="5">
        <v>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x14ac:dyDescent="0.25">
      <c r="A16" s="7" t="s">
        <v>22</v>
      </c>
      <c r="B16" s="159"/>
      <c r="D16" s="3">
        <f t="shared" si="0"/>
        <v>0</v>
      </c>
    </row>
    <row r="17" spans="1:20" x14ac:dyDescent="0.25">
      <c r="A17" s="9" t="s">
        <v>23</v>
      </c>
      <c r="B17" s="159"/>
      <c r="D17" s="3">
        <f t="shared" si="0"/>
        <v>0</v>
      </c>
    </row>
    <row r="18" spans="1:20" x14ac:dyDescent="0.25">
      <c r="A18" s="8" t="s">
        <v>24</v>
      </c>
      <c r="B18" s="162"/>
      <c r="C18" s="6"/>
      <c r="D18" s="6">
        <f t="shared" si="0"/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25">
      <c r="A19" s="4" t="s">
        <v>21</v>
      </c>
      <c r="B19" s="160" t="s">
        <v>71</v>
      </c>
      <c r="C19" s="12"/>
      <c r="D19" s="3">
        <f t="shared" si="0"/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x14ac:dyDescent="0.25">
      <c r="A20" s="7" t="s">
        <v>22</v>
      </c>
      <c r="B20" s="159"/>
      <c r="D20" s="3">
        <f>SUM(G20:T20)</f>
        <v>0</v>
      </c>
      <c r="F20" s="3">
        <v>1</v>
      </c>
    </row>
    <row r="21" spans="1:20" x14ac:dyDescent="0.25">
      <c r="A21" s="9" t="s">
        <v>23</v>
      </c>
      <c r="B21" s="159"/>
      <c r="D21" s="3">
        <f t="shared" si="0"/>
        <v>0</v>
      </c>
    </row>
    <row r="22" spans="1:20" x14ac:dyDescent="0.25">
      <c r="A22" s="8" t="s">
        <v>24</v>
      </c>
      <c r="B22" s="162"/>
      <c r="C22" s="6"/>
      <c r="D22" s="6">
        <f t="shared" si="0"/>
        <v>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25">
      <c r="A23" s="4" t="s">
        <v>21</v>
      </c>
      <c r="B23" s="160" t="s">
        <v>77</v>
      </c>
      <c r="C23" s="12"/>
      <c r="D23" s="5">
        <f t="shared" si="0"/>
        <v>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x14ac:dyDescent="0.25">
      <c r="A24" s="7" t="s">
        <v>22</v>
      </c>
      <c r="B24" s="159"/>
      <c r="D24" s="3">
        <f t="shared" si="0"/>
        <v>0</v>
      </c>
    </row>
    <row r="25" spans="1:20" x14ac:dyDescent="0.25">
      <c r="A25" s="9" t="s">
        <v>23</v>
      </c>
      <c r="B25" s="159"/>
      <c r="D25" s="3">
        <f t="shared" si="0"/>
        <v>0</v>
      </c>
    </row>
    <row r="26" spans="1:20" x14ac:dyDescent="0.25">
      <c r="A26" s="8" t="s">
        <v>24</v>
      </c>
      <c r="B26" s="162"/>
      <c r="C26" s="6"/>
      <c r="D26" s="6">
        <f t="shared" si="0"/>
        <v>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25">
      <c r="A27" s="4" t="s">
        <v>21</v>
      </c>
      <c r="B27" s="160" t="s">
        <v>58</v>
      </c>
      <c r="C27" s="12"/>
      <c r="D27" s="5">
        <f t="shared" si="0"/>
        <v>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x14ac:dyDescent="0.25">
      <c r="A28" s="7" t="s">
        <v>22</v>
      </c>
      <c r="B28" s="159"/>
      <c r="D28" s="3">
        <f t="shared" si="0"/>
        <v>0</v>
      </c>
    </row>
    <row r="29" spans="1:20" x14ac:dyDescent="0.25">
      <c r="A29" s="9" t="s">
        <v>23</v>
      </c>
      <c r="B29" s="159"/>
      <c r="D29" s="3">
        <f t="shared" si="0"/>
        <v>0</v>
      </c>
    </row>
    <row r="30" spans="1:20" x14ac:dyDescent="0.25">
      <c r="A30" s="8" t="s">
        <v>24</v>
      </c>
      <c r="B30" s="162"/>
      <c r="C30" s="6"/>
      <c r="D30" s="6">
        <f t="shared" si="0"/>
        <v>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25">
      <c r="A31" s="4" t="s">
        <v>21</v>
      </c>
      <c r="B31" s="160" t="s">
        <v>80</v>
      </c>
      <c r="C31" s="12"/>
      <c r="D31" s="5">
        <f t="shared" si="0"/>
        <v>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x14ac:dyDescent="0.25">
      <c r="A32" s="7" t="s">
        <v>22</v>
      </c>
      <c r="B32" s="159"/>
      <c r="D32" s="3">
        <f t="shared" si="0"/>
        <v>0</v>
      </c>
    </row>
    <row r="33" spans="1:20" x14ac:dyDescent="0.25">
      <c r="A33" s="9" t="s">
        <v>23</v>
      </c>
      <c r="B33" s="159"/>
      <c r="D33" s="3">
        <f t="shared" si="0"/>
        <v>0</v>
      </c>
    </row>
    <row r="34" spans="1:20" x14ac:dyDescent="0.25">
      <c r="A34" s="8" t="s">
        <v>24</v>
      </c>
      <c r="B34" s="162"/>
      <c r="C34" s="6"/>
      <c r="D34" s="6">
        <f t="shared" si="0"/>
        <v>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x14ac:dyDescent="0.25">
      <c r="A35" s="4" t="s">
        <v>21</v>
      </c>
      <c r="B35" s="160" t="s">
        <v>60</v>
      </c>
      <c r="C35" s="12"/>
      <c r="D35" s="5">
        <f t="shared" ref="D35:D58" si="1">SUM(E35:T35)</f>
        <v>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x14ac:dyDescent="0.25">
      <c r="A36" s="7" t="s">
        <v>22</v>
      </c>
      <c r="B36" s="159"/>
      <c r="D36" s="3">
        <f t="shared" si="1"/>
        <v>0</v>
      </c>
    </row>
    <row r="37" spans="1:20" x14ac:dyDescent="0.25">
      <c r="A37" s="9" t="s">
        <v>23</v>
      </c>
      <c r="B37" s="159"/>
      <c r="D37" s="3">
        <f t="shared" si="1"/>
        <v>0</v>
      </c>
    </row>
    <row r="38" spans="1:20" x14ac:dyDescent="0.25">
      <c r="A38" s="8" t="s">
        <v>24</v>
      </c>
      <c r="B38" s="162"/>
      <c r="C38" s="6"/>
      <c r="D38" s="6">
        <f t="shared" si="1"/>
        <v>0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x14ac:dyDescent="0.25">
      <c r="A39" s="4" t="s">
        <v>21</v>
      </c>
      <c r="B39" s="160" t="s">
        <v>61</v>
      </c>
      <c r="C39" s="12"/>
      <c r="D39" s="5">
        <f t="shared" si="1"/>
        <v>1</v>
      </c>
      <c r="E39" s="5"/>
      <c r="F39" s="5">
        <v>1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x14ac:dyDescent="0.25">
      <c r="A40" s="7" t="s">
        <v>22</v>
      </c>
      <c r="B40" s="159"/>
      <c r="D40" s="3">
        <f t="shared" si="1"/>
        <v>0</v>
      </c>
    </row>
    <row r="41" spans="1:20" x14ac:dyDescent="0.25">
      <c r="A41" s="9" t="s">
        <v>23</v>
      </c>
      <c r="B41" s="159"/>
      <c r="D41" s="3">
        <f t="shared" si="1"/>
        <v>0</v>
      </c>
    </row>
    <row r="42" spans="1:20" x14ac:dyDescent="0.25">
      <c r="A42" s="8" t="s">
        <v>24</v>
      </c>
      <c r="B42" s="162"/>
      <c r="C42" s="6"/>
      <c r="D42" s="6">
        <f t="shared" si="1"/>
        <v>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x14ac:dyDescent="0.25">
      <c r="A43" s="4" t="s">
        <v>21</v>
      </c>
      <c r="B43" s="160" t="s">
        <v>78</v>
      </c>
      <c r="C43" s="12"/>
      <c r="D43" s="5">
        <f t="shared" si="1"/>
        <v>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x14ac:dyDescent="0.25">
      <c r="A44" s="7" t="s">
        <v>22</v>
      </c>
      <c r="B44" s="159"/>
      <c r="D44" s="3">
        <f>SUM(L44:T44)</f>
        <v>0</v>
      </c>
      <c r="F44" s="3">
        <v>1</v>
      </c>
      <c r="G44" s="3">
        <v>1</v>
      </c>
    </row>
    <row r="45" spans="1:20" x14ac:dyDescent="0.25">
      <c r="A45" s="9" t="s">
        <v>23</v>
      </c>
      <c r="B45" s="159"/>
      <c r="D45" s="3">
        <f t="shared" si="1"/>
        <v>0</v>
      </c>
    </row>
    <row r="46" spans="1:20" x14ac:dyDescent="0.25">
      <c r="A46" s="8" t="s">
        <v>24</v>
      </c>
      <c r="B46" s="162"/>
      <c r="C46" s="6"/>
      <c r="D46" s="6">
        <f t="shared" si="1"/>
        <v>0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x14ac:dyDescent="0.25">
      <c r="A47" s="4" t="s">
        <v>21</v>
      </c>
      <c r="B47" s="160" t="s">
        <v>62</v>
      </c>
      <c r="C47" s="12"/>
      <c r="D47" s="5">
        <f t="shared" si="1"/>
        <v>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x14ac:dyDescent="0.25">
      <c r="A48" s="7" t="s">
        <v>22</v>
      </c>
      <c r="B48" s="159"/>
      <c r="D48" s="3">
        <f t="shared" si="1"/>
        <v>0</v>
      </c>
    </row>
    <row r="49" spans="1:20" x14ac:dyDescent="0.25">
      <c r="A49" s="9" t="s">
        <v>23</v>
      </c>
      <c r="B49" s="159"/>
      <c r="D49" s="3">
        <f t="shared" si="1"/>
        <v>0</v>
      </c>
    </row>
    <row r="50" spans="1:20" x14ac:dyDescent="0.25">
      <c r="A50" s="8" t="s">
        <v>24</v>
      </c>
      <c r="B50" s="162"/>
      <c r="C50" s="6"/>
      <c r="D50" s="6">
        <f t="shared" si="1"/>
        <v>0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x14ac:dyDescent="0.25">
      <c r="A51" s="4" t="s">
        <v>21</v>
      </c>
      <c r="B51" s="160" t="s">
        <v>79</v>
      </c>
      <c r="C51" s="12"/>
      <c r="D51" s="5">
        <f t="shared" si="1"/>
        <v>1</v>
      </c>
      <c r="E51" s="5"/>
      <c r="F51" s="5"/>
      <c r="G51" s="5">
        <v>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x14ac:dyDescent="0.25">
      <c r="A52" s="7" t="s">
        <v>22</v>
      </c>
      <c r="B52" s="159"/>
      <c r="D52" s="3">
        <f>SUM(L52:T52)</f>
        <v>0</v>
      </c>
      <c r="G52" s="3">
        <v>1</v>
      </c>
    </row>
    <row r="53" spans="1:20" x14ac:dyDescent="0.25">
      <c r="A53" s="9" t="s">
        <v>23</v>
      </c>
      <c r="B53" s="159"/>
      <c r="D53" s="3">
        <f t="shared" si="1"/>
        <v>0</v>
      </c>
    </row>
    <row r="54" spans="1:20" x14ac:dyDescent="0.25">
      <c r="A54" s="8" t="s">
        <v>24</v>
      </c>
      <c r="B54" s="162"/>
      <c r="C54" s="6"/>
      <c r="D54" s="6">
        <f t="shared" si="1"/>
        <v>0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x14ac:dyDescent="0.25">
      <c r="A55" s="4" t="s">
        <v>21</v>
      </c>
      <c r="B55" s="160" t="s">
        <v>72</v>
      </c>
      <c r="C55" s="12"/>
      <c r="D55" s="5">
        <f t="shared" si="1"/>
        <v>1</v>
      </c>
      <c r="E55" s="5"/>
      <c r="F55" s="5"/>
      <c r="G55" s="5">
        <v>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x14ac:dyDescent="0.25">
      <c r="A56" s="7" t="s">
        <v>22</v>
      </c>
      <c r="B56" s="159"/>
      <c r="D56" s="3">
        <f t="shared" si="1"/>
        <v>0</v>
      </c>
    </row>
    <row r="57" spans="1:20" x14ac:dyDescent="0.25">
      <c r="A57" s="9" t="s">
        <v>23</v>
      </c>
      <c r="B57" s="159"/>
      <c r="D57" s="3">
        <f t="shared" si="1"/>
        <v>0</v>
      </c>
    </row>
    <row r="58" spans="1:20" x14ac:dyDescent="0.25">
      <c r="A58" s="8" t="s">
        <v>24</v>
      </c>
      <c r="B58" s="162"/>
      <c r="C58" s="6"/>
      <c r="D58" s="6">
        <f t="shared" si="1"/>
        <v>0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x14ac:dyDescent="0.25">
      <c r="B59" s="2" t="s">
        <v>25</v>
      </c>
      <c r="C59" s="2"/>
      <c r="E59" s="3">
        <f>SUM(F59:T59)</f>
        <v>0</v>
      </c>
    </row>
    <row r="60" spans="1:20" x14ac:dyDescent="0.25">
      <c r="A60" s="3"/>
      <c r="B60" s="2" t="s">
        <v>30</v>
      </c>
      <c r="C60" s="2"/>
    </row>
    <row r="61" spans="1:20" x14ac:dyDescent="0.25">
      <c r="C61" s="13">
        <f>SUM(C55,C51,C47,C43,C39,C35,C31,C27,C23,C19,C15,C11,C7,C3)</f>
        <v>0</v>
      </c>
      <c r="E61" s="3">
        <f>+E3+E7+E11+E15+E19+E23+E27+E31+E35+E39+E43+E47+E51+E55+E59+E60</f>
        <v>6</v>
      </c>
      <c r="F61" s="3">
        <f t="shared" ref="F61:T61" si="2">+F3+F7+F11+F15+F19+F23+F27+F31+F35+F39+F43+F47+F51+F55+F59+F60</f>
        <v>3</v>
      </c>
      <c r="G61" s="3">
        <f t="shared" si="2"/>
        <v>4</v>
      </c>
      <c r="H61" s="3">
        <f t="shared" si="2"/>
        <v>1</v>
      </c>
      <c r="I61" s="3">
        <f t="shared" si="2"/>
        <v>0</v>
      </c>
      <c r="J61" s="3">
        <f t="shared" si="2"/>
        <v>0</v>
      </c>
      <c r="K61" s="3">
        <f t="shared" si="2"/>
        <v>0</v>
      </c>
      <c r="L61" s="3">
        <f t="shared" si="2"/>
        <v>0</v>
      </c>
      <c r="M61" s="3">
        <f t="shared" si="2"/>
        <v>0</v>
      </c>
      <c r="N61" s="3">
        <f t="shared" si="2"/>
        <v>0</v>
      </c>
      <c r="O61" s="3">
        <f t="shared" si="2"/>
        <v>0</v>
      </c>
      <c r="P61" s="3">
        <f t="shared" si="2"/>
        <v>0</v>
      </c>
      <c r="Q61" s="3">
        <f t="shared" si="2"/>
        <v>0</v>
      </c>
      <c r="R61" s="3">
        <f t="shared" si="2"/>
        <v>0</v>
      </c>
      <c r="S61" s="3">
        <f t="shared" si="2"/>
        <v>0</v>
      </c>
      <c r="T61" s="3">
        <f t="shared" si="2"/>
        <v>0</v>
      </c>
    </row>
    <row r="64" spans="1:20" x14ac:dyDescent="0.25">
      <c r="B64" s="3" t="s">
        <v>55</v>
      </c>
    </row>
  </sheetData>
  <mergeCells count="15">
    <mergeCell ref="B47:B50"/>
    <mergeCell ref="B51:B54"/>
    <mergeCell ref="B55:B58"/>
    <mergeCell ref="B23:B26"/>
    <mergeCell ref="B27:B30"/>
    <mergeCell ref="B31:B34"/>
    <mergeCell ref="B35:B38"/>
    <mergeCell ref="B39:B42"/>
    <mergeCell ref="B43:B46"/>
    <mergeCell ref="B19:B22"/>
    <mergeCell ref="D1:E1"/>
    <mergeCell ref="B3:B6"/>
    <mergeCell ref="B7:B10"/>
    <mergeCell ref="B11:B14"/>
    <mergeCell ref="B15:B18"/>
  </mergeCells>
  <hyperlinks>
    <hyperlink ref="D1:E1" location="Equipos!A1" display="Areperos" xr:uid="{00000000-0004-0000-1700-000000000000}"/>
  </hyperlink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1</vt:i4>
      </vt:variant>
    </vt:vector>
  </HeadingPairs>
  <TitlesOfParts>
    <vt:vector size="29" baseType="lpstr">
      <vt:lpstr>Equipos</vt:lpstr>
      <vt:lpstr>Fixture</vt:lpstr>
      <vt:lpstr>Tablas</vt:lpstr>
      <vt:lpstr>Los Amigos</vt:lpstr>
      <vt:lpstr>La Nueva Era</vt:lpstr>
      <vt:lpstr>La Amistad</vt:lpstr>
      <vt:lpstr>Konami</vt:lpstr>
      <vt:lpstr>Villanueva</vt:lpstr>
      <vt:lpstr>Ron Star</vt:lpstr>
      <vt:lpstr>Amenadim</vt:lpstr>
      <vt:lpstr>Hojas Anchas</vt:lpstr>
      <vt:lpstr>Valentín FC</vt:lpstr>
      <vt:lpstr>Boca Juniors</vt:lpstr>
      <vt:lpstr>Deportivo Fénix</vt:lpstr>
      <vt:lpstr>Rayos FC</vt:lpstr>
      <vt:lpstr>La Unión FC</vt:lpstr>
      <vt:lpstr>Los Aliados</vt:lpstr>
      <vt:lpstr>Atalanta</vt:lpstr>
      <vt:lpstr>CD El Corozo</vt:lpstr>
      <vt:lpstr>Resultados</vt:lpstr>
      <vt:lpstr>Clasificación</vt:lpstr>
      <vt:lpstr>Orden</vt:lpstr>
      <vt:lpstr>Resumen</vt:lpstr>
      <vt:lpstr>Jugadores</vt:lpstr>
      <vt:lpstr>Equıpo 17</vt:lpstr>
      <vt:lpstr>Hoja1</vt:lpstr>
      <vt:lpstr>El Milán</vt:lpstr>
      <vt:lpstr>Bellavista</vt:lpstr>
      <vt:lpstr>Orden!_GoBack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Suscripciones@intecdl.co</cp:lastModifiedBy>
  <cp:lastPrinted>2021-10-27T02:57:39Z</cp:lastPrinted>
  <dcterms:created xsi:type="dcterms:W3CDTF">2018-07-21T00:18:24Z</dcterms:created>
  <dcterms:modified xsi:type="dcterms:W3CDTF">2025-08-05T03:27:23Z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